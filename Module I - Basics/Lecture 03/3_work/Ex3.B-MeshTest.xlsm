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theme/themeOverride1.xml" ContentType="application/vnd.openxmlformats-officedocument.themeOverride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2.xml" ContentType="application/vnd.openxmlformats-officedocument.drawing+xml"/>
  <Override PartName="/xl/charts/chart11.xml" ContentType="application/vnd.openxmlformats-officedocument.drawingml.chart+xml"/>
  <Override PartName="/xl/theme/themeOverride2.xml" ContentType="application/vnd.openxmlformats-officedocument.themeOverride+xml"/>
  <Override PartName="/xl/drawings/drawing3.xml" ContentType="application/vnd.openxmlformats-officedocument.drawing+xml"/>
  <Override PartName="/xl/charts/chart12.xml" ContentType="application/vnd.openxmlformats-officedocument.drawingml.chart+xml"/>
  <Override PartName="/xl/drawings/drawing4.xml" ContentType="application/vnd.openxmlformats-officedocument.drawing+xml"/>
  <Override PartName="/xl/charts/chart13.xml" ContentType="application/vnd.openxmlformats-officedocument.drawingml.chart+xml"/>
  <Override PartName="/xl/drawings/drawing5.xml" ContentType="application/vnd.openxmlformats-officedocument.drawing+xml"/>
  <Override PartName="/xl/charts/chart14.xml" ContentType="application/vnd.openxmlformats-officedocument.drawingml.chart+xml"/>
  <Override PartName="/xl/drawings/drawing6.xml" ContentType="application/vnd.openxmlformats-officedocument.drawing+xml"/>
  <Override PartName="/xl/charts/chart15.xml" ContentType="application/vnd.openxmlformats-officedocument.drawingml.chart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defaultThemeVersion="124226"/>
  <mc:AlternateContent xmlns:mc="http://schemas.openxmlformats.org/markup-compatibility/2006">
    <mc:Choice Requires="x15">
      <x15ac:absPath xmlns:x15ac="http://schemas.microsoft.com/office/spreadsheetml/2010/11/ac" url="D:\Ansys\05 Curso\2018-2\01 Aulas\04 SHELL181\Exercício 3.B - Estudo de malha\"/>
    </mc:Choice>
  </mc:AlternateContent>
  <bookViews>
    <workbookView xWindow="720" yWindow="405" windowWidth="27555" windowHeight="12300"/>
  </bookViews>
  <sheets>
    <sheet name="Resumo" sheetId="4" r:id="rId1"/>
    <sheet name="MAX MX" sheetId="8" r:id="rId2"/>
    <sheet name="MIN MX" sheetId="9" r:id="rId3"/>
    <sheet name="MAX MY" sheetId="10" r:id="rId4"/>
    <sheet name="MIN MY" sheetId="11" r:id="rId5"/>
    <sheet name="MAX UY" sheetId="12" r:id="rId6"/>
    <sheet name="RESULTADOS" sheetId="7" r:id="rId7"/>
  </sheets>
  <definedNames>
    <definedName name="_xlnm._FilterDatabase" localSheetId="6" hidden="1">RESULTADOS!$A$1:$G$36</definedName>
    <definedName name="TotalResults" localSheetId="0">Resumo!$A$1:$G$5</definedName>
    <definedName name="TotalResults_1" localSheetId="6">RESULTADOS!$A$4:$D$5</definedName>
    <definedName name="TotalResults_1" localSheetId="0">Resumo!$A$7:$G$8</definedName>
    <definedName name="TotalResults_2" localSheetId="6">RESULTADOS!$A$6:$D$8</definedName>
    <definedName name="TotalResults_2" localSheetId="0">Resumo!$A$9:$G$11</definedName>
    <definedName name="TotalResults_3" localSheetId="6">RESULTADOS!$A$9:$D$15</definedName>
    <definedName name="TotalResults_3" localSheetId="0">Resumo!$A$12:$G$18</definedName>
    <definedName name="TotalResults_4" localSheetId="0">Resumo!#REF!</definedName>
    <definedName name="TotalResults_5" localSheetId="6">RESULTADOS!#REF!</definedName>
    <definedName name="TotalResults_5" localSheetId="0">Resumo!$A$21:$A$23</definedName>
  </definedNames>
  <calcPr calcId="152511"/>
</workbook>
</file>

<file path=xl/calcChain.xml><?xml version="1.0" encoding="utf-8"?>
<calcChain xmlns="http://schemas.openxmlformats.org/spreadsheetml/2006/main">
  <c r="AB2" i="4" l="1"/>
  <c r="Q6" i="7" s="1"/>
  <c r="Q7" i="7" s="1"/>
  <c r="L3" i="7"/>
  <c r="L4" i="7"/>
  <c r="L5" i="7"/>
  <c r="L6" i="7"/>
  <c r="L7" i="7"/>
  <c r="L8" i="7"/>
  <c r="L9" i="7"/>
  <c r="L10" i="7"/>
  <c r="L11" i="7"/>
  <c r="L12" i="7"/>
  <c r="L13" i="7"/>
  <c r="L14" i="7"/>
  <c r="L15" i="7"/>
  <c r="L16" i="7"/>
  <c r="L17" i="7"/>
  <c r="L18" i="7"/>
  <c r="L19" i="7"/>
  <c r="L20" i="7"/>
  <c r="L21" i="7"/>
  <c r="L22" i="7"/>
  <c r="L23" i="7"/>
  <c r="L24" i="7"/>
  <c r="L25" i="7"/>
  <c r="L26" i="7"/>
  <c r="L27" i="7"/>
  <c r="L28" i="7"/>
  <c r="L29" i="7"/>
  <c r="L30" i="7"/>
  <c r="L31" i="7"/>
  <c r="L32" i="7"/>
  <c r="L33" i="7"/>
  <c r="L34" i="7"/>
  <c r="L35" i="7"/>
  <c r="L36" i="7"/>
  <c r="L37" i="7"/>
  <c r="L38" i="7"/>
  <c r="L39" i="7"/>
  <c r="L40" i="7"/>
  <c r="L41" i="7"/>
  <c r="L42" i="7"/>
  <c r="L43" i="7"/>
  <c r="L44" i="7"/>
  <c r="L45" i="7"/>
  <c r="L46" i="7"/>
  <c r="L47" i="7"/>
  <c r="L48" i="7"/>
  <c r="L49" i="7"/>
  <c r="L50" i="7"/>
  <c r="L51" i="7"/>
  <c r="L52" i="7"/>
  <c r="L53" i="7"/>
  <c r="L54" i="7"/>
  <c r="L55" i="7"/>
  <c r="L56" i="7"/>
  <c r="L57" i="7"/>
  <c r="L58" i="7"/>
  <c r="L59" i="7"/>
  <c r="L60" i="7"/>
  <c r="L61" i="7"/>
  <c r="L62" i="7"/>
  <c r="L63" i="7"/>
  <c r="L64" i="7"/>
  <c r="L65" i="7"/>
  <c r="L66" i="7"/>
  <c r="L67" i="7"/>
  <c r="L68" i="7"/>
  <c r="L69" i="7"/>
  <c r="L70" i="7"/>
  <c r="L71" i="7"/>
  <c r="L72" i="7"/>
  <c r="L73" i="7"/>
  <c r="L74" i="7"/>
  <c r="L75" i="7"/>
  <c r="L76" i="7"/>
  <c r="L77" i="7"/>
  <c r="L78" i="7"/>
  <c r="L79" i="7"/>
  <c r="L80" i="7"/>
  <c r="L81" i="7"/>
  <c r="L82" i="7"/>
  <c r="L83" i="7"/>
  <c r="L84" i="7"/>
  <c r="L85" i="7"/>
  <c r="L86" i="7"/>
  <c r="L87" i="7"/>
  <c r="L88" i="7"/>
  <c r="L89" i="7"/>
  <c r="L90" i="7"/>
  <c r="L91" i="7"/>
  <c r="L92" i="7"/>
  <c r="L93" i="7"/>
  <c r="L94" i="7"/>
  <c r="L95" i="7"/>
  <c r="L96" i="7"/>
  <c r="L97" i="7"/>
  <c r="L98" i="7"/>
  <c r="L99" i="7"/>
  <c r="L100" i="7"/>
  <c r="L101" i="7"/>
  <c r="L102" i="7"/>
  <c r="L103" i="7"/>
  <c r="L104" i="7"/>
  <c r="L105" i="7"/>
  <c r="L106" i="7"/>
  <c r="L107" i="7"/>
  <c r="L108" i="7"/>
  <c r="L109" i="7"/>
  <c r="L110" i="7"/>
  <c r="L111" i="7"/>
  <c r="L112" i="7"/>
  <c r="L113" i="7"/>
  <c r="L114" i="7"/>
  <c r="L115" i="7"/>
  <c r="L116" i="7"/>
  <c r="L117" i="7"/>
  <c r="L118" i="7"/>
  <c r="L119" i="7"/>
  <c r="L120" i="7"/>
  <c r="L121" i="7"/>
  <c r="L122" i="7"/>
  <c r="L123" i="7"/>
  <c r="L124" i="7"/>
  <c r="L125" i="7"/>
  <c r="L126" i="7"/>
  <c r="L127" i="7"/>
  <c r="L128" i="7"/>
  <c r="L129" i="7"/>
  <c r="L130" i="7"/>
  <c r="L131" i="7"/>
  <c r="L132" i="7"/>
  <c r="L133" i="7"/>
  <c r="L134" i="7"/>
  <c r="L135" i="7"/>
  <c r="L136" i="7"/>
  <c r="L137" i="7"/>
  <c r="L138" i="7"/>
  <c r="L139" i="7"/>
  <c r="L140" i="7"/>
  <c r="L141" i="7"/>
  <c r="L142" i="7"/>
  <c r="L143" i="7"/>
  <c r="L144" i="7"/>
  <c r="L145" i="7"/>
  <c r="L146" i="7"/>
  <c r="L147" i="7"/>
  <c r="L148" i="7"/>
  <c r="L149" i="7"/>
  <c r="L150" i="7"/>
  <c r="L151" i="7"/>
  <c r="L152" i="7"/>
  <c r="L153" i="7"/>
  <c r="L154" i="7"/>
  <c r="L155" i="7"/>
  <c r="L156" i="7"/>
  <c r="L157" i="7"/>
  <c r="L158" i="7"/>
  <c r="L159" i="7"/>
  <c r="L160" i="7"/>
  <c r="L161" i="7"/>
  <c r="L162" i="7"/>
  <c r="L163" i="7"/>
  <c r="L164" i="7"/>
  <c r="L165" i="7"/>
  <c r="L166" i="7"/>
  <c r="L167" i="7"/>
  <c r="L168" i="7"/>
  <c r="L169" i="7"/>
  <c r="L170" i="7"/>
  <c r="L171" i="7"/>
  <c r="L172" i="7"/>
  <c r="L173" i="7"/>
  <c r="L174" i="7"/>
  <c r="L175" i="7"/>
  <c r="L176" i="7"/>
  <c r="L177" i="7"/>
  <c r="L178" i="7"/>
  <c r="L179" i="7"/>
  <c r="L180" i="7"/>
  <c r="L181" i="7"/>
  <c r="L182" i="7"/>
  <c r="L183" i="7"/>
  <c r="L184" i="7"/>
  <c r="L185" i="7"/>
  <c r="L186" i="7"/>
  <c r="L187" i="7"/>
  <c r="L188" i="7"/>
  <c r="L189" i="7"/>
  <c r="L190" i="7"/>
  <c r="L191" i="7"/>
  <c r="L192" i="7"/>
  <c r="L193" i="7"/>
  <c r="L194" i="7"/>
  <c r="L195" i="7"/>
  <c r="L196" i="7"/>
  <c r="L197" i="7"/>
  <c r="L198" i="7"/>
  <c r="L199" i="7"/>
  <c r="L200" i="7"/>
  <c r="L201" i="7"/>
  <c r="L202" i="7"/>
  <c r="L203" i="7"/>
  <c r="L204" i="7"/>
  <c r="L205" i="7"/>
  <c r="L206" i="7"/>
  <c r="L207" i="7"/>
  <c r="L208" i="7"/>
  <c r="L209" i="7"/>
  <c r="L210" i="7"/>
  <c r="L211" i="7"/>
  <c r="L212" i="7"/>
  <c r="L213" i="7"/>
  <c r="L214" i="7"/>
  <c r="L215" i="7"/>
  <c r="L216" i="7"/>
  <c r="L217" i="7"/>
  <c r="L218" i="7"/>
  <c r="L219" i="7"/>
  <c r="L220" i="7"/>
  <c r="L221" i="7"/>
  <c r="L222" i="7"/>
  <c r="L223" i="7"/>
  <c r="L224" i="7"/>
  <c r="L225" i="7"/>
  <c r="L226" i="7"/>
  <c r="L227" i="7"/>
  <c r="L228" i="7"/>
  <c r="L229" i="7"/>
  <c r="L230" i="7"/>
  <c r="L231" i="7"/>
  <c r="L232" i="7"/>
  <c r="L233" i="7"/>
  <c r="L234" i="7"/>
  <c r="L235" i="7"/>
  <c r="L236" i="7"/>
  <c r="L237" i="7"/>
  <c r="L238" i="7"/>
  <c r="L239" i="7"/>
  <c r="L240" i="7"/>
  <c r="L241" i="7"/>
  <c r="L242" i="7"/>
  <c r="L243" i="7"/>
  <c r="L244" i="7"/>
  <c r="L245" i="7"/>
  <c r="L246" i="7"/>
  <c r="L247" i="7"/>
  <c r="L248" i="7"/>
  <c r="L249" i="7"/>
  <c r="L250" i="7"/>
  <c r="L251" i="7"/>
  <c r="L252" i="7"/>
  <c r="L253" i="7"/>
  <c r="L254" i="7"/>
  <c r="L255" i="7"/>
  <c r="L256" i="7"/>
  <c r="L257" i="7"/>
  <c r="L258" i="7"/>
  <c r="L259" i="7"/>
  <c r="L260" i="7"/>
  <c r="L261" i="7"/>
  <c r="L262" i="7"/>
  <c r="L263" i="7"/>
  <c r="L264" i="7"/>
  <c r="L265" i="7"/>
  <c r="L266" i="7"/>
  <c r="L267" i="7"/>
  <c r="L268" i="7"/>
  <c r="L269" i="7"/>
  <c r="L270" i="7"/>
  <c r="L271" i="7"/>
  <c r="L272" i="7"/>
  <c r="L273" i="7"/>
  <c r="L274" i="7"/>
  <c r="L275" i="7"/>
  <c r="L276" i="7"/>
  <c r="L277" i="7"/>
  <c r="L278" i="7"/>
  <c r="L279" i="7"/>
  <c r="L280" i="7"/>
  <c r="L281" i="7"/>
  <c r="L282" i="7"/>
  <c r="L283" i="7"/>
  <c r="L284" i="7"/>
  <c r="L285" i="7"/>
  <c r="L286" i="7"/>
  <c r="L287" i="7"/>
  <c r="L288" i="7"/>
  <c r="L289" i="7"/>
  <c r="L290" i="7"/>
  <c r="L291" i="7"/>
  <c r="L292" i="7"/>
  <c r="L293" i="7"/>
  <c r="L294" i="7"/>
  <c r="L295" i="7"/>
  <c r="L296" i="7"/>
  <c r="L297" i="7"/>
  <c r="L298" i="7"/>
  <c r="L299" i="7"/>
  <c r="L300" i="7"/>
  <c r="L301" i="7"/>
  <c r="L302" i="7"/>
  <c r="L303" i="7"/>
  <c r="L304" i="7"/>
  <c r="L305" i="7"/>
  <c r="L306" i="7"/>
  <c r="L307" i="7"/>
  <c r="L308" i="7"/>
  <c r="L309" i="7"/>
  <c r="L310" i="7"/>
  <c r="L311" i="7"/>
  <c r="L312" i="7"/>
  <c r="L313" i="7"/>
  <c r="L314" i="7"/>
  <c r="L315" i="7"/>
  <c r="L316" i="7"/>
  <c r="L317" i="7"/>
  <c r="L318" i="7"/>
  <c r="L319" i="7"/>
  <c r="L320" i="7"/>
  <c r="L321" i="7"/>
  <c r="L322" i="7"/>
  <c r="L323" i="7"/>
  <c r="L324" i="7"/>
  <c r="L325" i="7"/>
  <c r="L326" i="7"/>
  <c r="L327" i="7"/>
  <c r="L328" i="7"/>
  <c r="L329" i="7"/>
  <c r="L330" i="7"/>
  <c r="L331" i="7"/>
  <c r="L332" i="7"/>
  <c r="L333" i="7"/>
  <c r="L334" i="7"/>
  <c r="L335" i="7"/>
  <c r="L336" i="7"/>
  <c r="L337" i="7"/>
  <c r="L338" i="7"/>
  <c r="L339" i="7"/>
  <c r="L340" i="7"/>
  <c r="L341" i="7"/>
  <c r="L342" i="7"/>
  <c r="L343" i="7"/>
  <c r="L344" i="7"/>
  <c r="L345" i="7"/>
  <c r="L346" i="7"/>
  <c r="L347" i="7"/>
  <c r="L348" i="7"/>
  <c r="L349" i="7"/>
  <c r="L350" i="7"/>
  <c r="L351" i="7"/>
  <c r="L352" i="7"/>
  <c r="L353" i="7"/>
  <c r="L354" i="7"/>
  <c r="L355" i="7"/>
  <c r="L356" i="7"/>
  <c r="L357" i="7"/>
  <c r="L358" i="7"/>
  <c r="L359" i="7"/>
  <c r="L360" i="7"/>
  <c r="L361" i="7"/>
  <c r="L362" i="7"/>
  <c r="L363" i="7"/>
  <c r="L364" i="7"/>
  <c r="L365" i="7"/>
  <c r="L366" i="7"/>
  <c r="L367" i="7"/>
  <c r="L368" i="7"/>
  <c r="L369" i="7"/>
  <c r="L370" i="7"/>
  <c r="L371" i="7"/>
  <c r="L372" i="7"/>
  <c r="L373" i="7"/>
  <c r="L374" i="7"/>
  <c r="L375" i="7"/>
  <c r="L376" i="7"/>
  <c r="L377" i="7"/>
  <c r="L378" i="7"/>
  <c r="L379" i="7"/>
  <c r="L380" i="7"/>
  <c r="L381" i="7"/>
  <c r="L382" i="7"/>
  <c r="L383" i="7"/>
  <c r="L384" i="7"/>
  <c r="L385" i="7"/>
  <c r="L386" i="7"/>
  <c r="L387" i="7"/>
  <c r="L388" i="7"/>
  <c r="L389" i="7"/>
  <c r="L390" i="7"/>
  <c r="L391" i="7"/>
  <c r="L392" i="7"/>
  <c r="L393" i="7"/>
  <c r="L394" i="7"/>
  <c r="L395" i="7"/>
  <c r="L396" i="7"/>
  <c r="L397" i="7"/>
  <c r="L398" i="7"/>
  <c r="L399" i="7"/>
  <c r="L400" i="7"/>
  <c r="L401" i="7"/>
  <c r="L402" i="7"/>
  <c r="L403" i="7"/>
  <c r="L404" i="7"/>
  <c r="L405" i="7"/>
  <c r="L406" i="7"/>
  <c r="L407" i="7"/>
  <c r="L408" i="7"/>
  <c r="L409" i="7"/>
  <c r="L410" i="7"/>
  <c r="L411" i="7"/>
  <c r="L412" i="7"/>
  <c r="L413" i="7"/>
  <c r="L414" i="7"/>
  <c r="L415" i="7"/>
  <c r="L416" i="7"/>
  <c r="L417" i="7"/>
  <c r="L418" i="7"/>
  <c r="L419" i="7"/>
  <c r="L420" i="7"/>
  <c r="L421" i="7"/>
  <c r="L422" i="7"/>
  <c r="L423" i="7"/>
  <c r="L424" i="7"/>
  <c r="L425" i="7"/>
  <c r="L426" i="7"/>
  <c r="L427" i="7"/>
  <c r="L428" i="7"/>
  <c r="L429" i="7"/>
  <c r="L430" i="7"/>
  <c r="L431" i="7"/>
  <c r="L432" i="7"/>
  <c r="L433" i="7"/>
  <c r="L434" i="7"/>
  <c r="L435" i="7"/>
  <c r="L436" i="7"/>
  <c r="L437" i="7"/>
  <c r="L438" i="7"/>
  <c r="L439" i="7"/>
  <c r="L440" i="7"/>
  <c r="L441" i="7"/>
  <c r="L442" i="7"/>
  <c r="L443" i="7"/>
  <c r="L444" i="7"/>
  <c r="L445" i="7"/>
  <c r="L446" i="7"/>
  <c r="L447" i="7"/>
  <c r="L448" i="7"/>
  <c r="L449" i="7"/>
  <c r="L450" i="7"/>
  <c r="L451" i="7"/>
  <c r="L452" i="7"/>
  <c r="L453" i="7"/>
  <c r="L454" i="7"/>
  <c r="L455" i="7"/>
  <c r="L456" i="7"/>
  <c r="L457" i="7"/>
  <c r="L458" i="7"/>
  <c r="L459" i="7"/>
  <c r="L460" i="7"/>
  <c r="L461" i="7"/>
  <c r="L462" i="7"/>
  <c r="L463" i="7"/>
  <c r="L464" i="7"/>
  <c r="L465" i="7"/>
  <c r="L466" i="7"/>
  <c r="L467" i="7"/>
  <c r="L468" i="7"/>
  <c r="L469" i="7"/>
  <c r="L470" i="7"/>
  <c r="L471" i="7"/>
  <c r="L472" i="7"/>
  <c r="L473" i="7"/>
  <c r="L474" i="7"/>
  <c r="L475" i="7"/>
  <c r="L476" i="7"/>
  <c r="L477" i="7"/>
  <c r="L478" i="7"/>
  <c r="L479" i="7"/>
  <c r="L480" i="7"/>
  <c r="L481" i="7"/>
  <c r="L482" i="7"/>
  <c r="L483" i="7"/>
  <c r="L484" i="7"/>
  <c r="L485" i="7"/>
  <c r="L486" i="7"/>
  <c r="L487" i="7"/>
  <c r="L488" i="7"/>
  <c r="L489" i="7"/>
  <c r="L490" i="7"/>
  <c r="L491" i="7"/>
  <c r="L492" i="7"/>
  <c r="L493" i="7"/>
  <c r="L494" i="7"/>
  <c r="L495" i="7"/>
  <c r="L496" i="7"/>
  <c r="L497" i="7"/>
  <c r="L498" i="7"/>
  <c r="L499" i="7"/>
  <c r="L500" i="7"/>
  <c r="L501" i="7"/>
  <c r="L502" i="7"/>
  <c r="L503" i="7"/>
  <c r="L504" i="7"/>
  <c r="L505" i="7"/>
  <c r="L506" i="7"/>
  <c r="L507" i="7"/>
  <c r="L508" i="7"/>
  <c r="L509" i="7"/>
  <c r="L510" i="7"/>
  <c r="L511" i="7"/>
  <c r="L512" i="7"/>
  <c r="L513" i="7"/>
  <c r="L514" i="7"/>
  <c r="L515" i="7"/>
  <c r="L516" i="7"/>
  <c r="L517" i="7"/>
  <c r="L518" i="7"/>
  <c r="L519" i="7"/>
  <c r="L520" i="7"/>
  <c r="L521" i="7"/>
  <c r="L522" i="7"/>
  <c r="L523" i="7"/>
  <c r="L524" i="7"/>
  <c r="L525" i="7"/>
  <c r="L526" i="7"/>
  <c r="L527" i="7"/>
  <c r="L528" i="7"/>
  <c r="L529" i="7"/>
  <c r="L530" i="7"/>
  <c r="L531" i="7"/>
  <c r="L532" i="7"/>
  <c r="L533" i="7"/>
  <c r="L534" i="7"/>
  <c r="L535" i="7"/>
  <c r="L536" i="7"/>
  <c r="L537" i="7"/>
  <c r="L538" i="7"/>
  <c r="L539" i="7"/>
  <c r="L540" i="7"/>
  <c r="L541" i="7"/>
  <c r="L542" i="7"/>
  <c r="L543" i="7"/>
  <c r="L544" i="7"/>
  <c r="L545" i="7"/>
  <c r="L546" i="7"/>
  <c r="L547" i="7"/>
  <c r="L548" i="7"/>
  <c r="L549" i="7"/>
  <c r="L550" i="7"/>
  <c r="L551" i="7"/>
  <c r="L552" i="7"/>
  <c r="L553" i="7"/>
  <c r="L554" i="7"/>
  <c r="L555" i="7"/>
  <c r="L556" i="7"/>
  <c r="L557" i="7"/>
  <c r="L558" i="7"/>
  <c r="L559" i="7"/>
  <c r="L560" i="7"/>
  <c r="L561" i="7"/>
  <c r="L562" i="7"/>
  <c r="L563" i="7"/>
  <c r="L564" i="7"/>
  <c r="L565" i="7"/>
  <c r="L566" i="7"/>
  <c r="L567" i="7"/>
  <c r="L568" i="7"/>
  <c r="L569" i="7"/>
  <c r="L570" i="7"/>
  <c r="L571" i="7"/>
  <c r="L572" i="7"/>
  <c r="L573" i="7"/>
  <c r="L574" i="7"/>
  <c r="L575" i="7"/>
  <c r="L576" i="7"/>
  <c r="L577" i="7"/>
  <c r="L578" i="7"/>
  <c r="L579" i="7"/>
  <c r="L580" i="7"/>
  <c r="L581" i="7"/>
  <c r="L582" i="7"/>
  <c r="L583" i="7"/>
  <c r="L584" i="7"/>
  <c r="L585" i="7"/>
  <c r="L586" i="7"/>
  <c r="L587" i="7"/>
  <c r="L588" i="7"/>
  <c r="L589" i="7"/>
  <c r="L590" i="7"/>
  <c r="L591" i="7"/>
  <c r="L592" i="7"/>
  <c r="L593" i="7"/>
  <c r="L594" i="7"/>
  <c r="L595" i="7"/>
  <c r="L596" i="7"/>
  <c r="L597" i="7"/>
  <c r="L598" i="7"/>
  <c r="L599" i="7"/>
  <c r="L600" i="7"/>
  <c r="L601" i="7"/>
  <c r="L602" i="7"/>
  <c r="L603" i="7"/>
  <c r="L604" i="7"/>
  <c r="L605" i="7"/>
  <c r="L606" i="7"/>
  <c r="L607" i="7"/>
  <c r="L608" i="7"/>
  <c r="L609" i="7"/>
  <c r="L610" i="7"/>
  <c r="L611" i="7"/>
  <c r="L612" i="7"/>
  <c r="L613" i="7"/>
  <c r="L614" i="7"/>
  <c r="L615" i="7"/>
  <c r="L616" i="7"/>
  <c r="L617" i="7"/>
  <c r="L618" i="7"/>
  <c r="L619" i="7"/>
  <c r="L620" i="7"/>
  <c r="L621" i="7"/>
  <c r="L622" i="7"/>
  <c r="L623" i="7"/>
  <c r="L624" i="7"/>
  <c r="L625" i="7"/>
  <c r="L626" i="7"/>
  <c r="L627" i="7"/>
  <c r="L628" i="7"/>
  <c r="L629" i="7"/>
  <c r="L630" i="7"/>
  <c r="L631" i="7"/>
  <c r="L632" i="7"/>
  <c r="L633" i="7"/>
  <c r="L634" i="7"/>
  <c r="L635" i="7"/>
  <c r="L636" i="7"/>
  <c r="L637" i="7"/>
  <c r="L638" i="7"/>
  <c r="L639" i="7"/>
  <c r="L640" i="7"/>
  <c r="L641" i="7"/>
  <c r="L642" i="7"/>
  <c r="L643" i="7"/>
  <c r="L644" i="7"/>
  <c r="L645" i="7"/>
  <c r="L646" i="7"/>
  <c r="L647" i="7"/>
  <c r="L648" i="7"/>
  <c r="L649" i="7"/>
  <c r="L650" i="7"/>
  <c r="L651" i="7"/>
  <c r="L652" i="7"/>
  <c r="L653" i="7"/>
  <c r="L654" i="7"/>
  <c r="L655" i="7"/>
  <c r="L656" i="7"/>
  <c r="L657" i="7"/>
  <c r="L658" i="7"/>
  <c r="L659" i="7"/>
  <c r="L660" i="7"/>
  <c r="L661" i="7"/>
  <c r="L662" i="7"/>
  <c r="L663" i="7"/>
  <c r="L664" i="7"/>
  <c r="L665" i="7"/>
  <c r="L666" i="7"/>
  <c r="L667" i="7"/>
  <c r="L668" i="7"/>
  <c r="L669" i="7"/>
  <c r="L670" i="7"/>
  <c r="L671" i="7"/>
  <c r="L672" i="7"/>
  <c r="L673" i="7"/>
  <c r="L674" i="7"/>
  <c r="L675" i="7"/>
  <c r="L676" i="7"/>
  <c r="L677" i="7"/>
  <c r="L678" i="7"/>
  <c r="L679" i="7"/>
  <c r="L680" i="7"/>
  <c r="L681" i="7"/>
  <c r="L682" i="7"/>
  <c r="L683" i="7"/>
  <c r="L684" i="7"/>
  <c r="L685" i="7"/>
  <c r="L686" i="7"/>
  <c r="L687" i="7"/>
  <c r="L688" i="7"/>
  <c r="L689" i="7"/>
  <c r="L690" i="7"/>
  <c r="L691" i="7"/>
  <c r="L692" i="7"/>
  <c r="L693" i="7"/>
  <c r="L694" i="7"/>
  <c r="L695" i="7"/>
  <c r="L696" i="7"/>
  <c r="L697" i="7"/>
  <c r="L698" i="7"/>
  <c r="L699" i="7"/>
  <c r="L700" i="7"/>
  <c r="L701" i="7"/>
  <c r="L702" i="7"/>
  <c r="L703" i="7"/>
  <c r="L704" i="7"/>
  <c r="L705" i="7"/>
  <c r="L706" i="7"/>
  <c r="L707" i="7"/>
  <c r="L708" i="7"/>
  <c r="L709" i="7"/>
  <c r="L710" i="7"/>
  <c r="L711" i="7"/>
  <c r="L712" i="7"/>
  <c r="L713" i="7"/>
  <c r="L714" i="7"/>
  <c r="L715" i="7"/>
  <c r="L716" i="7"/>
  <c r="L717" i="7"/>
  <c r="L718" i="7"/>
  <c r="L719" i="7"/>
  <c r="L720" i="7"/>
  <c r="L721" i="7"/>
  <c r="L722" i="7"/>
  <c r="L723" i="7"/>
  <c r="L724" i="7"/>
  <c r="L725" i="7"/>
  <c r="L726" i="7"/>
  <c r="L727" i="7"/>
  <c r="L728" i="7"/>
  <c r="L729" i="7"/>
  <c r="L730" i="7"/>
  <c r="L731" i="7"/>
  <c r="L732" i="7"/>
  <c r="L733" i="7"/>
  <c r="L734" i="7"/>
  <c r="L735" i="7"/>
  <c r="L736" i="7"/>
  <c r="L737" i="7"/>
  <c r="L738" i="7"/>
  <c r="L739" i="7"/>
  <c r="L740" i="7"/>
  <c r="L741" i="7"/>
  <c r="L742" i="7"/>
  <c r="L743" i="7"/>
  <c r="L744" i="7"/>
  <c r="L745" i="7"/>
  <c r="L746" i="7"/>
  <c r="L747" i="7"/>
  <c r="L748" i="7"/>
  <c r="L749" i="7"/>
  <c r="L750" i="7"/>
  <c r="L751" i="7"/>
  <c r="L752" i="7"/>
  <c r="L753" i="7"/>
  <c r="L754" i="7"/>
  <c r="L755" i="7"/>
  <c r="L756" i="7"/>
  <c r="L757" i="7"/>
  <c r="L758" i="7"/>
  <c r="L759" i="7"/>
  <c r="L760" i="7"/>
  <c r="L761" i="7"/>
  <c r="L762" i="7"/>
  <c r="L763" i="7"/>
  <c r="L764" i="7"/>
  <c r="L765" i="7"/>
  <c r="L766" i="7"/>
  <c r="L767" i="7"/>
  <c r="L768" i="7"/>
  <c r="L769" i="7"/>
  <c r="L770" i="7"/>
  <c r="L771" i="7"/>
  <c r="L772" i="7"/>
  <c r="L773" i="7"/>
  <c r="L774" i="7"/>
  <c r="L775" i="7"/>
  <c r="L776" i="7"/>
  <c r="L777" i="7"/>
  <c r="L778" i="7"/>
  <c r="L779" i="7"/>
  <c r="L780" i="7"/>
  <c r="L781" i="7"/>
  <c r="L782" i="7"/>
  <c r="L783" i="7"/>
  <c r="L784" i="7"/>
  <c r="L785" i="7"/>
  <c r="L786" i="7"/>
  <c r="L787" i="7"/>
  <c r="L788" i="7"/>
  <c r="L789" i="7"/>
  <c r="L790" i="7"/>
  <c r="L791" i="7"/>
  <c r="L792" i="7"/>
  <c r="L793" i="7"/>
  <c r="L794" i="7"/>
  <c r="L795" i="7"/>
  <c r="L796" i="7"/>
  <c r="L797" i="7"/>
  <c r="L798" i="7"/>
  <c r="L799" i="7"/>
  <c r="L800" i="7"/>
  <c r="L801" i="7"/>
  <c r="L802" i="7"/>
  <c r="L803" i="7"/>
  <c r="L804" i="7"/>
  <c r="L805" i="7"/>
  <c r="L806" i="7"/>
  <c r="L807" i="7"/>
  <c r="L808" i="7"/>
  <c r="L809" i="7"/>
  <c r="L810" i="7"/>
  <c r="L811" i="7"/>
  <c r="L812" i="7"/>
  <c r="L813" i="7"/>
  <c r="L814" i="7"/>
  <c r="L815" i="7"/>
  <c r="L816" i="7"/>
  <c r="L817" i="7"/>
  <c r="L818" i="7"/>
  <c r="L819" i="7"/>
  <c r="L820" i="7"/>
  <c r="L821" i="7"/>
  <c r="L822" i="7"/>
  <c r="L823" i="7"/>
  <c r="L824" i="7"/>
  <c r="L825" i="7"/>
  <c r="L826" i="7"/>
  <c r="L827" i="7"/>
  <c r="L828" i="7"/>
  <c r="L829" i="7"/>
  <c r="L830" i="7"/>
  <c r="L831" i="7"/>
  <c r="L832" i="7"/>
  <c r="L833" i="7"/>
  <c r="L834" i="7"/>
  <c r="L835" i="7"/>
  <c r="L836" i="7"/>
  <c r="L837" i="7"/>
  <c r="L838" i="7"/>
  <c r="L839" i="7"/>
  <c r="L840" i="7"/>
  <c r="L841" i="7"/>
  <c r="L842" i="7"/>
  <c r="L843" i="7"/>
  <c r="L844" i="7"/>
  <c r="L845" i="7"/>
  <c r="L846" i="7"/>
  <c r="L847" i="7"/>
  <c r="L848" i="7"/>
  <c r="L849" i="7"/>
  <c r="L850" i="7"/>
  <c r="L851" i="7"/>
  <c r="L852" i="7"/>
  <c r="L853" i="7"/>
  <c r="L854" i="7"/>
  <c r="L855" i="7"/>
  <c r="L856" i="7"/>
  <c r="L857" i="7"/>
  <c r="L858" i="7"/>
  <c r="L859" i="7"/>
  <c r="L860" i="7"/>
  <c r="L861" i="7"/>
  <c r="L862" i="7"/>
  <c r="L863" i="7"/>
  <c r="L864" i="7"/>
  <c r="L865" i="7"/>
  <c r="L866" i="7"/>
  <c r="L867" i="7"/>
  <c r="L868" i="7"/>
  <c r="L869" i="7"/>
  <c r="L870" i="7"/>
  <c r="L871" i="7"/>
  <c r="L872" i="7"/>
  <c r="L873" i="7"/>
  <c r="L874" i="7"/>
  <c r="L875" i="7"/>
  <c r="L876" i="7"/>
  <c r="L877" i="7"/>
  <c r="L878" i="7"/>
  <c r="L879" i="7"/>
  <c r="L880" i="7"/>
  <c r="L881" i="7"/>
  <c r="L882" i="7"/>
  <c r="L883" i="7"/>
  <c r="L884" i="7"/>
  <c r="L885" i="7"/>
  <c r="L886" i="7"/>
  <c r="L887" i="7"/>
  <c r="L888" i="7"/>
  <c r="L889" i="7"/>
  <c r="L890" i="7"/>
  <c r="L891" i="7"/>
  <c r="L892" i="7"/>
  <c r="L893" i="7"/>
  <c r="L894" i="7"/>
  <c r="L895" i="7"/>
  <c r="L896" i="7"/>
  <c r="L897" i="7"/>
  <c r="L898" i="7"/>
  <c r="L899" i="7"/>
  <c r="L900" i="7"/>
  <c r="L901" i="7"/>
  <c r="L902" i="7"/>
  <c r="L903" i="7"/>
  <c r="L904" i="7"/>
  <c r="L905" i="7"/>
  <c r="L906" i="7"/>
  <c r="L907" i="7"/>
  <c r="L908" i="7"/>
  <c r="L909" i="7"/>
  <c r="L910" i="7"/>
  <c r="L911" i="7"/>
  <c r="L912" i="7"/>
  <c r="L913" i="7"/>
  <c r="L914" i="7"/>
  <c r="L915" i="7"/>
  <c r="L916" i="7"/>
  <c r="L917" i="7"/>
  <c r="L918" i="7"/>
  <c r="L919" i="7"/>
  <c r="L920" i="7"/>
  <c r="L921" i="7"/>
  <c r="L922" i="7"/>
  <c r="L923" i="7"/>
  <c r="L924" i="7"/>
  <c r="L925" i="7"/>
  <c r="L926" i="7"/>
  <c r="L927" i="7"/>
  <c r="L928" i="7"/>
  <c r="L929" i="7"/>
  <c r="L930" i="7"/>
  <c r="L931" i="7"/>
  <c r="L932" i="7"/>
  <c r="L933" i="7"/>
  <c r="L934" i="7"/>
  <c r="L935" i="7"/>
  <c r="L936" i="7"/>
  <c r="L937" i="7"/>
  <c r="L938" i="7"/>
  <c r="L939" i="7"/>
  <c r="L940" i="7"/>
  <c r="L941" i="7"/>
  <c r="L942" i="7"/>
  <c r="L943" i="7"/>
  <c r="L944" i="7"/>
  <c r="L945" i="7"/>
  <c r="L946" i="7"/>
  <c r="L947" i="7"/>
  <c r="L948" i="7"/>
  <c r="L949" i="7"/>
  <c r="L950" i="7"/>
  <c r="L951" i="7"/>
  <c r="L952" i="7"/>
  <c r="L953" i="7"/>
  <c r="L954" i="7"/>
  <c r="L955" i="7"/>
  <c r="L956" i="7"/>
  <c r="L957" i="7"/>
  <c r="L958" i="7"/>
  <c r="L959" i="7"/>
  <c r="L960" i="7"/>
  <c r="L961" i="7"/>
  <c r="L962" i="7"/>
  <c r="L963" i="7"/>
  <c r="L964" i="7"/>
  <c r="L965" i="7"/>
  <c r="L966" i="7"/>
  <c r="L967" i="7"/>
  <c r="L968" i="7"/>
  <c r="L969" i="7"/>
  <c r="L970" i="7"/>
  <c r="L971" i="7"/>
  <c r="L972" i="7"/>
  <c r="L973" i="7"/>
  <c r="L974" i="7"/>
  <c r="L975" i="7"/>
  <c r="L976" i="7"/>
  <c r="L977" i="7"/>
  <c r="L978" i="7"/>
  <c r="L979" i="7"/>
  <c r="L980" i="7"/>
  <c r="L981" i="7"/>
  <c r="L982" i="7"/>
  <c r="L983" i="7"/>
  <c r="L984" i="7"/>
  <c r="L985" i="7"/>
  <c r="L986" i="7"/>
  <c r="L987" i="7"/>
  <c r="L988" i="7"/>
  <c r="L989" i="7"/>
  <c r="L990" i="7"/>
  <c r="L991" i="7"/>
  <c r="L992" i="7"/>
  <c r="L993" i="7"/>
  <c r="L994" i="7"/>
  <c r="L995" i="7"/>
  <c r="L996" i="7"/>
  <c r="L997" i="7"/>
  <c r="L998" i="7"/>
  <c r="L999" i="7"/>
  <c r="L1000" i="7"/>
  <c r="K3" i="7"/>
  <c r="K4" i="7"/>
  <c r="K5" i="7"/>
  <c r="K6" i="7"/>
  <c r="K7" i="7"/>
  <c r="K8" i="7"/>
  <c r="K9" i="7"/>
  <c r="K10" i="7"/>
  <c r="K11" i="7"/>
  <c r="K12" i="7"/>
  <c r="K13" i="7"/>
  <c r="K14" i="7"/>
  <c r="K15" i="7"/>
  <c r="K16" i="7"/>
  <c r="K17" i="7"/>
  <c r="K18" i="7"/>
  <c r="K19" i="7"/>
  <c r="K20" i="7"/>
  <c r="K21" i="7"/>
  <c r="K22" i="7"/>
  <c r="K23" i="7"/>
  <c r="K24" i="7"/>
  <c r="K25" i="7"/>
  <c r="K26" i="7"/>
  <c r="K27" i="7"/>
  <c r="K28" i="7"/>
  <c r="K29" i="7"/>
  <c r="K30" i="7"/>
  <c r="K31" i="7"/>
  <c r="K32" i="7"/>
  <c r="K33" i="7"/>
  <c r="K34" i="7"/>
  <c r="K35" i="7"/>
  <c r="K36" i="7"/>
  <c r="K37" i="7"/>
  <c r="K38" i="7"/>
  <c r="K39" i="7"/>
  <c r="K40" i="7"/>
  <c r="K41" i="7"/>
  <c r="K42" i="7"/>
  <c r="K43" i="7"/>
  <c r="K44" i="7"/>
  <c r="K45" i="7"/>
  <c r="K46" i="7"/>
  <c r="K47" i="7"/>
  <c r="K48" i="7"/>
  <c r="K49" i="7"/>
  <c r="K50" i="7"/>
  <c r="K51" i="7"/>
  <c r="K52" i="7"/>
  <c r="K53" i="7"/>
  <c r="K54" i="7"/>
  <c r="K55" i="7"/>
  <c r="K56" i="7"/>
  <c r="K57" i="7"/>
  <c r="K58" i="7"/>
  <c r="K59" i="7"/>
  <c r="K60" i="7"/>
  <c r="K61" i="7"/>
  <c r="K62" i="7"/>
  <c r="K63" i="7"/>
  <c r="K64" i="7"/>
  <c r="K65" i="7"/>
  <c r="K66" i="7"/>
  <c r="K67" i="7"/>
  <c r="K68" i="7"/>
  <c r="K69" i="7"/>
  <c r="K70" i="7"/>
  <c r="K71" i="7"/>
  <c r="K72" i="7"/>
  <c r="K73" i="7"/>
  <c r="K74" i="7"/>
  <c r="K75" i="7"/>
  <c r="K76" i="7"/>
  <c r="K77" i="7"/>
  <c r="K78" i="7"/>
  <c r="K79" i="7"/>
  <c r="K80" i="7"/>
  <c r="K81" i="7"/>
  <c r="K82" i="7"/>
  <c r="K83" i="7"/>
  <c r="K84" i="7"/>
  <c r="K85" i="7"/>
  <c r="K86" i="7"/>
  <c r="K87" i="7"/>
  <c r="K88" i="7"/>
  <c r="K89" i="7"/>
  <c r="K90" i="7"/>
  <c r="K91" i="7"/>
  <c r="K92" i="7"/>
  <c r="K93" i="7"/>
  <c r="K94" i="7"/>
  <c r="K95" i="7"/>
  <c r="K96" i="7"/>
  <c r="K97" i="7"/>
  <c r="K98" i="7"/>
  <c r="K99" i="7"/>
  <c r="K100" i="7"/>
  <c r="K101" i="7"/>
  <c r="K102" i="7"/>
  <c r="K103" i="7"/>
  <c r="K104" i="7"/>
  <c r="K105" i="7"/>
  <c r="K106" i="7"/>
  <c r="K107" i="7"/>
  <c r="K108" i="7"/>
  <c r="K109" i="7"/>
  <c r="K110" i="7"/>
  <c r="K111" i="7"/>
  <c r="K112" i="7"/>
  <c r="K113" i="7"/>
  <c r="K114" i="7"/>
  <c r="K115" i="7"/>
  <c r="K116" i="7"/>
  <c r="K117" i="7"/>
  <c r="K118" i="7"/>
  <c r="K119" i="7"/>
  <c r="K120" i="7"/>
  <c r="K121" i="7"/>
  <c r="K122" i="7"/>
  <c r="K123" i="7"/>
  <c r="K124" i="7"/>
  <c r="K125" i="7"/>
  <c r="K126" i="7"/>
  <c r="K127" i="7"/>
  <c r="K128" i="7"/>
  <c r="K129" i="7"/>
  <c r="K130" i="7"/>
  <c r="K131" i="7"/>
  <c r="K132" i="7"/>
  <c r="K133" i="7"/>
  <c r="K134" i="7"/>
  <c r="K135" i="7"/>
  <c r="K136" i="7"/>
  <c r="K137" i="7"/>
  <c r="K138" i="7"/>
  <c r="K139" i="7"/>
  <c r="K140" i="7"/>
  <c r="K141" i="7"/>
  <c r="K142" i="7"/>
  <c r="K143" i="7"/>
  <c r="K144" i="7"/>
  <c r="K145" i="7"/>
  <c r="K146" i="7"/>
  <c r="K147" i="7"/>
  <c r="K148" i="7"/>
  <c r="K149" i="7"/>
  <c r="K150" i="7"/>
  <c r="K151" i="7"/>
  <c r="K152" i="7"/>
  <c r="K153" i="7"/>
  <c r="K154" i="7"/>
  <c r="K155" i="7"/>
  <c r="K156" i="7"/>
  <c r="K157" i="7"/>
  <c r="K158" i="7"/>
  <c r="K159" i="7"/>
  <c r="K160" i="7"/>
  <c r="K161" i="7"/>
  <c r="K162" i="7"/>
  <c r="K163" i="7"/>
  <c r="K164" i="7"/>
  <c r="K165" i="7"/>
  <c r="K166" i="7"/>
  <c r="K167" i="7"/>
  <c r="K168" i="7"/>
  <c r="K169" i="7"/>
  <c r="K170" i="7"/>
  <c r="K171" i="7"/>
  <c r="K172" i="7"/>
  <c r="K173" i="7"/>
  <c r="K174" i="7"/>
  <c r="K175" i="7"/>
  <c r="K176" i="7"/>
  <c r="K177" i="7"/>
  <c r="K178" i="7"/>
  <c r="K179" i="7"/>
  <c r="K180" i="7"/>
  <c r="K181" i="7"/>
  <c r="K182" i="7"/>
  <c r="K183" i="7"/>
  <c r="K184" i="7"/>
  <c r="K185" i="7"/>
  <c r="K186" i="7"/>
  <c r="K187" i="7"/>
  <c r="K188" i="7"/>
  <c r="K189" i="7"/>
  <c r="K190" i="7"/>
  <c r="K191" i="7"/>
  <c r="K192" i="7"/>
  <c r="K193" i="7"/>
  <c r="K194" i="7"/>
  <c r="K195" i="7"/>
  <c r="K196" i="7"/>
  <c r="K197" i="7"/>
  <c r="K198" i="7"/>
  <c r="K199" i="7"/>
  <c r="K200" i="7"/>
  <c r="K201" i="7"/>
  <c r="K202" i="7"/>
  <c r="K203" i="7"/>
  <c r="K204" i="7"/>
  <c r="K205" i="7"/>
  <c r="K206" i="7"/>
  <c r="K207" i="7"/>
  <c r="K208" i="7"/>
  <c r="K209" i="7"/>
  <c r="K210" i="7"/>
  <c r="K211" i="7"/>
  <c r="K212" i="7"/>
  <c r="K213" i="7"/>
  <c r="K214" i="7"/>
  <c r="K215" i="7"/>
  <c r="K216" i="7"/>
  <c r="K217" i="7"/>
  <c r="K218" i="7"/>
  <c r="K219" i="7"/>
  <c r="K220" i="7"/>
  <c r="K221" i="7"/>
  <c r="K222" i="7"/>
  <c r="K223" i="7"/>
  <c r="K224" i="7"/>
  <c r="K225" i="7"/>
  <c r="K226" i="7"/>
  <c r="K227" i="7"/>
  <c r="K228" i="7"/>
  <c r="K229" i="7"/>
  <c r="K230" i="7"/>
  <c r="K231" i="7"/>
  <c r="K232" i="7"/>
  <c r="K233" i="7"/>
  <c r="K234" i="7"/>
  <c r="K235" i="7"/>
  <c r="K236" i="7"/>
  <c r="K237" i="7"/>
  <c r="K238" i="7"/>
  <c r="K239" i="7"/>
  <c r="K240" i="7"/>
  <c r="K241" i="7"/>
  <c r="K242" i="7"/>
  <c r="K243" i="7"/>
  <c r="K244" i="7"/>
  <c r="K245" i="7"/>
  <c r="K246" i="7"/>
  <c r="K247" i="7"/>
  <c r="K248" i="7"/>
  <c r="K249" i="7"/>
  <c r="K250" i="7"/>
  <c r="K251" i="7"/>
  <c r="K252" i="7"/>
  <c r="K253" i="7"/>
  <c r="K254" i="7"/>
  <c r="K255" i="7"/>
  <c r="K256" i="7"/>
  <c r="K257" i="7"/>
  <c r="K258" i="7"/>
  <c r="K259" i="7"/>
  <c r="K260" i="7"/>
  <c r="K261" i="7"/>
  <c r="K262" i="7"/>
  <c r="K263" i="7"/>
  <c r="K264" i="7"/>
  <c r="K265" i="7"/>
  <c r="K266" i="7"/>
  <c r="K267" i="7"/>
  <c r="K268" i="7"/>
  <c r="K269" i="7"/>
  <c r="K270" i="7"/>
  <c r="K271" i="7"/>
  <c r="K272" i="7"/>
  <c r="K273" i="7"/>
  <c r="K274" i="7"/>
  <c r="K275" i="7"/>
  <c r="K276" i="7"/>
  <c r="K277" i="7"/>
  <c r="K278" i="7"/>
  <c r="K279" i="7"/>
  <c r="K280" i="7"/>
  <c r="K281" i="7"/>
  <c r="K282" i="7"/>
  <c r="K283" i="7"/>
  <c r="K284" i="7"/>
  <c r="K285" i="7"/>
  <c r="K286" i="7"/>
  <c r="K287" i="7"/>
  <c r="K288" i="7"/>
  <c r="K289" i="7"/>
  <c r="K290" i="7"/>
  <c r="K291" i="7"/>
  <c r="K292" i="7"/>
  <c r="K293" i="7"/>
  <c r="K294" i="7"/>
  <c r="K295" i="7"/>
  <c r="K296" i="7"/>
  <c r="K297" i="7"/>
  <c r="K298" i="7"/>
  <c r="K299" i="7"/>
  <c r="K300" i="7"/>
  <c r="K301" i="7"/>
  <c r="K302" i="7"/>
  <c r="K303" i="7"/>
  <c r="K304" i="7"/>
  <c r="K305" i="7"/>
  <c r="K306" i="7"/>
  <c r="K307" i="7"/>
  <c r="K308" i="7"/>
  <c r="K309" i="7"/>
  <c r="K310" i="7"/>
  <c r="K311" i="7"/>
  <c r="K312" i="7"/>
  <c r="K313" i="7"/>
  <c r="K314" i="7"/>
  <c r="K315" i="7"/>
  <c r="K316" i="7"/>
  <c r="K317" i="7"/>
  <c r="K318" i="7"/>
  <c r="K319" i="7"/>
  <c r="K320" i="7"/>
  <c r="K321" i="7"/>
  <c r="K322" i="7"/>
  <c r="K323" i="7"/>
  <c r="K324" i="7"/>
  <c r="K325" i="7"/>
  <c r="K326" i="7"/>
  <c r="K327" i="7"/>
  <c r="K328" i="7"/>
  <c r="K329" i="7"/>
  <c r="K330" i="7"/>
  <c r="K331" i="7"/>
  <c r="K332" i="7"/>
  <c r="K333" i="7"/>
  <c r="K334" i="7"/>
  <c r="K335" i="7"/>
  <c r="K336" i="7"/>
  <c r="K337" i="7"/>
  <c r="K338" i="7"/>
  <c r="K339" i="7"/>
  <c r="K340" i="7"/>
  <c r="K341" i="7"/>
  <c r="K342" i="7"/>
  <c r="K343" i="7"/>
  <c r="K344" i="7"/>
  <c r="K345" i="7"/>
  <c r="K346" i="7"/>
  <c r="K347" i="7"/>
  <c r="K348" i="7"/>
  <c r="K349" i="7"/>
  <c r="K350" i="7"/>
  <c r="K351" i="7"/>
  <c r="K352" i="7"/>
  <c r="K353" i="7"/>
  <c r="K354" i="7"/>
  <c r="K355" i="7"/>
  <c r="K356" i="7"/>
  <c r="K357" i="7"/>
  <c r="K358" i="7"/>
  <c r="K359" i="7"/>
  <c r="K360" i="7"/>
  <c r="K361" i="7"/>
  <c r="K362" i="7"/>
  <c r="K363" i="7"/>
  <c r="K364" i="7"/>
  <c r="K365" i="7"/>
  <c r="K366" i="7"/>
  <c r="K367" i="7"/>
  <c r="K368" i="7"/>
  <c r="K369" i="7"/>
  <c r="K370" i="7"/>
  <c r="K371" i="7"/>
  <c r="K372" i="7"/>
  <c r="K373" i="7"/>
  <c r="K374" i="7"/>
  <c r="K375" i="7"/>
  <c r="K376" i="7"/>
  <c r="K377" i="7"/>
  <c r="K378" i="7"/>
  <c r="K379" i="7"/>
  <c r="K380" i="7"/>
  <c r="K381" i="7"/>
  <c r="K382" i="7"/>
  <c r="K383" i="7"/>
  <c r="K384" i="7"/>
  <c r="K385" i="7"/>
  <c r="K386" i="7"/>
  <c r="K387" i="7"/>
  <c r="K388" i="7"/>
  <c r="K389" i="7"/>
  <c r="K390" i="7"/>
  <c r="K391" i="7"/>
  <c r="K392" i="7"/>
  <c r="K393" i="7"/>
  <c r="K394" i="7"/>
  <c r="K395" i="7"/>
  <c r="K396" i="7"/>
  <c r="K397" i="7"/>
  <c r="K398" i="7"/>
  <c r="K399" i="7"/>
  <c r="K400" i="7"/>
  <c r="K401" i="7"/>
  <c r="K402" i="7"/>
  <c r="K403" i="7"/>
  <c r="K404" i="7"/>
  <c r="K405" i="7"/>
  <c r="K406" i="7"/>
  <c r="K407" i="7"/>
  <c r="K408" i="7"/>
  <c r="K409" i="7"/>
  <c r="K410" i="7"/>
  <c r="K411" i="7"/>
  <c r="K412" i="7"/>
  <c r="K413" i="7"/>
  <c r="K414" i="7"/>
  <c r="K415" i="7"/>
  <c r="K416" i="7"/>
  <c r="K417" i="7"/>
  <c r="K418" i="7"/>
  <c r="K419" i="7"/>
  <c r="K420" i="7"/>
  <c r="K421" i="7"/>
  <c r="K422" i="7"/>
  <c r="K423" i="7"/>
  <c r="K424" i="7"/>
  <c r="K425" i="7"/>
  <c r="K426" i="7"/>
  <c r="K427" i="7"/>
  <c r="K428" i="7"/>
  <c r="K429" i="7"/>
  <c r="K430" i="7"/>
  <c r="K431" i="7"/>
  <c r="K432" i="7"/>
  <c r="K433" i="7"/>
  <c r="K434" i="7"/>
  <c r="K435" i="7"/>
  <c r="K436" i="7"/>
  <c r="K437" i="7"/>
  <c r="K438" i="7"/>
  <c r="K439" i="7"/>
  <c r="K440" i="7"/>
  <c r="K441" i="7"/>
  <c r="K442" i="7"/>
  <c r="K443" i="7"/>
  <c r="K444" i="7"/>
  <c r="K445" i="7"/>
  <c r="K446" i="7"/>
  <c r="K447" i="7"/>
  <c r="K448" i="7"/>
  <c r="K449" i="7"/>
  <c r="K450" i="7"/>
  <c r="K451" i="7"/>
  <c r="K452" i="7"/>
  <c r="K453" i="7"/>
  <c r="K454" i="7"/>
  <c r="K455" i="7"/>
  <c r="K456" i="7"/>
  <c r="K457" i="7"/>
  <c r="K458" i="7"/>
  <c r="K459" i="7"/>
  <c r="K460" i="7"/>
  <c r="K461" i="7"/>
  <c r="K462" i="7"/>
  <c r="K463" i="7"/>
  <c r="K464" i="7"/>
  <c r="K465" i="7"/>
  <c r="K466" i="7"/>
  <c r="K467" i="7"/>
  <c r="K468" i="7"/>
  <c r="K469" i="7"/>
  <c r="K470" i="7"/>
  <c r="K471" i="7"/>
  <c r="K472" i="7"/>
  <c r="K473" i="7"/>
  <c r="K474" i="7"/>
  <c r="K475" i="7"/>
  <c r="K476" i="7"/>
  <c r="K477" i="7"/>
  <c r="K478" i="7"/>
  <c r="K479" i="7"/>
  <c r="K480" i="7"/>
  <c r="K481" i="7"/>
  <c r="K482" i="7"/>
  <c r="K483" i="7"/>
  <c r="K484" i="7"/>
  <c r="K485" i="7"/>
  <c r="K486" i="7"/>
  <c r="K487" i="7"/>
  <c r="K488" i="7"/>
  <c r="K489" i="7"/>
  <c r="K490" i="7"/>
  <c r="K491" i="7"/>
  <c r="K492" i="7"/>
  <c r="K493" i="7"/>
  <c r="K494" i="7"/>
  <c r="K495" i="7"/>
  <c r="K496" i="7"/>
  <c r="K497" i="7"/>
  <c r="K498" i="7"/>
  <c r="K499" i="7"/>
  <c r="K500" i="7"/>
  <c r="K501" i="7"/>
  <c r="K502" i="7"/>
  <c r="K503" i="7"/>
  <c r="K504" i="7"/>
  <c r="K505" i="7"/>
  <c r="K506" i="7"/>
  <c r="K507" i="7"/>
  <c r="K508" i="7"/>
  <c r="K509" i="7"/>
  <c r="K510" i="7"/>
  <c r="K511" i="7"/>
  <c r="K512" i="7"/>
  <c r="K513" i="7"/>
  <c r="K514" i="7"/>
  <c r="K515" i="7"/>
  <c r="K516" i="7"/>
  <c r="K517" i="7"/>
  <c r="K518" i="7"/>
  <c r="K519" i="7"/>
  <c r="K520" i="7"/>
  <c r="K521" i="7"/>
  <c r="K522" i="7"/>
  <c r="K523" i="7"/>
  <c r="K524" i="7"/>
  <c r="K525" i="7"/>
  <c r="K526" i="7"/>
  <c r="K527" i="7"/>
  <c r="K528" i="7"/>
  <c r="K529" i="7"/>
  <c r="K530" i="7"/>
  <c r="K531" i="7"/>
  <c r="K532" i="7"/>
  <c r="K533" i="7"/>
  <c r="K534" i="7"/>
  <c r="K535" i="7"/>
  <c r="K536" i="7"/>
  <c r="K537" i="7"/>
  <c r="K538" i="7"/>
  <c r="K539" i="7"/>
  <c r="K540" i="7"/>
  <c r="K541" i="7"/>
  <c r="K542" i="7"/>
  <c r="K543" i="7"/>
  <c r="K544" i="7"/>
  <c r="K545" i="7"/>
  <c r="K546" i="7"/>
  <c r="K547" i="7"/>
  <c r="K548" i="7"/>
  <c r="K549" i="7"/>
  <c r="K550" i="7"/>
  <c r="K551" i="7"/>
  <c r="K552" i="7"/>
  <c r="K553" i="7"/>
  <c r="K554" i="7"/>
  <c r="K555" i="7"/>
  <c r="K556" i="7"/>
  <c r="K557" i="7"/>
  <c r="K558" i="7"/>
  <c r="K559" i="7"/>
  <c r="K560" i="7"/>
  <c r="K561" i="7"/>
  <c r="K562" i="7"/>
  <c r="K563" i="7"/>
  <c r="K564" i="7"/>
  <c r="K565" i="7"/>
  <c r="K566" i="7"/>
  <c r="K567" i="7"/>
  <c r="K568" i="7"/>
  <c r="K569" i="7"/>
  <c r="K570" i="7"/>
  <c r="K571" i="7"/>
  <c r="K572" i="7"/>
  <c r="K573" i="7"/>
  <c r="K574" i="7"/>
  <c r="K575" i="7"/>
  <c r="K576" i="7"/>
  <c r="K577" i="7"/>
  <c r="K578" i="7"/>
  <c r="K579" i="7"/>
  <c r="K580" i="7"/>
  <c r="K581" i="7"/>
  <c r="K582" i="7"/>
  <c r="K583" i="7"/>
  <c r="K584" i="7"/>
  <c r="K585" i="7"/>
  <c r="K586" i="7"/>
  <c r="K587" i="7"/>
  <c r="K588" i="7"/>
  <c r="K589" i="7"/>
  <c r="K590" i="7"/>
  <c r="K591" i="7"/>
  <c r="K592" i="7"/>
  <c r="K593" i="7"/>
  <c r="K594" i="7"/>
  <c r="K595" i="7"/>
  <c r="K596" i="7"/>
  <c r="K597" i="7"/>
  <c r="K598" i="7"/>
  <c r="K599" i="7"/>
  <c r="K600" i="7"/>
  <c r="K601" i="7"/>
  <c r="K602" i="7"/>
  <c r="K603" i="7"/>
  <c r="K604" i="7"/>
  <c r="K605" i="7"/>
  <c r="K606" i="7"/>
  <c r="K607" i="7"/>
  <c r="K608" i="7"/>
  <c r="K609" i="7"/>
  <c r="K610" i="7"/>
  <c r="K611" i="7"/>
  <c r="K612" i="7"/>
  <c r="K613" i="7"/>
  <c r="K614" i="7"/>
  <c r="K615" i="7"/>
  <c r="K616" i="7"/>
  <c r="K617" i="7"/>
  <c r="K618" i="7"/>
  <c r="K619" i="7"/>
  <c r="K620" i="7"/>
  <c r="K621" i="7"/>
  <c r="K622" i="7"/>
  <c r="K623" i="7"/>
  <c r="K624" i="7"/>
  <c r="K625" i="7"/>
  <c r="K626" i="7"/>
  <c r="K627" i="7"/>
  <c r="K628" i="7"/>
  <c r="K629" i="7"/>
  <c r="K630" i="7"/>
  <c r="K631" i="7"/>
  <c r="K632" i="7"/>
  <c r="K633" i="7"/>
  <c r="K634" i="7"/>
  <c r="K635" i="7"/>
  <c r="K636" i="7"/>
  <c r="K637" i="7"/>
  <c r="K638" i="7"/>
  <c r="K639" i="7"/>
  <c r="K640" i="7"/>
  <c r="K641" i="7"/>
  <c r="K642" i="7"/>
  <c r="K643" i="7"/>
  <c r="K644" i="7"/>
  <c r="K645" i="7"/>
  <c r="K646" i="7"/>
  <c r="K647" i="7"/>
  <c r="K648" i="7"/>
  <c r="K649" i="7"/>
  <c r="K650" i="7"/>
  <c r="K651" i="7"/>
  <c r="K652" i="7"/>
  <c r="K653" i="7"/>
  <c r="K654" i="7"/>
  <c r="K655" i="7"/>
  <c r="K656" i="7"/>
  <c r="K657" i="7"/>
  <c r="K658" i="7"/>
  <c r="K659" i="7"/>
  <c r="K660" i="7"/>
  <c r="K661" i="7"/>
  <c r="K662" i="7"/>
  <c r="K663" i="7"/>
  <c r="K664" i="7"/>
  <c r="K665" i="7"/>
  <c r="K666" i="7"/>
  <c r="K667" i="7"/>
  <c r="K668" i="7"/>
  <c r="K669" i="7"/>
  <c r="K670" i="7"/>
  <c r="K671" i="7"/>
  <c r="K672" i="7"/>
  <c r="K673" i="7"/>
  <c r="K674" i="7"/>
  <c r="K675" i="7"/>
  <c r="K676" i="7"/>
  <c r="K677" i="7"/>
  <c r="K678" i="7"/>
  <c r="K679" i="7"/>
  <c r="K680" i="7"/>
  <c r="K681" i="7"/>
  <c r="K682" i="7"/>
  <c r="K683" i="7"/>
  <c r="K684" i="7"/>
  <c r="K685" i="7"/>
  <c r="K686" i="7"/>
  <c r="K687" i="7"/>
  <c r="K688" i="7"/>
  <c r="K689" i="7"/>
  <c r="K690" i="7"/>
  <c r="K691" i="7"/>
  <c r="K692" i="7"/>
  <c r="K693" i="7"/>
  <c r="K694" i="7"/>
  <c r="K695" i="7"/>
  <c r="K696" i="7"/>
  <c r="K697" i="7"/>
  <c r="K698" i="7"/>
  <c r="K699" i="7"/>
  <c r="K700" i="7"/>
  <c r="K701" i="7"/>
  <c r="K702" i="7"/>
  <c r="K703" i="7"/>
  <c r="K704" i="7"/>
  <c r="K705" i="7"/>
  <c r="K706" i="7"/>
  <c r="K707" i="7"/>
  <c r="K708" i="7"/>
  <c r="K709" i="7"/>
  <c r="K710" i="7"/>
  <c r="K711" i="7"/>
  <c r="K712" i="7"/>
  <c r="K713" i="7"/>
  <c r="K714" i="7"/>
  <c r="K715" i="7"/>
  <c r="K716" i="7"/>
  <c r="K717" i="7"/>
  <c r="K718" i="7"/>
  <c r="K719" i="7"/>
  <c r="K720" i="7"/>
  <c r="K721" i="7"/>
  <c r="K722" i="7"/>
  <c r="K723" i="7"/>
  <c r="K724" i="7"/>
  <c r="K725" i="7"/>
  <c r="K726" i="7"/>
  <c r="K727" i="7"/>
  <c r="K728" i="7"/>
  <c r="K729" i="7"/>
  <c r="K730" i="7"/>
  <c r="K731" i="7"/>
  <c r="K732" i="7"/>
  <c r="K733" i="7"/>
  <c r="K734" i="7"/>
  <c r="K735" i="7"/>
  <c r="K736" i="7"/>
  <c r="K737" i="7"/>
  <c r="K738" i="7"/>
  <c r="K739" i="7"/>
  <c r="K740" i="7"/>
  <c r="K741" i="7"/>
  <c r="K742" i="7"/>
  <c r="K743" i="7"/>
  <c r="K744" i="7"/>
  <c r="K745" i="7"/>
  <c r="K746" i="7"/>
  <c r="K747" i="7"/>
  <c r="K748" i="7"/>
  <c r="K749" i="7"/>
  <c r="K750" i="7"/>
  <c r="K751" i="7"/>
  <c r="K752" i="7"/>
  <c r="K753" i="7"/>
  <c r="K754" i="7"/>
  <c r="K755" i="7"/>
  <c r="K756" i="7"/>
  <c r="K757" i="7"/>
  <c r="K758" i="7"/>
  <c r="K759" i="7"/>
  <c r="K760" i="7"/>
  <c r="K761" i="7"/>
  <c r="K762" i="7"/>
  <c r="K763" i="7"/>
  <c r="K764" i="7"/>
  <c r="K765" i="7"/>
  <c r="K766" i="7"/>
  <c r="K767" i="7"/>
  <c r="K768" i="7"/>
  <c r="K769" i="7"/>
  <c r="K770" i="7"/>
  <c r="K771" i="7"/>
  <c r="K772" i="7"/>
  <c r="K773" i="7"/>
  <c r="K774" i="7"/>
  <c r="K775" i="7"/>
  <c r="K776" i="7"/>
  <c r="K777" i="7"/>
  <c r="K778" i="7"/>
  <c r="K779" i="7"/>
  <c r="K780" i="7"/>
  <c r="K781" i="7"/>
  <c r="K782" i="7"/>
  <c r="K783" i="7"/>
  <c r="K784" i="7"/>
  <c r="K785" i="7"/>
  <c r="K786" i="7"/>
  <c r="K787" i="7"/>
  <c r="K788" i="7"/>
  <c r="K789" i="7"/>
  <c r="K790" i="7"/>
  <c r="K791" i="7"/>
  <c r="K792" i="7"/>
  <c r="K793" i="7"/>
  <c r="K794" i="7"/>
  <c r="K795" i="7"/>
  <c r="K796" i="7"/>
  <c r="K797" i="7"/>
  <c r="K798" i="7"/>
  <c r="K799" i="7"/>
  <c r="K800" i="7"/>
  <c r="K801" i="7"/>
  <c r="K802" i="7"/>
  <c r="K803" i="7"/>
  <c r="K804" i="7"/>
  <c r="K805" i="7"/>
  <c r="K806" i="7"/>
  <c r="K807" i="7"/>
  <c r="K808" i="7"/>
  <c r="K809" i="7"/>
  <c r="K810" i="7"/>
  <c r="K811" i="7"/>
  <c r="K812" i="7"/>
  <c r="K813" i="7"/>
  <c r="K814" i="7"/>
  <c r="K815" i="7"/>
  <c r="K816" i="7"/>
  <c r="K817" i="7"/>
  <c r="K818" i="7"/>
  <c r="K819" i="7"/>
  <c r="K820" i="7"/>
  <c r="K821" i="7"/>
  <c r="K822" i="7"/>
  <c r="K823" i="7"/>
  <c r="K824" i="7"/>
  <c r="K825" i="7"/>
  <c r="K826" i="7"/>
  <c r="K827" i="7"/>
  <c r="K828" i="7"/>
  <c r="K829" i="7"/>
  <c r="K830" i="7"/>
  <c r="K831" i="7"/>
  <c r="K832" i="7"/>
  <c r="K833" i="7"/>
  <c r="K834" i="7"/>
  <c r="K835" i="7"/>
  <c r="K836" i="7"/>
  <c r="K837" i="7"/>
  <c r="K838" i="7"/>
  <c r="K839" i="7"/>
  <c r="K840" i="7"/>
  <c r="K841" i="7"/>
  <c r="K842" i="7"/>
  <c r="K843" i="7"/>
  <c r="K844" i="7"/>
  <c r="K845" i="7"/>
  <c r="K846" i="7"/>
  <c r="K847" i="7"/>
  <c r="K848" i="7"/>
  <c r="K849" i="7"/>
  <c r="K850" i="7"/>
  <c r="K851" i="7"/>
  <c r="K852" i="7"/>
  <c r="K853" i="7"/>
  <c r="K854" i="7"/>
  <c r="K855" i="7"/>
  <c r="K856" i="7"/>
  <c r="K857" i="7"/>
  <c r="K858" i="7"/>
  <c r="K859" i="7"/>
  <c r="K860" i="7"/>
  <c r="K861" i="7"/>
  <c r="K862" i="7"/>
  <c r="K863" i="7"/>
  <c r="K864" i="7"/>
  <c r="K865" i="7"/>
  <c r="K866" i="7"/>
  <c r="K867" i="7"/>
  <c r="K868" i="7"/>
  <c r="K869" i="7"/>
  <c r="K870" i="7"/>
  <c r="K871" i="7"/>
  <c r="K872" i="7"/>
  <c r="K873" i="7"/>
  <c r="K874" i="7"/>
  <c r="K875" i="7"/>
  <c r="K876" i="7"/>
  <c r="K877" i="7"/>
  <c r="K878" i="7"/>
  <c r="K879" i="7"/>
  <c r="K880" i="7"/>
  <c r="K881" i="7"/>
  <c r="K882" i="7"/>
  <c r="K883" i="7"/>
  <c r="K884" i="7"/>
  <c r="K885" i="7"/>
  <c r="K886" i="7"/>
  <c r="K887" i="7"/>
  <c r="K888" i="7"/>
  <c r="K889" i="7"/>
  <c r="K890" i="7"/>
  <c r="K891" i="7"/>
  <c r="K892" i="7"/>
  <c r="K893" i="7"/>
  <c r="K894" i="7"/>
  <c r="K895" i="7"/>
  <c r="K896" i="7"/>
  <c r="K897" i="7"/>
  <c r="K898" i="7"/>
  <c r="K899" i="7"/>
  <c r="K900" i="7"/>
  <c r="K901" i="7"/>
  <c r="K902" i="7"/>
  <c r="K903" i="7"/>
  <c r="K904" i="7"/>
  <c r="K905" i="7"/>
  <c r="K906" i="7"/>
  <c r="K907" i="7"/>
  <c r="K908" i="7"/>
  <c r="K909" i="7"/>
  <c r="K910" i="7"/>
  <c r="K911" i="7"/>
  <c r="K912" i="7"/>
  <c r="K913" i="7"/>
  <c r="K914" i="7"/>
  <c r="K915" i="7"/>
  <c r="K916" i="7"/>
  <c r="K917" i="7"/>
  <c r="K918" i="7"/>
  <c r="K919" i="7"/>
  <c r="K920" i="7"/>
  <c r="K921" i="7"/>
  <c r="K922" i="7"/>
  <c r="K923" i="7"/>
  <c r="K924" i="7"/>
  <c r="K925" i="7"/>
  <c r="K926" i="7"/>
  <c r="K927" i="7"/>
  <c r="K928" i="7"/>
  <c r="K929" i="7"/>
  <c r="K930" i="7"/>
  <c r="K931" i="7"/>
  <c r="K932" i="7"/>
  <c r="K933" i="7"/>
  <c r="K934" i="7"/>
  <c r="K935" i="7"/>
  <c r="K936" i="7"/>
  <c r="K937" i="7"/>
  <c r="K938" i="7"/>
  <c r="K939" i="7"/>
  <c r="K940" i="7"/>
  <c r="K941" i="7"/>
  <c r="K942" i="7"/>
  <c r="K943" i="7"/>
  <c r="K944" i="7"/>
  <c r="K945" i="7"/>
  <c r="K946" i="7"/>
  <c r="K947" i="7"/>
  <c r="K948" i="7"/>
  <c r="K949" i="7"/>
  <c r="K950" i="7"/>
  <c r="K951" i="7"/>
  <c r="K952" i="7"/>
  <c r="K953" i="7"/>
  <c r="K954" i="7"/>
  <c r="K955" i="7"/>
  <c r="K956" i="7"/>
  <c r="K957" i="7"/>
  <c r="K958" i="7"/>
  <c r="K959" i="7"/>
  <c r="K960" i="7"/>
  <c r="K961" i="7"/>
  <c r="K962" i="7"/>
  <c r="K963" i="7"/>
  <c r="K964" i="7"/>
  <c r="K965" i="7"/>
  <c r="K966" i="7"/>
  <c r="K967" i="7"/>
  <c r="K968" i="7"/>
  <c r="K969" i="7"/>
  <c r="K970" i="7"/>
  <c r="K971" i="7"/>
  <c r="K972" i="7"/>
  <c r="K973" i="7"/>
  <c r="K974" i="7"/>
  <c r="K975" i="7"/>
  <c r="K976" i="7"/>
  <c r="K977" i="7"/>
  <c r="K978" i="7"/>
  <c r="K979" i="7"/>
  <c r="K980" i="7"/>
  <c r="K981" i="7"/>
  <c r="K982" i="7"/>
  <c r="K983" i="7"/>
  <c r="K984" i="7"/>
  <c r="K985" i="7"/>
  <c r="K986" i="7"/>
  <c r="K987" i="7"/>
  <c r="K988" i="7"/>
  <c r="K989" i="7"/>
  <c r="K990" i="7"/>
  <c r="K991" i="7"/>
  <c r="K992" i="7"/>
  <c r="K993" i="7"/>
  <c r="K994" i="7"/>
  <c r="K995" i="7"/>
  <c r="K996" i="7"/>
  <c r="K997" i="7"/>
  <c r="K998" i="7"/>
  <c r="K999" i="7"/>
  <c r="K1000" i="7"/>
  <c r="J3" i="7"/>
  <c r="J4" i="7"/>
  <c r="J5" i="7"/>
  <c r="J6" i="7"/>
  <c r="J7" i="7"/>
  <c r="J8" i="7"/>
  <c r="J9" i="7"/>
  <c r="J10" i="7"/>
  <c r="J11" i="7"/>
  <c r="J12" i="7"/>
  <c r="J13" i="7"/>
  <c r="J14" i="7"/>
  <c r="J15" i="7"/>
  <c r="J16" i="7"/>
  <c r="J17" i="7"/>
  <c r="J18" i="7"/>
  <c r="J19" i="7"/>
  <c r="J20" i="7"/>
  <c r="J21" i="7"/>
  <c r="J22" i="7"/>
  <c r="J23" i="7"/>
  <c r="J24" i="7"/>
  <c r="J25" i="7"/>
  <c r="J26" i="7"/>
  <c r="J27" i="7"/>
  <c r="J28" i="7"/>
  <c r="J29" i="7"/>
  <c r="J30" i="7"/>
  <c r="J31" i="7"/>
  <c r="J32" i="7"/>
  <c r="J33" i="7"/>
  <c r="J34" i="7"/>
  <c r="J35" i="7"/>
  <c r="J36" i="7"/>
  <c r="J37" i="7"/>
  <c r="J38" i="7"/>
  <c r="J39" i="7"/>
  <c r="J40" i="7"/>
  <c r="J41" i="7"/>
  <c r="J42" i="7"/>
  <c r="J43" i="7"/>
  <c r="J44" i="7"/>
  <c r="J45" i="7"/>
  <c r="J46" i="7"/>
  <c r="J47" i="7"/>
  <c r="J48" i="7"/>
  <c r="J49" i="7"/>
  <c r="J50" i="7"/>
  <c r="J51" i="7"/>
  <c r="J52" i="7"/>
  <c r="J53" i="7"/>
  <c r="J54" i="7"/>
  <c r="J55" i="7"/>
  <c r="J56" i="7"/>
  <c r="J57" i="7"/>
  <c r="J58" i="7"/>
  <c r="J59" i="7"/>
  <c r="J60" i="7"/>
  <c r="J61" i="7"/>
  <c r="J62" i="7"/>
  <c r="J63" i="7"/>
  <c r="J64" i="7"/>
  <c r="J65" i="7"/>
  <c r="J66" i="7"/>
  <c r="J67" i="7"/>
  <c r="J68" i="7"/>
  <c r="J69" i="7"/>
  <c r="J70" i="7"/>
  <c r="J71" i="7"/>
  <c r="J72" i="7"/>
  <c r="J73" i="7"/>
  <c r="J74" i="7"/>
  <c r="J75" i="7"/>
  <c r="J76" i="7"/>
  <c r="J77" i="7"/>
  <c r="J78" i="7"/>
  <c r="J79" i="7"/>
  <c r="J80" i="7"/>
  <c r="J81" i="7"/>
  <c r="J82" i="7"/>
  <c r="J83" i="7"/>
  <c r="J84" i="7"/>
  <c r="J85" i="7"/>
  <c r="J86" i="7"/>
  <c r="J87" i="7"/>
  <c r="J88" i="7"/>
  <c r="J89" i="7"/>
  <c r="J90" i="7"/>
  <c r="J91" i="7"/>
  <c r="J92" i="7"/>
  <c r="J93" i="7"/>
  <c r="J94" i="7"/>
  <c r="J95" i="7"/>
  <c r="J96" i="7"/>
  <c r="J97" i="7"/>
  <c r="J98" i="7"/>
  <c r="J99" i="7"/>
  <c r="J100" i="7"/>
  <c r="J101" i="7"/>
  <c r="J102" i="7"/>
  <c r="J103" i="7"/>
  <c r="J104" i="7"/>
  <c r="J105" i="7"/>
  <c r="J106" i="7"/>
  <c r="J107" i="7"/>
  <c r="J108" i="7"/>
  <c r="J109" i="7"/>
  <c r="J110" i="7"/>
  <c r="J111" i="7"/>
  <c r="J112" i="7"/>
  <c r="J113" i="7"/>
  <c r="J114" i="7"/>
  <c r="J115" i="7"/>
  <c r="J116" i="7"/>
  <c r="J117" i="7"/>
  <c r="J118" i="7"/>
  <c r="J119" i="7"/>
  <c r="J120" i="7"/>
  <c r="J121" i="7"/>
  <c r="J122" i="7"/>
  <c r="J123" i="7"/>
  <c r="J124" i="7"/>
  <c r="J125" i="7"/>
  <c r="J126" i="7"/>
  <c r="J127" i="7"/>
  <c r="J128" i="7"/>
  <c r="J129" i="7"/>
  <c r="J130" i="7"/>
  <c r="J131" i="7"/>
  <c r="J132" i="7"/>
  <c r="J133" i="7"/>
  <c r="J134" i="7"/>
  <c r="J135" i="7"/>
  <c r="J136" i="7"/>
  <c r="J137" i="7"/>
  <c r="J138" i="7"/>
  <c r="J139" i="7"/>
  <c r="J140" i="7"/>
  <c r="J141" i="7"/>
  <c r="J142" i="7"/>
  <c r="J143" i="7"/>
  <c r="J144" i="7"/>
  <c r="J145" i="7"/>
  <c r="J146" i="7"/>
  <c r="J147" i="7"/>
  <c r="J148" i="7"/>
  <c r="J149" i="7"/>
  <c r="J150" i="7"/>
  <c r="J151" i="7"/>
  <c r="J152" i="7"/>
  <c r="J153" i="7"/>
  <c r="J154" i="7"/>
  <c r="J155" i="7"/>
  <c r="J156" i="7"/>
  <c r="J157" i="7"/>
  <c r="J158" i="7"/>
  <c r="J159" i="7"/>
  <c r="J160" i="7"/>
  <c r="J161" i="7"/>
  <c r="J162" i="7"/>
  <c r="J163" i="7"/>
  <c r="J164" i="7"/>
  <c r="J165" i="7"/>
  <c r="J166" i="7"/>
  <c r="J167" i="7"/>
  <c r="J168" i="7"/>
  <c r="J169" i="7"/>
  <c r="J170" i="7"/>
  <c r="J171" i="7"/>
  <c r="J172" i="7"/>
  <c r="J173" i="7"/>
  <c r="J174" i="7"/>
  <c r="J175" i="7"/>
  <c r="J176" i="7"/>
  <c r="J177" i="7"/>
  <c r="J178" i="7"/>
  <c r="J179" i="7"/>
  <c r="J180" i="7"/>
  <c r="J181" i="7"/>
  <c r="J182" i="7"/>
  <c r="J183" i="7"/>
  <c r="J184" i="7"/>
  <c r="J185" i="7"/>
  <c r="J186" i="7"/>
  <c r="J187" i="7"/>
  <c r="J188" i="7"/>
  <c r="J189" i="7"/>
  <c r="J190" i="7"/>
  <c r="J191" i="7"/>
  <c r="J192" i="7"/>
  <c r="J193" i="7"/>
  <c r="J194" i="7"/>
  <c r="J195" i="7"/>
  <c r="J196" i="7"/>
  <c r="J197" i="7"/>
  <c r="J198" i="7"/>
  <c r="J199" i="7"/>
  <c r="J200" i="7"/>
  <c r="J201" i="7"/>
  <c r="J202" i="7"/>
  <c r="J203" i="7"/>
  <c r="J204" i="7"/>
  <c r="J205" i="7"/>
  <c r="J206" i="7"/>
  <c r="J207" i="7"/>
  <c r="J208" i="7"/>
  <c r="J209" i="7"/>
  <c r="J210" i="7"/>
  <c r="J211" i="7"/>
  <c r="J212" i="7"/>
  <c r="J213" i="7"/>
  <c r="J214" i="7"/>
  <c r="J215" i="7"/>
  <c r="J216" i="7"/>
  <c r="J217" i="7"/>
  <c r="J218" i="7"/>
  <c r="J219" i="7"/>
  <c r="J220" i="7"/>
  <c r="J221" i="7"/>
  <c r="J222" i="7"/>
  <c r="J223" i="7"/>
  <c r="J224" i="7"/>
  <c r="J225" i="7"/>
  <c r="J226" i="7"/>
  <c r="J227" i="7"/>
  <c r="J228" i="7"/>
  <c r="J229" i="7"/>
  <c r="J230" i="7"/>
  <c r="J231" i="7"/>
  <c r="J232" i="7"/>
  <c r="J233" i="7"/>
  <c r="J234" i="7"/>
  <c r="J235" i="7"/>
  <c r="J236" i="7"/>
  <c r="J237" i="7"/>
  <c r="J238" i="7"/>
  <c r="J239" i="7"/>
  <c r="J240" i="7"/>
  <c r="J241" i="7"/>
  <c r="J242" i="7"/>
  <c r="J243" i="7"/>
  <c r="J244" i="7"/>
  <c r="J245" i="7"/>
  <c r="J246" i="7"/>
  <c r="J247" i="7"/>
  <c r="J248" i="7"/>
  <c r="J249" i="7"/>
  <c r="J250" i="7"/>
  <c r="J251" i="7"/>
  <c r="J252" i="7"/>
  <c r="J253" i="7"/>
  <c r="J254" i="7"/>
  <c r="J255" i="7"/>
  <c r="J256" i="7"/>
  <c r="J257" i="7"/>
  <c r="J258" i="7"/>
  <c r="J259" i="7"/>
  <c r="J260" i="7"/>
  <c r="J261" i="7"/>
  <c r="J262" i="7"/>
  <c r="J263" i="7"/>
  <c r="J264" i="7"/>
  <c r="J265" i="7"/>
  <c r="J266" i="7"/>
  <c r="J267" i="7"/>
  <c r="J268" i="7"/>
  <c r="J269" i="7"/>
  <c r="J270" i="7"/>
  <c r="J271" i="7"/>
  <c r="J272" i="7"/>
  <c r="J273" i="7"/>
  <c r="J274" i="7"/>
  <c r="J275" i="7"/>
  <c r="J276" i="7"/>
  <c r="J277" i="7"/>
  <c r="J278" i="7"/>
  <c r="J279" i="7"/>
  <c r="J280" i="7"/>
  <c r="J281" i="7"/>
  <c r="J282" i="7"/>
  <c r="J283" i="7"/>
  <c r="J284" i="7"/>
  <c r="J285" i="7"/>
  <c r="J286" i="7"/>
  <c r="J287" i="7"/>
  <c r="J288" i="7"/>
  <c r="J289" i="7"/>
  <c r="J290" i="7"/>
  <c r="J291" i="7"/>
  <c r="J292" i="7"/>
  <c r="J293" i="7"/>
  <c r="J294" i="7"/>
  <c r="J295" i="7"/>
  <c r="J296" i="7"/>
  <c r="J297" i="7"/>
  <c r="J298" i="7"/>
  <c r="J299" i="7"/>
  <c r="J300" i="7"/>
  <c r="J301" i="7"/>
  <c r="J302" i="7"/>
  <c r="J303" i="7"/>
  <c r="J304" i="7"/>
  <c r="J305" i="7"/>
  <c r="J306" i="7"/>
  <c r="J307" i="7"/>
  <c r="J308" i="7"/>
  <c r="J309" i="7"/>
  <c r="J310" i="7"/>
  <c r="J311" i="7"/>
  <c r="J312" i="7"/>
  <c r="J313" i="7"/>
  <c r="J314" i="7"/>
  <c r="J315" i="7"/>
  <c r="J316" i="7"/>
  <c r="J317" i="7"/>
  <c r="J318" i="7"/>
  <c r="J319" i="7"/>
  <c r="J320" i="7"/>
  <c r="J321" i="7"/>
  <c r="J322" i="7"/>
  <c r="J323" i="7"/>
  <c r="J324" i="7"/>
  <c r="J325" i="7"/>
  <c r="J326" i="7"/>
  <c r="J327" i="7"/>
  <c r="J328" i="7"/>
  <c r="J329" i="7"/>
  <c r="J330" i="7"/>
  <c r="J331" i="7"/>
  <c r="J332" i="7"/>
  <c r="J333" i="7"/>
  <c r="J334" i="7"/>
  <c r="J335" i="7"/>
  <c r="J336" i="7"/>
  <c r="J337" i="7"/>
  <c r="J338" i="7"/>
  <c r="J339" i="7"/>
  <c r="J340" i="7"/>
  <c r="J341" i="7"/>
  <c r="J342" i="7"/>
  <c r="J343" i="7"/>
  <c r="J344" i="7"/>
  <c r="J345" i="7"/>
  <c r="J346" i="7"/>
  <c r="J347" i="7"/>
  <c r="J348" i="7"/>
  <c r="J349" i="7"/>
  <c r="J350" i="7"/>
  <c r="J351" i="7"/>
  <c r="J352" i="7"/>
  <c r="J353" i="7"/>
  <c r="J354" i="7"/>
  <c r="J355" i="7"/>
  <c r="J356" i="7"/>
  <c r="J357" i="7"/>
  <c r="J358" i="7"/>
  <c r="J359" i="7"/>
  <c r="J360" i="7"/>
  <c r="J361" i="7"/>
  <c r="J362" i="7"/>
  <c r="J363" i="7"/>
  <c r="J364" i="7"/>
  <c r="J365" i="7"/>
  <c r="J366" i="7"/>
  <c r="J367" i="7"/>
  <c r="J368" i="7"/>
  <c r="J369" i="7"/>
  <c r="J370" i="7"/>
  <c r="J371" i="7"/>
  <c r="J372" i="7"/>
  <c r="J373" i="7"/>
  <c r="J374" i="7"/>
  <c r="J375" i="7"/>
  <c r="J376" i="7"/>
  <c r="J377" i="7"/>
  <c r="J378" i="7"/>
  <c r="J379" i="7"/>
  <c r="J380" i="7"/>
  <c r="J381" i="7"/>
  <c r="J382" i="7"/>
  <c r="J383" i="7"/>
  <c r="J384" i="7"/>
  <c r="J385" i="7"/>
  <c r="J386" i="7"/>
  <c r="J387" i="7"/>
  <c r="J388" i="7"/>
  <c r="J389" i="7"/>
  <c r="J390" i="7"/>
  <c r="J391" i="7"/>
  <c r="J392" i="7"/>
  <c r="J393" i="7"/>
  <c r="J394" i="7"/>
  <c r="J395" i="7"/>
  <c r="J396" i="7"/>
  <c r="J397" i="7"/>
  <c r="J398" i="7"/>
  <c r="J399" i="7"/>
  <c r="J400" i="7"/>
  <c r="J401" i="7"/>
  <c r="J402" i="7"/>
  <c r="J403" i="7"/>
  <c r="J404" i="7"/>
  <c r="J405" i="7"/>
  <c r="J406" i="7"/>
  <c r="J407" i="7"/>
  <c r="J408" i="7"/>
  <c r="J409" i="7"/>
  <c r="J410" i="7"/>
  <c r="J411" i="7"/>
  <c r="J412" i="7"/>
  <c r="J413" i="7"/>
  <c r="J414" i="7"/>
  <c r="J415" i="7"/>
  <c r="J416" i="7"/>
  <c r="J417" i="7"/>
  <c r="J418" i="7"/>
  <c r="J419" i="7"/>
  <c r="J420" i="7"/>
  <c r="J421" i="7"/>
  <c r="J422" i="7"/>
  <c r="J423" i="7"/>
  <c r="J424" i="7"/>
  <c r="J425" i="7"/>
  <c r="J426" i="7"/>
  <c r="J427" i="7"/>
  <c r="J428" i="7"/>
  <c r="J429" i="7"/>
  <c r="J430" i="7"/>
  <c r="J431" i="7"/>
  <c r="J432" i="7"/>
  <c r="J433" i="7"/>
  <c r="J434" i="7"/>
  <c r="J435" i="7"/>
  <c r="J436" i="7"/>
  <c r="J437" i="7"/>
  <c r="J438" i="7"/>
  <c r="J439" i="7"/>
  <c r="J440" i="7"/>
  <c r="J441" i="7"/>
  <c r="J442" i="7"/>
  <c r="J443" i="7"/>
  <c r="J444" i="7"/>
  <c r="J445" i="7"/>
  <c r="J446" i="7"/>
  <c r="J447" i="7"/>
  <c r="J448" i="7"/>
  <c r="J449" i="7"/>
  <c r="J450" i="7"/>
  <c r="J451" i="7"/>
  <c r="J452" i="7"/>
  <c r="J453" i="7"/>
  <c r="J454" i="7"/>
  <c r="J455" i="7"/>
  <c r="J456" i="7"/>
  <c r="J457" i="7"/>
  <c r="J458" i="7"/>
  <c r="J459" i="7"/>
  <c r="J460" i="7"/>
  <c r="J461" i="7"/>
  <c r="J462" i="7"/>
  <c r="J463" i="7"/>
  <c r="J464" i="7"/>
  <c r="J465" i="7"/>
  <c r="J466" i="7"/>
  <c r="J467" i="7"/>
  <c r="J468" i="7"/>
  <c r="J469" i="7"/>
  <c r="J470" i="7"/>
  <c r="J471" i="7"/>
  <c r="J472" i="7"/>
  <c r="J473" i="7"/>
  <c r="J474" i="7"/>
  <c r="J475" i="7"/>
  <c r="J476" i="7"/>
  <c r="J477" i="7"/>
  <c r="J478" i="7"/>
  <c r="J479" i="7"/>
  <c r="J480" i="7"/>
  <c r="J481" i="7"/>
  <c r="J482" i="7"/>
  <c r="J483" i="7"/>
  <c r="J484" i="7"/>
  <c r="J485" i="7"/>
  <c r="J486" i="7"/>
  <c r="J487" i="7"/>
  <c r="J488" i="7"/>
  <c r="J489" i="7"/>
  <c r="J490" i="7"/>
  <c r="J491" i="7"/>
  <c r="J492" i="7"/>
  <c r="J493" i="7"/>
  <c r="J494" i="7"/>
  <c r="J495" i="7"/>
  <c r="J496" i="7"/>
  <c r="J497" i="7"/>
  <c r="J498" i="7"/>
  <c r="J499" i="7"/>
  <c r="J500" i="7"/>
  <c r="J501" i="7"/>
  <c r="J502" i="7"/>
  <c r="J503" i="7"/>
  <c r="J504" i="7"/>
  <c r="J505" i="7"/>
  <c r="J506" i="7"/>
  <c r="J507" i="7"/>
  <c r="J508" i="7"/>
  <c r="J509" i="7"/>
  <c r="J510" i="7"/>
  <c r="J511" i="7"/>
  <c r="J512" i="7"/>
  <c r="J513" i="7"/>
  <c r="J514" i="7"/>
  <c r="J515" i="7"/>
  <c r="J516" i="7"/>
  <c r="J517" i="7"/>
  <c r="J518" i="7"/>
  <c r="J519" i="7"/>
  <c r="J520" i="7"/>
  <c r="J521" i="7"/>
  <c r="J522" i="7"/>
  <c r="J523" i="7"/>
  <c r="J524" i="7"/>
  <c r="J525" i="7"/>
  <c r="J526" i="7"/>
  <c r="J527" i="7"/>
  <c r="J528" i="7"/>
  <c r="J529" i="7"/>
  <c r="J530" i="7"/>
  <c r="J531" i="7"/>
  <c r="J532" i="7"/>
  <c r="J533" i="7"/>
  <c r="J534" i="7"/>
  <c r="J535" i="7"/>
  <c r="J536" i="7"/>
  <c r="J537" i="7"/>
  <c r="J538" i="7"/>
  <c r="J539" i="7"/>
  <c r="J540" i="7"/>
  <c r="J541" i="7"/>
  <c r="J542" i="7"/>
  <c r="J543" i="7"/>
  <c r="J544" i="7"/>
  <c r="J545" i="7"/>
  <c r="J546" i="7"/>
  <c r="J547" i="7"/>
  <c r="J548" i="7"/>
  <c r="J549" i="7"/>
  <c r="J550" i="7"/>
  <c r="J551" i="7"/>
  <c r="J552" i="7"/>
  <c r="J553" i="7"/>
  <c r="J554" i="7"/>
  <c r="J555" i="7"/>
  <c r="J556" i="7"/>
  <c r="J557" i="7"/>
  <c r="J558" i="7"/>
  <c r="J559" i="7"/>
  <c r="J560" i="7"/>
  <c r="J561" i="7"/>
  <c r="J562" i="7"/>
  <c r="J563" i="7"/>
  <c r="J564" i="7"/>
  <c r="J565" i="7"/>
  <c r="J566" i="7"/>
  <c r="J567" i="7"/>
  <c r="J568" i="7"/>
  <c r="J569" i="7"/>
  <c r="J570" i="7"/>
  <c r="J571" i="7"/>
  <c r="J572" i="7"/>
  <c r="J573" i="7"/>
  <c r="J574" i="7"/>
  <c r="J575" i="7"/>
  <c r="J576" i="7"/>
  <c r="J577" i="7"/>
  <c r="J578" i="7"/>
  <c r="J579" i="7"/>
  <c r="J580" i="7"/>
  <c r="J581" i="7"/>
  <c r="J582" i="7"/>
  <c r="J583" i="7"/>
  <c r="J584" i="7"/>
  <c r="J585" i="7"/>
  <c r="J586" i="7"/>
  <c r="J587" i="7"/>
  <c r="J588" i="7"/>
  <c r="J589" i="7"/>
  <c r="J590" i="7"/>
  <c r="J591" i="7"/>
  <c r="J592" i="7"/>
  <c r="J593" i="7"/>
  <c r="J594" i="7"/>
  <c r="J595" i="7"/>
  <c r="J596" i="7"/>
  <c r="J597" i="7"/>
  <c r="J598" i="7"/>
  <c r="J599" i="7"/>
  <c r="J600" i="7"/>
  <c r="J601" i="7"/>
  <c r="J602" i="7"/>
  <c r="J603" i="7"/>
  <c r="J604" i="7"/>
  <c r="J605" i="7"/>
  <c r="J606" i="7"/>
  <c r="J607" i="7"/>
  <c r="J608" i="7"/>
  <c r="J609" i="7"/>
  <c r="J610" i="7"/>
  <c r="J611" i="7"/>
  <c r="J612" i="7"/>
  <c r="J613" i="7"/>
  <c r="J614" i="7"/>
  <c r="J615" i="7"/>
  <c r="J616" i="7"/>
  <c r="J617" i="7"/>
  <c r="J618" i="7"/>
  <c r="J619" i="7"/>
  <c r="J620" i="7"/>
  <c r="J621" i="7"/>
  <c r="J622" i="7"/>
  <c r="J623" i="7"/>
  <c r="J624" i="7"/>
  <c r="J625" i="7"/>
  <c r="J626" i="7"/>
  <c r="J627" i="7"/>
  <c r="J628" i="7"/>
  <c r="J629" i="7"/>
  <c r="J630" i="7"/>
  <c r="J631" i="7"/>
  <c r="J632" i="7"/>
  <c r="J633" i="7"/>
  <c r="J634" i="7"/>
  <c r="J635" i="7"/>
  <c r="J636" i="7"/>
  <c r="J637" i="7"/>
  <c r="J638" i="7"/>
  <c r="J639" i="7"/>
  <c r="J640" i="7"/>
  <c r="J641" i="7"/>
  <c r="J642" i="7"/>
  <c r="J643" i="7"/>
  <c r="J644" i="7"/>
  <c r="J645" i="7"/>
  <c r="J646" i="7"/>
  <c r="J647" i="7"/>
  <c r="J648" i="7"/>
  <c r="J649" i="7"/>
  <c r="J650" i="7"/>
  <c r="J651" i="7"/>
  <c r="J652" i="7"/>
  <c r="J653" i="7"/>
  <c r="J654" i="7"/>
  <c r="J655" i="7"/>
  <c r="J656" i="7"/>
  <c r="J657" i="7"/>
  <c r="J658" i="7"/>
  <c r="J659" i="7"/>
  <c r="J660" i="7"/>
  <c r="J661" i="7"/>
  <c r="J662" i="7"/>
  <c r="J663" i="7"/>
  <c r="J664" i="7"/>
  <c r="J665" i="7"/>
  <c r="J666" i="7"/>
  <c r="J667" i="7"/>
  <c r="J668" i="7"/>
  <c r="J669" i="7"/>
  <c r="J670" i="7"/>
  <c r="J671" i="7"/>
  <c r="J672" i="7"/>
  <c r="J673" i="7"/>
  <c r="J674" i="7"/>
  <c r="J675" i="7"/>
  <c r="J676" i="7"/>
  <c r="J677" i="7"/>
  <c r="J678" i="7"/>
  <c r="J679" i="7"/>
  <c r="J680" i="7"/>
  <c r="J681" i="7"/>
  <c r="J682" i="7"/>
  <c r="J683" i="7"/>
  <c r="J684" i="7"/>
  <c r="J685" i="7"/>
  <c r="J686" i="7"/>
  <c r="J687" i="7"/>
  <c r="J688" i="7"/>
  <c r="J689" i="7"/>
  <c r="J690" i="7"/>
  <c r="J691" i="7"/>
  <c r="J692" i="7"/>
  <c r="J693" i="7"/>
  <c r="J694" i="7"/>
  <c r="J695" i="7"/>
  <c r="J696" i="7"/>
  <c r="J697" i="7"/>
  <c r="J698" i="7"/>
  <c r="J699" i="7"/>
  <c r="J700" i="7"/>
  <c r="J701" i="7"/>
  <c r="J702" i="7"/>
  <c r="J703" i="7"/>
  <c r="J704" i="7"/>
  <c r="J705" i="7"/>
  <c r="J706" i="7"/>
  <c r="J707" i="7"/>
  <c r="J708" i="7"/>
  <c r="J709" i="7"/>
  <c r="J710" i="7"/>
  <c r="J711" i="7"/>
  <c r="J712" i="7"/>
  <c r="J713" i="7"/>
  <c r="J714" i="7"/>
  <c r="J715" i="7"/>
  <c r="J716" i="7"/>
  <c r="J717" i="7"/>
  <c r="J718" i="7"/>
  <c r="J719" i="7"/>
  <c r="J720" i="7"/>
  <c r="J721" i="7"/>
  <c r="J722" i="7"/>
  <c r="J723" i="7"/>
  <c r="J724" i="7"/>
  <c r="J725" i="7"/>
  <c r="J726" i="7"/>
  <c r="J727" i="7"/>
  <c r="J728" i="7"/>
  <c r="J729" i="7"/>
  <c r="J730" i="7"/>
  <c r="J731" i="7"/>
  <c r="J732" i="7"/>
  <c r="J733" i="7"/>
  <c r="J734" i="7"/>
  <c r="J735" i="7"/>
  <c r="J736" i="7"/>
  <c r="J737" i="7"/>
  <c r="J738" i="7"/>
  <c r="J739" i="7"/>
  <c r="J740" i="7"/>
  <c r="J741" i="7"/>
  <c r="J742" i="7"/>
  <c r="J743" i="7"/>
  <c r="J744" i="7"/>
  <c r="J745" i="7"/>
  <c r="J746" i="7"/>
  <c r="J747" i="7"/>
  <c r="J748" i="7"/>
  <c r="J749" i="7"/>
  <c r="J750" i="7"/>
  <c r="J751" i="7"/>
  <c r="J752" i="7"/>
  <c r="J753" i="7"/>
  <c r="J754" i="7"/>
  <c r="J755" i="7"/>
  <c r="J756" i="7"/>
  <c r="J757" i="7"/>
  <c r="J758" i="7"/>
  <c r="J759" i="7"/>
  <c r="J760" i="7"/>
  <c r="J761" i="7"/>
  <c r="J762" i="7"/>
  <c r="J763" i="7"/>
  <c r="J764" i="7"/>
  <c r="J765" i="7"/>
  <c r="J766" i="7"/>
  <c r="J767" i="7"/>
  <c r="J768" i="7"/>
  <c r="J769" i="7"/>
  <c r="J770" i="7"/>
  <c r="J771" i="7"/>
  <c r="J772" i="7"/>
  <c r="J773" i="7"/>
  <c r="J774" i="7"/>
  <c r="J775" i="7"/>
  <c r="J776" i="7"/>
  <c r="J777" i="7"/>
  <c r="J778" i="7"/>
  <c r="J779" i="7"/>
  <c r="J780" i="7"/>
  <c r="J781" i="7"/>
  <c r="J782" i="7"/>
  <c r="J783" i="7"/>
  <c r="J784" i="7"/>
  <c r="J785" i="7"/>
  <c r="J786" i="7"/>
  <c r="J787" i="7"/>
  <c r="J788" i="7"/>
  <c r="J789" i="7"/>
  <c r="J790" i="7"/>
  <c r="J791" i="7"/>
  <c r="J792" i="7"/>
  <c r="J793" i="7"/>
  <c r="J794" i="7"/>
  <c r="J795" i="7"/>
  <c r="J796" i="7"/>
  <c r="J797" i="7"/>
  <c r="J798" i="7"/>
  <c r="J799" i="7"/>
  <c r="J800" i="7"/>
  <c r="J801" i="7"/>
  <c r="J802" i="7"/>
  <c r="J803" i="7"/>
  <c r="J804" i="7"/>
  <c r="J805" i="7"/>
  <c r="J806" i="7"/>
  <c r="J807" i="7"/>
  <c r="J808" i="7"/>
  <c r="J809" i="7"/>
  <c r="J810" i="7"/>
  <c r="J811" i="7"/>
  <c r="J812" i="7"/>
  <c r="J813" i="7"/>
  <c r="J814" i="7"/>
  <c r="J815" i="7"/>
  <c r="J816" i="7"/>
  <c r="J817" i="7"/>
  <c r="J818" i="7"/>
  <c r="J819" i="7"/>
  <c r="J820" i="7"/>
  <c r="J821" i="7"/>
  <c r="J822" i="7"/>
  <c r="J823" i="7"/>
  <c r="J824" i="7"/>
  <c r="J825" i="7"/>
  <c r="J826" i="7"/>
  <c r="J827" i="7"/>
  <c r="J828" i="7"/>
  <c r="J829" i="7"/>
  <c r="J830" i="7"/>
  <c r="J831" i="7"/>
  <c r="J832" i="7"/>
  <c r="J833" i="7"/>
  <c r="J834" i="7"/>
  <c r="J835" i="7"/>
  <c r="J836" i="7"/>
  <c r="J837" i="7"/>
  <c r="J838" i="7"/>
  <c r="J839" i="7"/>
  <c r="J840" i="7"/>
  <c r="J841" i="7"/>
  <c r="J842" i="7"/>
  <c r="J843" i="7"/>
  <c r="J844" i="7"/>
  <c r="J845" i="7"/>
  <c r="J846" i="7"/>
  <c r="J847" i="7"/>
  <c r="J848" i="7"/>
  <c r="J849" i="7"/>
  <c r="J850" i="7"/>
  <c r="J851" i="7"/>
  <c r="J852" i="7"/>
  <c r="J853" i="7"/>
  <c r="J854" i="7"/>
  <c r="J855" i="7"/>
  <c r="J856" i="7"/>
  <c r="J857" i="7"/>
  <c r="J858" i="7"/>
  <c r="J859" i="7"/>
  <c r="J860" i="7"/>
  <c r="J861" i="7"/>
  <c r="J862" i="7"/>
  <c r="J863" i="7"/>
  <c r="J864" i="7"/>
  <c r="J865" i="7"/>
  <c r="J866" i="7"/>
  <c r="J867" i="7"/>
  <c r="J868" i="7"/>
  <c r="J869" i="7"/>
  <c r="J870" i="7"/>
  <c r="J871" i="7"/>
  <c r="J872" i="7"/>
  <c r="J873" i="7"/>
  <c r="J874" i="7"/>
  <c r="J875" i="7"/>
  <c r="J876" i="7"/>
  <c r="J877" i="7"/>
  <c r="J878" i="7"/>
  <c r="J879" i="7"/>
  <c r="J880" i="7"/>
  <c r="J881" i="7"/>
  <c r="J882" i="7"/>
  <c r="J883" i="7"/>
  <c r="J884" i="7"/>
  <c r="J885" i="7"/>
  <c r="J886" i="7"/>
  <c r="J887" i="7"/>
  <c r="J888" i="7"/>
  <c r="J889" i="7"/>
  <c r="J890" i="7"/>
  <c r="J891" i="7"/>
  <c r="J892" i="7"/>
  <c r="J893" i="7"/>
  <c r="J894" i="7"/>
  <c r="J895" i="7"/>
  <c r="J896" i="7"/>
  <c r="J897" i="7"/>
  <c r="J898" i="7"/>
  <c r="J899" i="7"/>
  <c r="J900" i="7"/>
  <c r="J901" i="7"/>
  <c r="J902" i="7"/>
  <c r="J903" i="7"/>
  <c r="J904" i="7"/>
  <c r="J905" i="7"/>
  <c r="J906" i="7"/>
  <c r="J907" i="7"/>
  <c r="J908" i="7"/>
  <c r="J909" i="7"/>
  <c r="J910" i="7"/>
  <c r="J911" i="7"/>
  <c r="J912" i="7"/>
  <c r="J913" i="7"/>
  <c r="J914" i="7"/>
  <c r="J915" i="7"/>
  <c r="J916" i="7"/>
  <c r="J917" i="7"/>
  <c r="J918" i="7"/>
  <c r="J919" i="7"/>
  <c r="J920" i="7"/>
  <c r="J921" i="7"/>
  <c r="J922" i="7"/>
  <c r="J923" i="7"/>
  <c r="J924" i="7"/>
  <c r="J925" i="7"/>
  <c r="J926" i="7"/>
  <c r="J927" i="7"/>
  <c r="J928" i="7"/>
  <c r="J929" i="7"/>
  <c r="J930" i="7"/>
  <c r="J931" i="7"/>
  <c r="J932" i="7"/>
  <c r="J933" i="7"/>
  <c r="J934" i="7"/>
  <c r="J935" i="7"/>
  <c r="J936" i="7"/>
  <c r="J937" i="7"/>
  <c r="J938" i="7"/>
  <c r="J939" i="7"/>
  <c r="J940" i="7"/>
  <c r="J941" i="7"/>
  <c r="J942" i="7"/>
  <c r="J943" i="7"/>
  <c r="J944" i="7"/>
  <c r="J945" i="7"/>
  <c r="J946" i="7"/>
  <c r="J947" i="7"/>
  <c r="J948" i="7"/>
  <c r="J949" i="7"/>
  <c r="J950" i="7"/>
  <c r="J951" i="7"/>
  <c r="J952" i="7"/>
  <c r="J953" i="7"/>
  <c r="J954" i="7"/>
  <c r="J955" i="7"/>
  <c r="J956" i="7"/>
  <c r="J957" i="7"/>
  <c r="J958" i="7"/>
  <c r="J959" i="7"/>
  <c r="J960" i="7"/>
  <c r="J961" i="7"/>
  <c r="J962" i="7"/>
  <c r="J963" i="7"/>
  <c r="J964" i="7"/>
  <c r="J965" i="7"/>
  <c r="J966" i="7"/>
  <c r="J967" i="7"/>
  <c r="J968" i="7"/>
  <c r="J969" i="7"/>
  <c r="J970" i="7"/>
  <c r="J971" i="7"/>
  <c r="J972" i="7"/>
  <c r="J973" i="7"/>
  <c r="J974" i="7"/>
  <c r="J975" i="7"/>
  <c r="J976" i="7"/>
  <c r="J977" i="7"/>
  <c r="J978" i="7"/>
  <c r="J979" i="7"/>
  <c r="J980" i="7"/>
  <c r="J981" i="7"/>
  <c r="J982" i="7"/>
  <c r="J983" i="7"/>
  <c r="J984" i="7"/>
  <c r="J985" i="7"/>
  <c r="J986" i="7"/>
  <c r="J987" i="7"/>
  <c r="J988" i="7"/>
  <c r="J989" i="7"/>
  <c r="J990" i="7"/>
  <c r="J991" i="7"/>
  <c r="J992" i="7"/>
  <c r="J993" i="7"/>
  <c r="J994" i="7"/>
  <c r="J995" i="7"/>
  <c r="J996" i="7"/>
  <c r="J997" i="7"/>
  <c r="J998" i="7"/>
  <c r="J999" i="7"/>
  <c r="J1000" i="7"/>
  <c r="I3" i="7"/>
  <c r="I4" i="7"/>
  <c r="I5" i="7"/>
  <c r="I6" i="7"/>
  <c r="I7" i="7"/>
  <c r="I8" i="7"/>
  <c r="I9" i="7"/>
  <c r="I10" i="7"/>
  <c r="I11" i="7"/>
  <c r="I12" i="7"/>
  <c r="I13" i="7"/>
  <c r="I14" i="7"/>
  <c r="I15" i="7"/>
  <c r="I16" i="7"/>
  <c r="I17" i="7"/>
  <c r="I18" i="7"/>
  <c r="I19" i="7"/>
  <c r="I20" i="7"/>
  <c r="I21" i="7"/>
  <c r="I22" i="7"/>
  <c r="I23" i="7"/>
  <c r="I24" i="7"/>
  <c r="I25" i="7"/>
  <c r="I26" i="7"/>
  <c r="I27" i="7"/>
  <c r="I28" i="7"/>
  <c r="I29" i="7"/>
  <c r="I30" i="7"/>
  <c r="I31" i="7"/>
  <c r="I32" i="7"/>
  <c r="I33" i="7"/>
  <c r="I34" i="7"/>
  <c r="I35" i="7"/>
  <c r="I36" i="7"/>
  <c r="I37" i="7"/>
  <c r="I38" i="7"/>
  <c r="I39" i="7"/>
  <c r="I40" i="7"/>
  <c r="I41" i="7"/>
  <c r="I42" i="7"/>
  <c r="I43" i="7"/>
  <c r="I44" i="7"/>
  <c r="I45" i="7"/>
  <c r="I46" i="7"/>
  <c r="I47" i="7"/>
  <c r="I48" i="7"/>
  <c r="I49" i="7"/>
  <c r="I50" i="7"/>
  <c r="I51" i="7"/>
  <c r="I52" i="7"/>
  <c r="I53" i="7"/>
  <c r="I54" i="7"/>
  <c r="I55" i="7"/>
  <c r="I56" i="7"/>
  <c r="I57" i="7"/>
  <c r="I58" i="7"/>
  <c r="I59" i="7"/>
  <c r="I60" i="7"/>
  <c r="I61" i="7"/>
  <c r="I62" i="7"/>
  <c r="I63" i="7"/>
  <c r="I64" i="7"/>
  <c r="I65" i="7"/>
  <c r="I66" i="7"/>
  <c r="I67" i="7"/>
  <c r="I68" i="7"/>
  <c r="I69" i="7"/>
  <c r="I70" i="7"/>
  <c r="I71" i="7"/>
  <c r="I72" i="7"/>
  <c r="I73" i="7"/>
  <c r="I74" i="7"/>
  <c r="I75" i="7"/>
  <c r="I76" i="7"/>
  <c r="I77" i="7"/>
  <c r="I78" i="7"/>
  <c r="I79" i="7"/>
  <c r="I80" i="7"/>
  <c r="I81" i="7"/>
  <c r="I82" i="7"/>
  <c r="I83" i="7"/>
  <c r="I84" i="7"/>
  <c r="I85" i="7"/>
  <c r="I86" i="7"/>
  <c r="I87" i="7"/>
  <c r="I88" i="7"/>
  <c r="I89" i="7"/>
  <c r="I90" i="7"/>
  <c r="I91" i="7"/>
  <c r="I92" i="7"/>
  <c r="I93" i="7"/>
  <c r="I94" i="7"/>
  <c r="I95" i="7"/>
  <c r="I96" i="7"/>
  <c r="I97" i="7"/>
  <c r="I98" i="7"/>
  <c r="I99" i="7"/>
  <c r="I100" i="7"/>
  <c r="I101" i="7"/>
  <c r="I102" i="7"/>
  <c r="I103" i="7"/>
  <c r="I104" i="7"/>
  <c r="I105" i="7"/>
  <c r="I106" i="7"/>
  <c r="I107" i="7"/>
  <c r="I108" i="7"/>
  <c r="I109" i="7"/>
  <c r="I110" i="7"/>
  <c r="I111" i="7"/>
  <c r="I112" i="7"/>
  <c r="I113" i="7"/>
  <c r="I114" i="7"/>
  <c r="I115" i="7"/>
  <c r="I116" i="7"/>
  <c r="I117" i="7"/>
  <c r="I118" i="7"/>
  <c r="I119" i="7"/>
  <c r="I120" i="7"/>
  <c r="I121" i="7"/>
  <c r="I122" i="7"/>
  <c r="I123" i="7"/>
  <c r="I124" i="7"/>
  <c r="I125" i="7"/>
  <c r="I126" i="7"/>
  <c r="I127" i="7"/>
  <c r="I128" i="7"/>
  <c r="I129" i="7"/>
  <c r="I130" i="7"/>
  <c r="I131" i="7"/>
  <c r="I132" i="7"/>
  <c r="I133" i="7"/>
  <c r="I134" i="7"/>
  <c r="I135" i="7"/>
  <c r="I136" i="7"/>
  <c r="I137" i="7"/>
  <c r="I138" i="7"/>
  <c r="I139" i="7"/>
  <c r="I140" i="7"/>
  <c r="I141" i="7"/>
  <c r="I142" i="7"/>
  <c r="I143" i="7"/>
  <c r="I144" i="7"/>
  <c r="I145" i="7"/>
  <c r="I146" i="7"/>
  <c r="I147" i="7"/>
  <c r="I148" i="7"/>
  <c r="I149" i="7"/>
  <c r="I150" i="7"/>
  <c r="I151" i="7"/>
  <c r="I152" i="7"/>
  <c r="I153" i="7"/>
  <c r="I154" i="7"/>
  <c r="I155" i="7"/>
  <c r="I156" i="7"/>
  <c r="I157" i="7"/>
  <c r="I158" i="7"/>
  <c r="I159" i="7"/>
  <c r="I160" i="7"/>
  <c r="I161" i="7"/>
  <c r="I162" i="7"/>
  <c r="I163" i="7"/>
  <c r="I164" i="7"/>
  <c r="I165" i="7"/>
  <c r="I166" i="7"/>
  <c r="I167" i="7"/>
  <c r="I168" i="7"/>
  <c r="I169" i="7"/>
  <c r="I170" i="7"/>
  <c r="I171" i="7"/>
  <c r="I172" i="7"/>
  <c r="I173" i="7"/>
  <c r="I174" i="7"/>
  <c r="I175" i="7"/>
  <c r="I176" i="7"/>
  <c r="I177" i="7"/>
  <c r="I178" i="7"/>
  <c r="I179" i="7"/>
  <c r="I180" i="7"/>
  <c r="I181" i="7"/>
  <c r="I182" i="7"/>
  <c r="I183" i="7"/>
  <c r="I184" i="7"/>
  <c r="I185" i="7"/>
  <c r="I186" i="7"/>
  <c r="I187" i="7"/>
  <c r="I188" i="7"/>
  <c r="I189" i="7"/>
  <c r="I190" i="7"/>
  <c r="I191" i="7"/>
  <c r="I192" i="7"/>
  <c r="I193" i="7"/>
  <c r="I194" i="7"/>
  <c r="I195" i="7"/>
  <c r="I196" i="7"/>
  <c r="I197" i="7"/>
  <c r="I198" i="7"/>
  <c r="I199" i="7"/>
  <c r="I200" i="7"/>
  <c r="I201" i="7"/>
  <c r="I202" i="7"/>
  <c r="I203" i="7"/>
  <c r="I204" i="7"/>
  <c r="I205" i="7"/>
  <c r="I206" i="7"/>
  <c r="I207" i="7"/>
  <c r="I208" i="7"/>
  <c r="I209" i="7"/>
  <c r="I210" i="7"/>
  <c r="I211" i="7"/>
  <c r="I212" i="7"/>
  <c r="I213" i="7"/>
  <c r="I214" i="7"/>
  <c r="I215" i="7"/>
  <c r="I216" i="7"/>
  <c r="I217" i="7"/>
  <c r="I218" i="7"/>
  <c r="I219" i="7"/>
  <c r="I220" i="7"/>
  <c r="I221" i="7"/>
  <c r="I222" i="7"/>
  <c r="I223" i="7"/>
  <c r="I224" i="7"/>
  <c r="I225" i="7"/>
  <c r="I226" i="7"/>
  <c r="I227" i="7"/>
  <c r="I228" i="7"/>
  <c r="I229" i="7"/>
  <c r="I230" i="7"/>
  <c r="I231" i="7"/>
  <c r="I232" i="7"/>
  <c r="I233" i="7"/>
  <c r="I234" i="7"/>
  <c r="I235" i="7"/>
  <c r="I236" i="7"/>
  <c r="I237" i="7"/>
  <c r="I238" i="7"/>
  <c r="I239" i="7"/>
  <c r="I240" i="7"/>
  <c r="I241" i="7"/>
  <c r="I242" i="7"/>
  <c r="I243" i="7"/>
  <c r="I244" i="7"/>
  <c r="I245" i="7"/>
  <c r="I246" i="7"/>
  <c r="I247" i="7"/>
  <c r="I248" i="7"/>
  <c r="I249" i="7"/>
  <c r="I250" i="7"/>
  <c r="I251" i="7"/>
  <c r="I252" i="7"/>
  <c r="I253" i="7"/>
  <c r="I254" i="7"/>
  <c r="I255" i="7"/>
  <c r="I256" i="7"/>
  <c r="I257" i="7"/>
  <c r="I258" i="7"/>
  <c r="I259" i="7"/>
  <c r="I260" i="7"/>
  <c r="I261" i="7"/>
  <c r="I262" i="7"/>
  <c r="I263" i="7"/>
  <c r="I264" i="7"/>
  <c r="I265" i="7"/>
  <c r="I266" i="7"/>
  <c r="I267" i="7"/>
  <c r="I268" i="7"/>
  <c r="I269" i="7"/>
  <c r="I270" i="7"/>
  <c r="I271" i="7"/>
  <c r="I272" i="7"/>
  <c r="I273" i="7"/>
  <c r="I274" i="7"/>
  <c r="I275" i="7"/>
  <c r="I276" i="7"/>
  <c r="I277" i="7"/>
  <c r="I278" i="7"/>
  <c r="I279" i="7"/>
  <c r="I280" i="7"/>
  <c r="I281" i="7"/>
  <c r="I282" i="7"/>
  <c r="I283" i="7"/>
  <c r="I284" i="7"/>
  <c r="I285" i="7"/>
  <c r="I286" i="7"/>
  <c r="I287" i="7"/>
  <c r="I288" i="7"/>
  <c r="I289" i="7"/>
  <c r="I290" i="7"/>
  <c r="I291" i="7"/>
  <c r="I292" i="7"/>
  <c r="I293" i="7"/>
  <c r="I294" i="7"/>
  <c r="I295" i="7"/>
  <c r="I296" i="7"/>
  <c r="I297" i="7"/>
  <c r="I298" i="7"/>
  <c r="I299" i="7"/>
  <c r="I300" i="7"/>
  <c r="I301" i="7"/>
  <c r="I302" i="7"/>
  <c r="I303" i="7"/>
  <c r="I304" i="7"/>
  <c r="I305" i="7"/>
  <c r="I306" i="7"/>
  <c r="I307" i="7"/>
  <c r="I308" i="7"/>
  <c r="I309" i="7"/>
  <c r="I310" i="7"/>
  <c r="I311" i="7"/>
  <c r="I312" i="7"/>
  <c r="I313" i="7"/>
  <c r="I314" i="7"/>
  <c r="I315" i="7"/>
  <c r="I316" i="7"/>
  <c r="I317" i="7"/>
  <c r="I318" i="7"/>
  <c r="I319" i="7"/>
  <c r="I320" i="7"/>
  <c r="I321" i="7"/>
  <c r="I322" i="7"/>
  <c r="I323" i="7"/>
  <c r="I324" i="7"/>
  <c r="I325" i="7"/>
  <c r="I326" i="7"/>
  <c r="I327" i="7"/>
  <c r="I328" i="7"/>
  <c r="I329" i="7"/>
  <c r="I330" i="7"/>
  <c r="I331" i="7"/>
  <c r="I332" i="7"/>
  <c r="I333" i="7"/>
  <c r="I334" i="7"/>
  <c r="I335" i="7"/>
  <c r="I336" i="7"/>
  <c r="I337" i="7"/>
  <c r="I338" i="7"/>
  <c r="I339" i="7"/>
  <c r="I340" i="7"/>
  <c r="I341" i="7"/>
  <c r="I342" i="7"/>
  <c r="I343" i="7"/>
  <c r="I344" i="7"/>
  <c r="I345" i="7"/>
  <c r="I346" i="7"/>
  <c r="I347" i="7"/>
  <c r="I348" i="7"/>
  <c r="I349" i="7"/>
  <c r="I350" i="7"/>
  <c r="I351" i="7"/>
  <c r="I352" i="7"/>
  <c r="I353" i="7"/>
  <c r="I354" i="7"/>
  <c r="I355" i="7"/>
  <c r="I356" i="7"/>
  <c r="I357" i="7"/>
  <c r="I358" i="7"/>
  <c r="I359" i="7"/>
  <c r="I360" i="7"/>
  <c r="I361" i="7"/>
  <c r="I362" i="7"/>
  <c r="I363" i="7"/>
  <c r="I364" i="7"/>
  <c r="I365" i="7"/>
  <c r="I366" i="7"/>
  <c r="I367" i="7"/>
  <c r="I368" i="7"/>
  <c r="I369" i="7"/>
  <c r="I370" i="7"/>
  <c r="I371" i="7"/>
  <c r="I372" i="7"/>
  <c r="I373" i="7"/>
  <c r="I374" i="7"/>
  <c r="I375" i="7"/>
  <c r="I376" i="7"/>
  <c r="I377" i="7"/>
  <c r="I378" i="7"/>
  <c r="I379" i="7"/>
  <c r="I380" i="7"/>
  <c r="I381" i="7"/>
  <c r="I382" i="7"/>
  <c r="I383" i="7"/>
  <c r="I384" i="7"/>
  <c r="I385" i="7"/>
  <c r="I386" i="7"/>
  <c r="I387" i="7"/>
  <c r="I388" i="7"/>
  <c r="I389" i="7"/>
  <c r="I390" i="7"/>
  <c r="I391" i="7"/>
  <c r="I392" i="7"/>
  <c r="I393" i="7"/>
  <c r="I394" i="7"/>
  <c r="I395" i="7"/>
  <c r="I396" i="7"/>
  <c r="I397" i="7"/>
  <c r="I398" i="7"/>
  <c r="I399" i="7"/>
  <c r="I400" i="7"/>
  <c r="I401" i="7"/>
  <c r="I402" i="7"/>
  <c r="I403" i="7"/>
  <c r="I404" i="7"/>
  <c r="I405" i="7"/>
  <c r="I406" i="7"/>
  <c r="I407" i="7"/>
  <c r="I408" i="7"/>
  <c r="I409" i="7"/>
  <c r="I410" i="7"/>
  <c r="I411" i="7"/>
  <c r="I412" i="7"/>
  <c r="I413" i="7"/>
  <c r="I414" i="7"/>
  <c r="I415" i="7"/>
  <c r="I416" i="7"/>
  <c r="I417" i="7"/>
  <c r="I418" i="7"/>
  <c r="I419" i="7"/>
  <c r="I420" i="7"/>
  <c r="I421" i="7"/>
  <c r="I422" i="7"/>
  <c r="I423" i="7"/>
  <c r="I424" i="7"/>
  <c r="I425" i="7"/>
  <c r="I426" i="7"/>
  <c r="I427" i="7"/>
  <c r="I428" i="7"/>
  <c r="I429" i="7"/>
  <c r="I430" i="7"/>
  <c r="I431" i="7"/>
  <c r="I432" i="7"/>
  <c r="I433" i="7"/>
  <c r="I434" i="7"/>
  <c r="I435" i="7"/>
  <c r="I436" i="7"/>
  <c r="I437" i="7"/>
  <c r="I438" i="7"/>
  <c r="I439" i="7"/>
  <c r="I440" i="7"/>
  <c r="I441" i="7"/>
  <c r="I442" i="7"/>
  <c r="I443" i="7"/>
  <c r="I444" i="7"/>
  <c r="I445" i="7"/>
  <c r="I446" i="7"/>
  <c r="I447" i="7"/>
  <c r="I448" i="7"/>
  <c r="I449" i="7"/>
  <c r="I450" i="7"/>
  <c r="I451" i="7"/>
  <c r="I452" i="7"/>
  <c r="I453" i="7"/>
  <c r="I454" i="7"/>
  <c r="I455" i="7"/>
  <c r="I456" i="7"/>
  <c r="I457" i="7"/>
  <c r="I458" i="7"/>
  <c r="I459" i="7"/>
  <c r="I460" i="7"/>
  <c r="I461" i="7"/>
  <c r="I462" i="7"/>
  <c r="I463" i="7"/>
  <c r="I464" i="7"/>
  <c r="I465" i="7"/>
  <c r="I466" i="7"/>
  <c r="I467" i="7"/>
  <c r="I468" i="7"/>
  <c r="I469" i="7"/>
  <c r="I470" i="7"/>
  <c r="I471" i="7"/>
  <c r="I472" i="7"/>
  <c r="I473" i="7"/>
  <c r="I474" i="7"/>
  <c r="I475" i="7"/>
  <c r="I476" i="7"/>
  <c r="I477" i="7"/>
  <c r="I478" i="7"/>
  <c r="I479" i="7"/>
  <c r="I480" i="7"/>
  <c r="I481" i="7"/>
  <c r="I482" i="7"/>
  <c r="I483" i="7"/>
  <c r="I484" i="7"/>
  <c r="I485" i="7"/>
  <c r="I486" i="7"/>
  <c r="I487" i="7"/>
  <c r="I488" i="7"/>
  <c r="I489" i="7"/>
  <c r="I490" i="7"/>
  <c r="I491" i="7"/>
  <c r="I492" i="7"/>
  <c r="I493" i="7"/>
  <c r="I494" i="7"/>
  <c r="I495" i="7"/>
  <c r="I496" i="7"/>
  <c r="I497" i="7"/>
  <c r="I498" i="7"/>
  <c r="I499" i="7"/>
  <c r="I500" i="7"/>
  <c r="I501" i="7"/>
  <c r="I502" i="7"/>
  <c r="I503" i="7"/>
  <c r="I504" i="7"/>
  <c r="I505" i="7"/>
  <c r="I506" i="7"/>
  <c r="I507" i="7"/>
  <c r="I508" i="7"/>
  <c r="I509" i="7"/>
  <c r="I510" i="7"/>
  <c r="I511" i="7"/>
  <c r="I512" i="7"/>
  <c r="I513" i="7"/>
  <c r="I514" i="7"/>
  <c r="I515" i="7"/>
  <c r="I516" i="7"/>
  <c r="I517" i="7"/>
  <c r="I518" i="7"/>
  <c r="I519" i="7"/>
  <c r="I520" i="7"/>
  <c r="I521" i="7"/>
  <c r="I522" i="7"/>
  <c r="I523" i="7"/>
  <c r="I524" i="7"/>
  <c r="I525" i="7"/>
  <c r="I526" i="7"/>
  <c r="I527" i="7"/>
  <c r="I528" i="7"/>
  <c r="I529" i="7"/>
  <c r="I530" i="7"/>
  <c r="I531" i="7"/>
  <c r="I532" i="7"/>
  <c r="I533" i="7"/>
  <c r="I534" i="7"/>
  <c r="I535" i="7"/>
  <c r="I536" i="7"/>
  <c r="I537" i="7"/>
  <c r="I538" i="7"/>
  <c r="I539" i="7"/>
  <c r="I540" i="7"/>
  <c r="I541" i="7"/>
  <c r="I542" i="7"/>
  <c r="I543" i="7"/>
  <c r="I544" i="7"/>
  <c r="I545" i="7"/>
  <c r="I546" i="7"/>
  <c r="I547" i="7"/>
  <c r="I548" i="7"/>
  <c r="I549" i="7"/>
  <c r="I550" i="7"/>
  <c r="I551" i="7"/>
  <c r="I552" i="7"/>
  <c r="I553" i="7"/>
  <c r="I554" i="7"/>
  <c r="I555" i="7"/>
  <c r="I556" i="7"/>
  <c r="I557" i="7"/>
  <c r="I558" i="7"/>
  <c r="I559" i="7"/>
  <c r="I560" i="7"/>
  <c r="I561" i="7"/>
  <c r="I562" i="7"/>
  <c r="I563" i="7"/>
  <c r="I564" i="7"/>
  <c r="I565" i="7"/>
  <c r="I566" i="7"/>
  <c r="I567" i="7"/>
  <c r="I568" i="7"/>
  <c r="I569" i="7"/>
  <c r="I570" i="7"/>
  <c r="I571" i="7"/>
  <c r="I572" i="7"/>
  <c r="I573" i="7"/>
  <c r="I574" i="7"/>
  <c r="I575" i="7"/>
  <c r="I576" i="7"/>
  <c r="I577" i="7"/>
  <c r="I578" i="7"/>
  <c r="I579" i="7"/>
  <c r="I580" i="7"/>
  <c r="I581" i="7"/>
  <c r="I582" i="7"/>
  <c r="I583" i="7"/>
  <c r="I584" i="7"/>
  <c r="I585" i="7"/>
  <c r="I586" i="7"/>
  <c r="I587" i="7"/>
  <c r="I588" i="7"/>
  <c r="I589" i="7"/>
  <c r="I590" i="7"/>
  <c r="I591" i="7"/>
  <c r="I592" i="7"/>
  <c r="I593" i="7"/>
  <c r="I594" i="7"/>
  <c r="I595" i="7"/>
  <c r="I596" i="7"/>
  <c r="I597" i="7"/>
  <c r="I598" i="7"/>
  <c r="I599" i="7"/>
  <c r="I600" i="7"/>
  <c r="I601" i="7"/>
  <c r="I602" i="7"/>
  <c r="I603" i="7"/>
  <c r="I604" i="7"/>
  <c r="I605" i="7"/>
  <c r="I606" i="7"/>
  <c r="I607" i="7"/>
  <c r="I608" i="7"/>
  <c r="I609" i="7"/>
  <c r="I610" i="7"/>
  <c r="I611" i="7"/>
  <c r="I612" i="7"/>
  <c r="I613" i="7"/>
  <c r="I614" i="7"/>
  <c r="I615" i="7"/>
  <c r="I616" i="7"/>
  <c r="I617" i="7"/>
  <c r="I618" i="7"/>
  <c r="I619" i="7"/>
  <c r="I620" i="7"/>
  <c r="I621" i="7"/>
  <c r="I622" i="7"/>
  <c r="I623" i="7"/>
  <c r="I624" i="7"/>
  <c r="I625" i="7"/>
  <c r="I626" i="7"/>
  <c r="I627" i="7"/>
  <c r="I628" i="7"/>
  <c r="I629" i="7"/>
  <c r="I630" i="7"/>
  <c r="I631" i="7"/>
  <c r="I632" i="7"/>
  <c r="I633" i="7"/>
  <c r="I634" i="7"/>
  <c r="I635" i="7"/>
  <c r="I636" i="7"/>
  <c r="I637" i="7"/>
  <c r="I638" i="7"/>
  <c r="I639" i="7"/>
  <c r="I640" i="7"/>
  <c r="I641" i="7"/>
  <c r="I642" i="7"/>
  <c r="I643" i="7"/>
  <c r="I644" i="7"/>
  <c r="I645" i="7"/>
  <c r="I646" i="7"/>
  <c r="I647" i="7"/>
  <c r="I648" i="7"/>
  <c r="I649" i="7"/>
  <c r="I650" i="7"/>
  <c r="I651" i="7"/>
  <c r="I652" i="7"/>
  <c r="I653" i="7"/>
  <c r="I654" i="7"/>
  <c r="I655" i="7"/>
  <c r="I656" i="7"/>
  <c r="I657" i="7"/>
  <c r="I658" i="7"/>
  <c r="I659" i="7"/>
  <c r="I660" i="7"/>
  <c r="I661" i="7"/>
  <c r="I662" i="7"/>
  <c r="I663" i="7"/>
  <c r="I664" i="7"/>
  <c r="I665" i="7"/>
  <c r="I666" i="7"/>
  <c r="I667" i="7"/>
  <c r="I668" i="7"/>
  <c r="I669" i="7"/>
  <c r="I670" i="7"/>
  <c r="I671" i="7"/>
  <c r="I672" i="7"/>
  <c r="I673" i="7"/>
  <c r="I674" i="7"/>
  <c r="I675" i="7"/>
  <c r="I676" i="7"/>
  <c r="I677" i="7"/>
  <c r="I678" i="7"/>
  <c r="I679" i="7"/>
  <c r="I680" i="7"/>
  <c r="I681" i="7"/>
  <c r="I682" i="7"/>
  <c r="I683" i="7"/>
  <c r="I684" i="7"/>
  <c r="I685" i="7"/>
  <c r="I686" i="7"/>
  <c r="I687" i="7"/>
  <c r="I688" i="7"/>
  <c r="I689" i="7"/>
  <c r="I690" i="7"/>
  <c r="I691" i="7"/>
  <c r="I692" i="7"/>
  <c r="I693" i="7"/>
  <c r="I694" i="7"/>
  <c r="I695" i="7"/>
  <c r="I696" i="7"/>
  <c r="I697" i="7"/>
  <c r="I698" i="7"/>
  <c r="I699" i="7"/>
  <c r="I700" i="7"/>
  <c r="I701" i="7"/>
  <c r="I702" i="7"/>
  <c r="I703" i="7"/>
  <c r="I704" i="7"/>
  <c r="I705" i="7"/>
  <c r="I706" i="7"/>
  <c r="I707" i="7"/>
  <c r="I708" i="7"/>
  <c r="I709" i="7"/>
  <c r="I710" i="7"/>
  <c r="I711" i="7"/>
  <c r="I712" i="7"/>
  <c r="I713" i="7"/>
  <c r="I714" i="7"/>
  <c r="I715" i="7"/>
  <c r="I716" i="7"/>
  <c r="I717" i="7"/>
  <c r="I718" i="7"/>
  <c r="I719" i="7"/>
  <c r="I720" i="7"/>
  <c r="I721" i="7"/>
  <c r="I722" i="7"/>
  <c r="I723" i="7"/>
  <c r="I724" i="7"/>
  <c r="I725" i="7"/>
  <c r="I726" i="7"/>
  <c r="I727" i="7"/>
  <c r="I728" i="7"/>
  <c r="I729" i="7"/>
  <c r="I730" i="7"/>
  <c r="I731" i="7"/>
  <c r="I732" i="7"/>
  <c r="I733" i="7"/>
  <c r="I734" i="7"/>
  <c r="I735" i="7"/>
  <c r="I736" i="7"/>
  <c r="I737" i="7"/>
  <c r="I738" i="7"/>
  <c r="I739" i="7"/>
  <c r="I740" i="7"/>
  <c r="I741" i="7"/>
  <c r="I742" i="7"/>
  <c r="I743" i="7"/>
  <c r="I744" i="7"/>
  <c r="I745" i="7"/>
  <c r="I746" i="7"/>
  <c r="I747" i="7"/>
  <c r="I748" i="7"/>
  <c r="I749" i="7"/>
  <c r="I750" i="7"/>
  <c r="I751" i="7"/>
  <c r="I752" i="7"/>
  <c r="I753" i="7"/>
  <c r="I754" i="7"/>
  <c r="I755" i="7"/>
  <c r="I756" i="7"/>
  <c r="I757" i="7"/>
  <c r="I758" i="7"/>
  <c r="I759" i="7"/>
  <c r="I760" i="7"/>
  <c r="I761" i="7"/>
  <c r="I762" i="7"/>
  <c r="I763" i="7"/>
  <c r="I764" i="7"/>
  <c r="I765" i="7"/>
  <c r="I766" i="7"/>
  <c r="I767" i="7"/>
  <c r="I768" i="7"/>
  <c r="I769" i="7"/>
  <c r="I770" i="7"/>
  <c r="I771" i="7"/>
  <c r="I772" i="7"/>
  <c r="I773" i="7"/>
  <c r="I774" i="7"/>
  <c r="I775" i="7"/>
  <c r="I776" i="7"/>
  <c r="I777" i="7"/>
  <c r="I778" i="7"/>
  <c r="I779" i="7"/>
  <c r="I780" i="7"/>
  <c r="I781" i="7"/>
  <c r="I782" i="7"/>
  <c r="I783" i="7"/>
  <c r="I784" i="7"/>
  <c r="I785" i="7"/>
  <c r="I786" i="7"/>
  <c r="I787" i="7"/>
  <c r="I788" i="7"/>
  <c r="I789" i="7"/>
  <c r="I790" i="7"/>
  <c r="I791" i="7"/>
  <c r="I792" i="7"/>
  <c r="I793" i="7"/>
  <c r="I794" i="7"/>
  <c r="I795" i="7"/>
  <c r="I796" i="7"/>
  <c r="I797" i="7"/>
  <c r="I798" i="7"/>
  <c r="I799" i="7"/>
  <c r="I800" i="7"/>
  <c r="I801" i="7"/>
  <c r="I802" i="7"/>
  <c r="I803" i="7"/>
  <c r="I804" i="7"/>
  <c r="I805" i="7"/>
  <c r="I806" i="7"/>
  <c r="I807" i="7"/>
  <c r="I808" i="7"/>
  <c r="I809" i="7"/>
  <c r="I810" i="7"/>
  <c r="I811" i="7"/>
  <c r="I812" i="7"/>
  <c r="I813" i="7"/>
  <c r="I814" i="7"/>
  <c r="I815" i="7"/>
  <c r="I816" i="7"/>
  <c r="I817" i="7"/>
  <c r="I818" i="7"/>
  <c r="I819" i="7"/>
  <c r="I820" i="7"/>
  <c r="I821" i="7"/>
  <c r="I822" i="7"/>
  <c r="I823" i="7"/>
  <c r="I824" i="7"/>
  <c r="I825" i="7"/>
  <c r="I826" i="7"/>
  <c r="I827" i="7"/>
  <c r="I828" i="7"/>
  <c r="I829" i="7"/>
  <c r="I830" i="7"/>
  <c r="I831" i="7"/>
  <c r="I832" i="7"/>
  <c r="I833" i="7"/>
  <c r="I834" i="7"/>
  <c r="I835" i="7"/>
  <c r="I836" i="7"/>
  <c r="I837" i="7"/>
  <c r="I838" i="7"/>
  <c r="I839" i="7"/>
  <c r="I840" i="7"/>
  <c r="I841" i="7"/>
  <c r="I842" i="7"/>
  <c r="I843" i="7"/>
  <c r="I844" i="7"/>
  <c r="I845" i="7"/>
  <c r="I846" i="7"/>
  <c r="I847" i="7"/>
  <c r="I848" i="7"/>
  <c r="I849" i="7"/>
  <c r="I850" i="7"/>
  <c r="I851" i="7"/>
  <c r="I852" i="7"/>
  <c r="I853" i="7"/>
  <c r="I854" i="7"/>
  <c r="I855" i="7"/>
  <c r="I856" i="7"/>
  <c r="I857" i="7"/>
  <c r="I858" i="7"/>
  <c r="I859" i="7"/>
  <c r="I860" i="7"/>
  <c r="I861" i="7"/>
  <c r="I862" i="7"/>
  <c r="I863" i="7"/>
  <c r="I864" i="7"/>
  <c r="I865" i="7"/>
  <c r="I866" i="7"/>
  <c r="I867" i="7"/>
  <c r="I868" i="7"/>
  <c r="I869" i="7"/>
  <c r="I870" i="7"/>
  <c r="I871" i="7"/>
  <c r="I872" i="7"/>
  <c r="I873" i="7"/>
  <c r="I874" i="7"/>
  <c r="I875" i="7"/>
  <c r="I876" i="7"/>
  <c r="I877" i="7"/>
  <c r="I878" i="7"/>
  <c r="I879" i="7"/>
  <c r="I880" i="7"/>
  <c r="I881" i="7"/>
  <c r="I882" i="7"/>
  <c r="I883" i="7"/>
  <c r="I884" i="7"/>
  <c r="I885" i="7"/>
  <c r="I886" i="7"/>
  <c r="I887" i="7"/>
  <c r="I888" i="7"/>
  <c r="I889" i="7"/>
  <c r="I890" i="7"/>
  <c r="I891" i="7"/>
  <c r="I892" i="7"/>
  <c r="I893" i="7"/>
  <c r="I894" i="7"/>
  <c r="I895" i="7"/>
  <c r="I896" i="7"/>
  <c r="I897" i="7"/>
  <c r="I898" i="7"/>
  <c r="I899" i="7"/>
  <c r="I900" i="7"/>
  <c r="I901" i="7"/>
  <c r="I902" i="7"/>
  <c r="I903" i="7"/>
  <c r="I904" i="7"/>
  <c r="I905" i="7"/>
  <c r="I906" i="7"/>
  <c r="I907" i="7"/>
  <c r="I908" i="7"/>
  <c r="I909" i="7"/>
  <c r="I910" i="7"/>
  <c r="I911" i="7"/>
  <c r="I912" i="7"/>
  <c r="I913" i="7"/>
  <c r="I914" i="7"/>
  <c r="I915" i="7"/>
  <c r="I916" i="7"/>
  <c r="I917" i="7"/>
  <c r="I918" i="7"/>
  <c r="I919" i="7"/>
  <c r="I920" i="7"/>
  <c r="I921" i="7"/>
  <c r="I922" i="7"/>
  <c r="I923" i="7"/>
  <c r="I924" i="7"/>
  <c r="I925" i="7"/>
  <c r="I926" i="7"/>
  <c r="I927" i="7"/>
  <c r="I928" i="7"/>
  <c r="I929" i="7"/>
  <c r="I930" i="7"/>
  <c r="I931" i="7"/>
  <c r="I932" i="7"/>
  <c r="I933" i="7"/>
  <c r="I934" i="7"/>
  <c r="I935" i="7"/>
  <c r="I936" i="7"/>
  <c r="I937" i="7"/>
  <c r="I938" i="7"/>
  <c r="I939" i="7"/>
  <c r="I940" i="7"/>
  <c r="I941" i="7"/>
  <c r="I942" i="7"/>
  <c r="I943" i="7"/>
  <c r="I944" i="7"/>
  <c r="I945" i="7"/>
  <c r="I946" i="7"/>
  <c r="I947" i="7"/>
  <c r="I948" i="7"/>
  <c r="I949" i="7"/>
  <c r="I950" i="7"/>
  <c r="I951" i="7"/>
  <c r="I952" i="7"/>
  <c r="I953" i="7"/>
  <c r="I954" i="7"/>
  <c r="I955" i="7"/>
  <c r="I956" i="7"/>
  <c r="I957" i="7"/>
  <c r="I958" i="7"/>
  <c r="I959" i="7"/>
  <c r="I960" i="7"/>
  <c r="I961" i="7"/>
  <c r="I962" i="7"/>
  <c r="I963" i="7"/>
  <c r="I964" i="7"/>
  <c r="I965" i="7"/>
  <c r="I966" i="7"/>
  <c r="I967" i="7"/>
  <c r="I968" i="7"/>
  <c r="I969" i="7"/>
  <c r="I970" i="7"/>
  <c r="I971" i="7"/>
  <c r="I972" i="7"/>
  <c r="I973" i="7"/>
  <c r="I974" i="7"/>
  <c r="I975" i="7"/>
  <c r="I976" i="7"/>
  <c r="I977" i="7"/>
  <c r="I978" i="7"/>
  <c r="I979" i="7"/>
  <c r="I980" i="7"/>
  <c r="I981" i="7"/>
  <c r="I982" i="7"/>
  <c r="I983" i="7"/>
  <c r="I984" i="7"/>
  <c r="I985" i="7"/>
  <c r="I986" i="7"/>
  <c r="I987" i="7"/>
  <c r="I988" i="7"/>
  <c r="I989" i="7"/>
  <c r="I990" i="7"/>
  <c r="I991" i="7"/>
  <c r="I992" i="7"/>
  <c r="I993" i="7"/>
  <c r="I994" i="7"/>
  <c r="I995" i="7"/>
  <c r="I996" i="7"/>
  <c r="I997" i="7"/>
  <c r="I998" i="7"/>
  <c r="I999" i="7"/>
  <c r="I1000" i="7"/>
  <c r="H3" i="7"/>
  <c r="H4" i="7"/>
  <c r="H5" i="7"/>
  <c r="H6" i="7"/>
  <c r="H7" i="7"/>
  <c r="H8" i="7"/>
  <c r="H9" i="7"/>
  <c r="H10" i="7"/>
  <c r="H11" i="7"/>
  <c r="H12" i="7"/>
  <c r="H13" i="7"/>
  <c r="H14" i="7"/>
  <c r="H15" i="7"/>
  <c r="H16" i="7"/>
  <c r="H17" i="7"/>
  <c r="H18" i="7"/>
  <c r="H19" i="7"/>
  <c r="H20" i="7"/>
  <c r="H21" i="7"/>
  <c r="H22" i="7"/>
  <c r="H23" i="7"/>
  <c r="H24" i="7"/>
  <c r="H25" i="7"/>
  <c r="H26" i="7"/>
  <c r="H27" i="7"/>
  <c r="H28" i="7"/>
  <c r="H29" i="7"/>
  <c r="H30" i="7"/>
  <c r="H31" i="7"/>
  <c r="H32" i="7"/>
  <c r="H33" i="7"/>
  <c r="H34" i="7"/>
  <c r="H35" i="7"/>
  <c r="H36" i="7"/>
  <c r="H37" i="7"/>
  <c r="H38" i="7"/>
  <c r="H39" i="7"/>
  <c r="H40" i="7"/>
  <c r="H41" i="7"/>
  <c r="H42" i="7"/>
  <c r="H43" i="7"/>
  <c r="H44" i="7"/>
  <c r="H45" i="7"/>
  <c r="H46" i="7"/>
  <c r="H47" i="7"/>
  <c r="H48" i="7"/>
  <c r="H49" i="7"/>
  <c r="H50" i="7"/>
  <c r="H51" i="7"/>
  <c r="H52" i="7"/>
  <c r="H53" i="7"/>
  <c r="H54" i="7"/>
  <c r="H55" i="7"/>
  <c r="H56" i="7"/>
  <c r="H57" i="7"/>
  <c r="H58" i="7"/>
  <c r="H59" i="7"/>
  <c r="H60" i="7"/>
  <c r="H61" i="7"/>
  <c r="H62" i="7"/>
  <c r="H63" i="7"/>
  <c r="H64" i="7"/>
  <c r="H65" i="7"/>
  <c r="H66" i="7"/>
  <c r="H67" i="7"/>
  <c r="H68" i="7"/>
  <c r="H69" i="7"/>
  <c r="H70" i="7"/>
  <c r="H71" i="7"/>
  <c r="H72" i="7"/>
  <c r="H73" i="7"/>
  <c r="H74" i="7"/>
  <c r="H75" i="7"/>
  <c r="H76" i="7"/>
  <c r="H77" i="7"/>
  <c r="H78" i="7"/>
  <c r="H79" i="7"/>
  <c r="H80" i="7"/>
  <c r="H81" i="7"/>
  <c r="H82" i="7"/>
  <c r="H83" i="7"/>
  <c r="H84" i="7"/>
  <c r="H85" i="7"/>
  <c r="H86" i="7"/>
  <c r="H87" i="7"/>
  <c r="H88" i="7"/>
  <c r="H89" i="7"/>
  <c r="H90" i="7"/>
  <c r="H91" i="7"/>
  <c r="H92" i="7"/>
  <c r="H93" i="7"/>
  <c r="H94" i="7"/>
  <c r="H95" i="7"/>
  <c r="H96" i="7"/>
  <c r="H97" i="7"/>
  <c r="H98" i="7"/>
  <c r="H99" i="7"/>
  <c r="H100" i="7"/>
  <c r="H101" i="7"/>
  <c r="H102" i="7"/>
  <c r="H103" i="7"/>
  <c r="H104" i="7"/>
  <c r="H105" i="7"/>
  <c r="H106" i="7"/>
  <c r="H107" i="7"/>
  <c r="H108" i="7"/>
  <c r="H109" i="7"/>
  <c r="H110" i="7"/>
  <c r="H111" i="7"/>
  <c r="H112" i="7"/>
  <c r="H113" i="7"/>
  <c r="H114" i="7"/>
  <c r="H115" i="7"/>
  <c r="H116" i="7"/>
  <c r="H117" i="7"/>
  <c r="H118" i="7"/>
  <c r="H119" i="7"/>
  <c r="H120" i="7"/>
  <c r="H121" i="7"/>
  <c r="H122" i="7"/>
  <c r="H123" i="7"/>
  <c r="H124" i="7"/>
  <c r="H125" i="7"/>
  <c r="H126" i="7"/>
  <c r="H127" i="7"/>
  <c r="H128" i="7"/>
  <c r="H129" i="7"/>
  <c r="H130" i="7"/>
  <c r="H131" i="7"/>
  <c r="H132" i="7"/>
  <c r="H133" i="7"/>
  <c r="H134" i="7"/>
  <c r="H135" i="7"/>
  <c r="H136" i="7"/>
  <c r="H137" i="7"/>
  <c r="H138" i="7"/>
  <c r="H139" i="7"/>
  <c r="H140" i="7"/>
  <c r="H141" i="7"/>
  <c r="H142" i="7"/>
  <c r="H143" i="7"/>
  <c r="H144" i="7"/>
  <c r="H145" i="7"/>
  <c r="H146" i="7"/>
  <c r="H147" i="7"/>
  <c r="H148" i="7"/>
  <c r="H149" i="7"/>
  <c r="H150" i="7"/>
  <c r="H151" i="7"/>
  <c r="H152" i="7"/>
  <c r="H153" i="7"/>
  <c r="H154" i="7"/>
  <c r="H155" i="7"/>
  <c r="H156" i="7"/>
  <c r="H157" i="7"/>
  <c r="H158" i="7"/>
  <c r="H159" i="7"/>
  <c r="H160" i="7"/>
  <c r="H161" i="7"/>
  <c r="H162" i="7"/>
  <c r="H163" i="7"/>
  <c r="H164" i="7"/>
  <c r="H165" i="7"/>
  <c r="H166" i="7"/>
  <c r="H167" i="7"/>
  <c r="H168" i="7"/>
  <c r="H169" i="7"/>
  <c r="H170" i="7"/>
  <c r="H171" i="7"/>
  <c r="H172" i="7"/>
  <c r="H173" i="7"/>
  <c r="H174" i="7"/>
  <c r="H175" i="7"/>
  <c r="H176" i="7"/>
  <c r="H177" i="7"/>
  <c r="H178" i="7"/>
  <c r="H179" i="7"/>
  <c r="H180" i="7"/>
  <c r="H181" i="7"/>
  <c r="H182" i="7"/>
  <c r="H183" i="7"/>
  <c r="H184" i="7"/>
  <c r="H185" i="7"/>
  <c r="H186" i="7"/>
  <c r="H187" i="7"/>
  <c r="H188" i="7"/>
  <c r="H189" i="7"/>
  <c r="H190" i="7"/>
  <c r="H191" i="7"/>
  <c r="H192" i="7"/>
  <c r="H193" i="7"/>
  <c r="H194" i="7"/>
  <c r="H195" i="7"/>
  <c r="H196" i="7"/>
  <c r="H197" i="7"/>
  <c r="H198" i="7"/>
  <c r="H199" i="7"/>
  <c r="H200" i="7"/>
  <c r="H201" i="7"/>
  <c r="H202" i="7"/>
  <c r="H203" i="7"/>
  <c r="H204" i="7"/>
  <c r="H205" i="7"/>
  <c r="H206" i="7"/>
  <c r="H207" i="7"/>
  <c r="H208" i="7"/>
  <c r="H209" i="7"/>
  <c r="H210" i="7"/>
  <c r="H211" i="7"/>
  <c r="H212" i="7"/>
  <c r="H213" i="7"/>
  <c r="H214" i="7"/>
  <c r="H215" i="7"/>
  <c r="H216" i="7"/>
  <c r="H217" i="7"/>
  <c r="H218" i="7"/>
  <c r="H219" i="7"/>
  <c r="H220" i="7"/>
  <c r="H221" i="7"/>
  <c r="H222" i="7"/>
  <c r="H223" i="7"/>
  <c r="H224" i="7"/>
  <c r="H225" i="7"/>
  <c r="H226" i="7"/>
  <c r="H227" i="7"/>
  <c r="H228" i="7"/>
  <c r="H229" i="7"/>
  <c r="H230" i="7"/>
  <c r="H231" i="7"/>
  <c r="H232" i="7"/>
  <c r="H233" i="7"/>
  <c r="H234" i="7"/>
  <c r="H235" i="7"/>
  <c r="H236" i="7"/>
  <c r="H237" i="7"/>
  <c r="H238" i="7"/>
  <c r="H239" i="7"/>
  <c r="H240" i="7"/>
  <c r="H241" i="7"/>
  <c r="H242" i="7"/>
  <c r="H243" i="7"/>
  <c r="H244" i="7"/>
  <c r="H245" i="7"/>
  <c r="H246" i="7"/>
  <c r="H247" i="7"/>
  <c r="H248" i="7"/>
  <c r="H249" i="7"/>
  <c r="H250" i="7"/>
  <c r="H251" i="7"/>
  <c r="H252" i="7"/>
  <c r="H253" i="7"/>
  <c r="H254" i="7"/>
  <c r="H255" i="7"/>
  <c r="H256" i="7"/>
  <c r="H257" i="7"/>
  <c r="H258" i="7"/>
  <c r="H259" i="7"/>
  <c r="H260" i="7"/>
  <c r="H261" i="7"/>
  <c r="H262" i="7"/>
  <c r="H263" i="7"/>
  <c r="H264" i="7"/>
  <c r="H265" i="7"/>
  <c r="H266" i="7"/>
  <c r="H267" i="7"/>
  <c r="H268" i="7"/>
  <c r="H269" i="7"/>
  <c r="H270" i="7"/>
  <c r="H271" i="7"/>
  <c r="H272" i="7"/>
  <c r="H273" i="7"/>
  <c r="H274" i="7"/>
  <c r="H275" i="7"/>
  <c r="H276" i="7"/>
  <c r="H277" i="7"/>
  <c r="H278" i="7"/>
  <c r="H279" i="7"/>
  <c r="H280" i="7"/>
  <c r="H281" i="7"/>
  <c r="H282" i="7"/>
  <c r="H283" i="7"/>
  <c r="H284" i="7"/>
  <c r="H285" i="7"/>
  <c r="H286" i="7"/>
  <c r="H287" i="7"/>
  <c r="H288" i="7"/>
  <c r="H289" i="7"/>
  <c r="H290" i="7"/>
  <c r="H291" i="7"/>
  <c r="H292" i="7"/>
  <c r="H293" i="7"/>
  <c r="H294" i="7"/>
  <c r="H295" i="7"/>
  <c r="H296" i="7"/>
  <c r="H297" i="7"/>
  <c r="H298" i="7"/>
  <c r="H299" i="7"/>
  <c r="H300" i="7"/>
  <c r="H301" i="7"/>
  <c r="H302" i="7"/>
  <c r="H303" i="7"/>
  <c r="H304" i="7"/>
  <c r="H305" i="7"/>
  <c r="H306" i="7"/>
  <c r="H307" i="7"/>
  <c r="H308" i="7"/>
  <c r="H309" i="7"/>
  <c r="H310" i="7"/>
  <c r="H311" i="7"/>
  <c r="H312" i="7"/>
  <c r="H313" i="7"/>
  <c r="H314" i="7"/>
  <c r="H315" i="7"/>
  <c r="H316" i="7"/>
  <c r="H317" i="7"/>
  <c r="H318" i="7"/>
  <c r="H319" i="7"/>
  <c r="H320" i="7"/>
  <c r="H321" i="7"/>
  <c r="H322" i="7"/>
  <c r="H323" i="7"/>
  <c r="H324" i="7"/>
  <c r="H325" i="7"/>
  <c r="H326" i="7"/>
  <c r="H327" i="7"/>
  <c r="H328" i="7"/>
  <c r="H329" i="7"/>
  <c r="H330" i="7"/>
  <c r="H331" i="7"/>
  <c r="H332" i="7"/>
  <c r="H333" i="7"/>
  <c r="H334" i="7"/>
  <c r="H335" i="7"/>
  <c r="H336" i="7"/>
  <c r="H337" i="7"/>
  <c r="H338" i="7"/>
  <c r="H339" i="7"/>
  <c r="H340" i="7"/>
  <c r="H341" i="7"/>
  <c r="H342" i="7"/>
  <c r="H343" i="7"/>
  <c r="H344" i="7"/>
  <c r="H345" i="7"/>
  <c r="H346" i="7"/>
  <c r="H347" i="7"/>
  <c r="H348" i="7"/>
  <c r="H349" i="7"/>
  <c r="H350" i="7"/>
  <c r="H351" i="7"/>
  <c r="H352" i="7"/>
  <c r="H353" i="7"/>
  <c r="H354" i="7"/>
  <c r="H355" i="7"/>
  <c r="H356" i="7"/>
  <c r="H357" i="7"/>
  <c r="H358" i="7"/>
  <c r="H359" i="7"/>
  <c r="H360" i="7"/>
  <c r="H361" i="7"/>
  <c r="H362" i="7"/>
  <c r="H363" i="7"/>
  <c r="H364" i="7"/>
  <c r="H365" i="7"/>
  <c r="H366" i="7"/>
  <c r="H367" i="7"/>
  <c r="H368" i="7"/>
  <c r="H369" i="7"/>
  <c r="H370" i="7"/>
  <c r="H371" i="7"/>
  <c r="H372" i="7"/>
  <c r="H373" i="7"/>
  <c r="H374" i="7"/>
  <c r="H375" i="7"/>
  <c r="H376" i="7"/>
  <c r="H377" i="7"/>
  <c r="H378" i="7"/>
  <c r="H379" i="7"/>
  <c r="H380" i="7"/>
  <c r="H381" i="7"/>
  <c r="H382" i="7"/>
  <c r="H383" i="7"/>
  <c r="H384" i="7"/>
  <c r="H385" i="7"/>
  <c r="H386" i="7"/>
  <c r="H387" i="7"/>
  <c r="H388" i="7"/>
  <c r="H389" i="7"/>
  <c r="H390" i="7"/>
  <c r="H391" i="7"/>
  <c r="H392" i="7"/>
  <c r="H393" i="7"/>
  <c r="H394" i="7"/>
  <c r="H395" i="7"/>
  <c r="H396" i="7"/>
  <c r="H397" i="7"/>
  <c r="H398" i="7"/>
  <c r="H399" i="7"/>
  <c r="H400" i="7"/>
  <c r="H401" i="7"/>
  <c r="H402" i="7"/>
  <c r="H403" i="7"/>
  <c r="H404" i="7"/>
  <c r="H405" i="7"/>
  <c r="H406" i="7"/>
  <c r="H407" i="7"/>
  <c r="H408" i="7"/>
  <c r="H409" i="7"/>
  <c r="H410" i="7"/>
  <c r="H411" i="7"/>
  <c r="H412" i="7"/>
  <c r="H413" i="7"/>
  <c r="H414" i="7"/>
  <c r="H415" i="7"/>
  <c r="H416" i="7"/>
  <c r="H417" i="7"/>
  <c r="H418" i="7"/>
  <c r="H419" i="7"/>
  <c r="H420" i="7"/>
  <c r="H421" i="7"/>
  <c r="H422" i="7"/>
  <c r="H423" i="7"/>
  <c r="H424" i="7"/>
  <c r="H425" i="7"/>
  <c r="H426" i="7"/>
  <c r="H427" i="7"/>
  <c r="H428" i="7"/>
  <c r="H429" i="7"/>
  <c r="H430" i="7"/>
  <c r="H431" i="7"/>
  <c r="H432" i="7"/>
  <c r="H433" i="7"/>
  <c r="H434" i="7"/>
  <c r="H435" i="7"/>
  <c r="H436" i="7"/>
  <c r="H437" i="7"/>
  <c r="H438" i="7"/>
  <c r="H439" i="7"/>
  <c r="H440" i="7"/>
  <c r="H441" i="7"/>
  <c r="H442" i="7"/>
  <c r="H443" i="7"/>
  <c r="H444" i="7"/>
  <c r="H445" i="7"/>
  <c r="H446" i="7"/>
  <c r="H447" i="7"/>
  <c r="H448" i="7"/>
  <c r="H449" i="7"/>
  <c r="H450" i="7"/>
  <c r="H451" i="7"/>
  <c r="H452" i="7"/>
  <c r="H453" i="7"/>
  <c r="H454" i="7"/>
  <c r="H455" i="7"/>
  <c r="H456" i="7"/>
  <c r="H457" i="7"/>
  <c r="H458" i="7"/>
  <c r="H459" i="7"/>
  <c r="H460" i="7"/>
  <c r="H461" i="7"/>
  <c r="H462" i="7"/>
  <c r="H463" i="7"/>
  <c r="H464" i="7"/>
  <c r="H465" i="7"/>
  <c r="H466" i="7"/>
  <c r="H467" i="7"/>
  <c r="H468" i="7"/>
  <c r="H469" i="7"/>
  <c r="H470" i="7"/>
  <c r="H471" i="7"/>
  <c r="H472" i="7"/>
  <c r="H473" i="7"/>
  <c r="H474" i="7"/>
  <c r="H475" i="7"/>
  <c r="H476" i="7"/>
  <c r="H477" i="7"/>
  <c r="H478" i="7"/>
  <c r="H479" i="7"/>
  <c r="H480" i="7"/>
  <c r="H481" i="7"/>
  <c r="H482" i="7"/>
  <c r="H483" i="7"/>
  <c r="H484" i="7"/>
  <c r="H485" i="7"/>
  <c r="H486" i="7"/>
  <c r="H487" i="7"/>
  <c r="H488" i="7"/>
  <c r="H489" i="7"/>
  <c r="H490" i="7"/>
  <c r="H491" i="7"/>
  <c r="H492" i="7"/>
  <c r="H493" i="7"/>
  <c r="H494" i="7"/>
  <c r="H495" i="7"/>
  <c r="H496" i="7"/>
  <c r="H497" i="7"/>
  <c r="H498" i="7"/>
  <c r="H499" i="7"/>
  <c r="H500" i="7"/>
  <c r="H501" i="7"/>
  <c r="H502" i="7"/>
  <c r="H503" i="7"/>
  <c r="H504" i="7"/>
  <c r="H505" i="7"/>
  <c r="H506" i="7"/>
  <c r="H507" i="7"/>
  <c r="H508" i="7"/>
  <c r="H509" i="7"/>
  <c r="H510" i="7"/>
  <c r="H511" i="7"/>
  <c r="H512" i="7"/>
  <c r="H513" i="7"/>
  <c r="H514" i="7"/>
  <c r="H515" i="7"/>
  <c r="H516" i="7"/>
  <c r="H517" i="7"/>
  <c r="H518" i="7"/>
  <c r="H519" i="7"/>
  <c r="H520" i="7"/>
  <c r="H521" i="7"/>
  <c r="H522" i="7"/>
  <c r="H523" i="7"/>
  <c r="H524" i="7"/>
  <c r="H525" i="7"/>
  <c r="H526" i="7"/>
  <c r="H527" i="7"/>
  <c r="H528" i="7"/>
  <c r="H529" i="7"/>
  <c r="H530" i="7"/>
  <c r="H531" i="7"/>
  <c r="H532" i="7"/>
  <c r="H533" i="7"/>
  <c r="H534" i="7"/>
  <c r="H535" i="7"/>
  <c r="H536" i="7"/>
  <c r="H537" i="7"/>
  <c r="H538" i="7"/>
  <c r="H539" i="7"/>
  <c r="H540" i="7"/>
  <c r="H541" i="7"/>
  <c r="H542" i="7"/>
  <c r="H543" i="7"/>
  <c r="H544" i="7"/>
  <c r="H545" i="7"/>
  <c r="H546" i="7"/>
  <c r="H547" i="7"/>
  <c r="H548" i="7"/>
  <c r="H549" i="7"/>
  <c r="H550" i="7"/>
  <c r="H551" i="7"/>
  <c r="H552" i="7"/>
  <c r="H553" i="7"/>
  <c r="H554" i="7"/>
  <c r="H555" i="7"/>
  <c r="H556" i="7"/>
  <c r="H557" i="7"/>
  <c r="H558" i="7"/>
  <c r="H559" i="7"/>
  <c r="H560" i="7"/>
  <c r="H561" i="7"/>
  <c r="H562" i="7"/>
  <c r="H563" i="7"/>
  <c r="H564" i="7"/>
  <c r="H565" i="7"/>
  <c r="H566" i="7"/>
  <c r="H567" i="7"/>
  <c r="H568" i="7"/>
  <c r="H569" i="7"/>
  <c r="H570" i="7"/>
  <c r="H571" i="7"/>
  <c r="H572" i="7"/>
  <c r="H573" i="7"/>
  <c r="H574" i="7"/>
  <c r="H575" i="7"/>
  <c r="H576" i="7"/>
  <c r="H577" i="7"/>
  <c r="H578" i="7"/>
  <c r="H579" i="7"/>
  <c r="H580" i="7"/>
  <c r="H581" i="7"/>
  <c r="H582" i="7"/>
  <c r="H583" i="7"/>
  <c r="H584" i="7"/>
  <c r="H585" i="7"/>
  <c r="H586" i="7"/>
  <c r="H587" i="7"/>
  <c r="H588" i="7"/>
  <c r="H589" i="7"/>
  <c r="H590" i="7"/>
  <c r="H591" i="7"/>
  <c r="H592" i="7"/>
  <c r="H593" i="7"/>
  <c r="H594" i="7"/>
  <c r="H595" i="7"/>
  <c r="H596" i="7"/>
  <c r="H597" i="7"/>
  <c r="H598" i="7"/>
  <c r="H599" i="7"/>
  <c r="H600" i="7"/>
  <c r="H601" i="7"/>
  <c r="H602" i="7"/>
  <c r="H603" i="7"/>
  <c r="H604" i="7"/>
  <c r="H605" i="7"/>
  <c r="H606" i="7"/>
  <c r="H607" i="7"/>
  <c r="H608" i="7"/>
  <c r="H609" i="7"/>
  <c r="H610" i="7"/>
  <c r="H611" i="7"/>
  <c r="H612" i="7"/>
  <c r="H613" i="7"/>
  <c r="H614" i="7"/>
  <c r="H615" i="7"/>
  <c r="H616" i="7"/>
  <c r="H617" i="7"/>
  <c r="H618" i="7"/>
  <c r="H619" i="7"/>
  <c r="H620" i="7"/>
  <c r="H621" i="7"/>
  <c r="H622" i="7"/>
  <c r="H623" i="7"/>
  <c r="H624" i="7"/>
  <c r="H625" i="7"/>
  <c r="H626" i="7"/>
  <c r="H627" i="7"/>
  <c r="H628" i="7"/>
  <c r="H629" i="7"/>
  <c r="H630" i="7"/>
  <c r="H631" i="7"/>
  <c r="H632" i="7"/>
  <c r="H633" i="7"/>
  <c r="H634" i="7"/>
  <c r="H635" i="7"/>
  <c r="H636" i="7"/>
  <c r="H637" i="7"/>
  <c r="H638" i="7"/>
  <c r="H639" i="7"/>
  <c r="H640" i="7"/>
  <c r="H641" i="7"/>
  <c r="H642" i="7"/>
  <c r="H643" i="7"/>
  <c r="H644" i="7"/>
  <c r="H645" i="7"/>
  <c r="H646" i="7"/>
  <c r="H647" i="7"/>
  <c r="H648" i="7"/>
  <c r="H649" i="7"/>
  <c r="H650" i="7"/>
  <c r="H651" i="7"/>
  <c r="H652" i="7"/>
  <c r="H653" i="7"/>
  <c r="H654" i="7"/>
  <c r="H655" i="7"/>
  <c r="H656" i="7"/>
  <c r="H657" i="7"/>
  <c r="H658" i="7"/>
  <c r="H659" i="7"/>
  <c r="H660" i="7"/>
  <c r="H661" i="7"/>
  <c r="H662" i="7"/>
  <c r="H663" i="7"/>
  <c r="H664" i="7"/>
  <c r="H665" i="7"/>
  <c r="H666" i="7"/>
  <c r="H667" i="7"/>
  <c r="H668" i="7"/>
  <c r="H669" i="7"/>
  <c r="H670" i="7"/>
  <c r="H671" i="7"/>
  <c r="H672" i="7"/>
  <c r="H673" i="7"/>
  <c r="H674" i="7"/>
  <c r="H675" i="7"/>
  <c r="H676" i="7"/>
  <c r="H677" i="7"/>
  <c r="H678" i="7"/>
  <c r="H679" i="7"/>
  <c r="H680" i="7"/>
  <c r="H681" i="7"/>
  <c r="H682" i="7"/>
  <c r="H683" i="7"/>
  <c r="H684" i="7"/>
  <c r="H685" i="7"/>
  <c r="H686" i="7"/>
  <c r="H687" i="7"/>
  <c r="H688" i="7"/>
  <c r="H689" i="7"/>
  <c r="H690" i="7"/>
  <c r="H691" i="7"/>
  <c r="H692" i="7"/>
  <c r="H693" i="7"/>
  <c r="H694" i="7"/>
  <c r="H695" i="7"/>
  <c r="H696" i="7"/>
  <c r="H697" i="7"/>
  <c r="H698" i="7"/>
  <c r="H699" i="7"/>
  <c r="H700" i="7"/>
  <c r="H701" i="7"/>
  <c r="H702" i="7"/>
  <c r="H703" i="7"/>
  <c r="H704" i="7"/>
  <c r="H705" i="7"/>
  <c r="H706" i="7"/>
  <c r="H707" i="7"/>
  <c r="H708" i="7"/>
  <c r="H709" i="7"/>
  <c r="H710" i="7"/>
  <c r="H711" i="7"/>
  <c r="H712" i="7"/>
  <c r="H713" i="7"/>
  <c r="H714" i="7"/>
  <c r="H715" i="7"/>
  <c r="H716" i="7"/>
  <c r="H717" i="7"/>
  <c r="H718" i="7"/>
  <c r="H719" i="7"/>
  <c r="H720" i="7"/>
  <c r="H721" i="7"/>
  <c r="H722" i="7"/>
  <c r="H723" i="7"/>
  <c r="H724" i="7"/>
  <c r="H725" i="7"/>
  <c r="H726" i="7"/>
  <c r="H727" i="7"/>
  <c r="H728" i="7"/>
  <c r="H729" i="7"/>
  <c r="H730" i="7"/>
  <c r="H731" i="7"/>
  <c r="H732" i="7"/>
  <c r="H733" i="7"/>
  <c r="H734" i="7"/>
  <c r="H735" i="7"/>
  <c r="H736" i="7"/>
  <c r="H737" i="7"/>
  <c r="H738" i="7"/>
  <c r="H739" i="7"/>
  <c r="H740" i="7"/>
  <c r="H741" i="7"/>
  <c r="H742" i="7"/>
  <c r="H743" i="7"/>
  <c r="H744" i="7"/>
  <c r="H745" i="7"/>
  <c r="H746" i="7"/>
  <c r="H747" i="7"/>
  <c r="H748" i="7"/>
  <c r="H749" i="7"/>
  <c r="H750" i="7"/>
  <c r="H751" i="7"/>
  <c r="H752" i="7"/>
  <c r="H753" i="7"/>
  <c r="H754" i="7"/>
  <c r="H755" i="7"/>
  <c r="H756" i="7"/>
  <c r="H757" i="7"/>
  <c r="H758" i="7"/>
  <c r="H759" i="7"/>
  <c r="H760" i="7"/>
  <c r="H761" i="7"/>
  <c r="H762" i="7"/>
  <c r="H763" i="7"/>
  <c r="H764" i="7"/>
  <c r="H765" i="7"/>
  <c r="H766" i="7"/>
  <c r="H767" i="7"/>
  <c r="H768" i="7"/>
  <c r="H769" i="7"/>
  <c r="H770" i="7"/>
  <c r="H771" i="7"/>
  <c r="H772" i="7"/>
  <c r="H773" i="7"/>
  <c r="H774" i="7"/>
  <c r="H775" i="7"/>
  <c r="H776" i="7"/>
  <c r="H777" i="7"/>
  <c r="H778" i="7"/>
  <c r="H779" i="7"/>
  <c r="H780" i="7"/>
  <c r="H781" i="7"/>
  <c r="H782" i="7"/>
  <c r="H783" i="7"/>
  <c r="H784" i="7"/>
  <c r="H785" i="7"/>
  <c r="H786" i="7"/>
  <c r="H787" i="7"/>
  <c r="H788" i="7"/>
  <c r="H789" i="7"/>
  <c r="H790" i="7"/>
  <c r="H791" i="7"/>
  <c r="H792" i="7"/>
  <c r="H793" i="7"/>
  <c r="H794" i="7"/>
  <c r="H795" i="7"/>
  <c r="H796" i="7"/>
  <c r="H797" i="7"/>
  <c r="H798" i="7"/>
  <c r="H799" i="7"/>
  <c r="H800" i="7"/>
  <c r="H801" i="7"/>
  <c r="H802" i="7"/>
  <c r="H803" i="7"/>
  <c r="H804" i="7"/>
  <c r="H805" i="7"/>
  <c r="H806" i="7"/>
  <c r="H807" i="7"/>
  <c r="H808" i="7"/>
  <c r="H809" i="7"/>
  <c r="H810" i="7"/>
  <c r="H811" i="7"/>
  <c r="H812" i="7"/>
  <c r="H813" i="7"/>
  <c r="H814" i="7"/>
  <c r="H815" i="7"/>
  <c r="H816" i="7"/>
  <c r="H817" i="7"/>
  <c r="H818" i="7"/>
  <c r="H819" i="7"/>
  <c r="H820" i="7"/>
  <c r="H821" i="7"/>
  <c r="H822" i="7"/>
  <c r="H823" i="7"/>
  <c r="H824" i="7"/>
  <c r="H825" i="7"/>
  <c r="H826" i="7"/>
  <c r="H827" i="7"/>
  <c r="H828" i="7"/>
  <c r="H829" i="7"/>
  <c r="H830" i="7"/>
  <c r="H831" i="7"/>
  <c r="H832" i="7"/>
  <c r="H833" i="7"/>
  <c r="H834" i="7"/>
  <c r="H835" i="7"/>
  <c r="H836" i="7"/>
  <c r="H837" i="7"/>
  <c r="H838" i="7"/>
  <c r="H839" i="7"/>
  <c r="H840" i="7"/>
  <c r="H841" i="7"/>
  <c r="H842" i="7"/>
  <c r="H843" i="7"/>
  <c r="H844" i="7"/>
  <c r="H845" i="7"/>
  <c r="H846" i="7"/>
  <c r="H847" i="7"/>
  <c r="H848" i="7"/>
  <c r="H849" i="7"/>
  <c r="H850" i="7"/>
  <c r="H851" i="7"/>
  <c r="H852" i="7"/>
  <c r="H853" i="7"/>
  <c r="H854" i="7"/>
  <c r="H855" i="7"/>
  <c r="H856" i="7"/>
  <c r="H857" i="7"/>
  <c r="H858" i="7"/>
  <c r="H859" i="7"/>
  <c r="H860" i="7"/>
  <c r="H861" i="7"/>
  <c r="H862" i="7"/>
  <c r="H863" i="7"/>
  <c r="H864" i="7"/>
  <c r="H865" i="7"/>
  <c r="H866" i="7"/>
  <c r="H867" i="7"/>
  <c r="H868" i="7"/>
  <c r="H869" i="7"/>
  <c r="H870" i="7"/>
  <c r="H871" i="7"/>
  <c r="H872" i="7"/>
  <c r="H873" i="7"/>
  <c r="H874" i="7"/>
  <c r="H875" i="7"/>
  <c r="H876" i="7"/>
  <c r="H877" i="7"/>
  <c r="H878" i="7"/>
  <c r="H879" i="7"/>
  <c r="H880" i="7"/>
  <c r="H881" i="7"/>
  <c r="H882" i="7"/>
  <c r="H883" i="7"/>
  <c r="H884" i="7"/>
  <c r="H885" i="7"/>
  <c r="H886" i="7"/>
  <c r="H887" i="7"/>
  <c r="H888" i="7"/>
  <c r="H889" i="7"/>
  <c r="H890" i="7"/>
  <c r="H891" i="7"/>
  <c r="H892" i="7"/>
  <c r="H893" i="7"/>
  <c r="H894" i="7"/>
  <c r="H895" i="7"/>
  <c r="H896" i="7"/>
  <c r="H897" i="7"/>
  <c r="H898" i="7"/>
  <c r="H899" i="7"/>
  <c r="H900" i="7"/>
  <c r="H901" i="7"/>
  <c r="H902" i="7"/>
  <c r="H903" i="7"/>
  <c r="H904" i="7"/>
  <c r="H905" i="7"/>
  <c r="H906" i="7"/>
  <c r="H907" i="7"/>
  <c r="H908" i="7"/>
  <c r="H909" i="7"/>
  <c r="H910" i="7"/>
  <c r="H911" i="7"/>
  <c r="H912" i="7"/>
  <c r="H913" i="7"/>
  <c r="H914" i="7"/>
  <c r="H915" i="7"/>
  <c r="H916" i="7"/>
  <c r="H917" i="7"/>
  <c r="H918" i="7"/>
  <c r="H919" i="7"/>
  <c r="H920" i="7"/>
  <c r="H921" i="7"/>
  <c r="H922" i="7"/>
  <c r="H923" i="7"/>
  <c r="H924" i="7"/>
  <c r="H925" i="7"/>
  <c r="H926" i="7"/>
  <c r="H927" i="7"/>
  <c r="H928" i="7"/>
  <c r="H929" i="7"/>
  <c r="H930" i="7"/>
  <c r="H931" i="7"/>
  <c r="H932" i="7"/>
  <c r="H933" i="7"/>
  <c r="H934" i="7"/>
  <c r="H935" i="7"/>
  <c r="H936" i="7"/>
  <c r="H937" i="7"/>
  <c r="H938" i="7"/>
  <c r="H939" i="7"/>
  <c r="H940" i="7"/>
  <c r="H941" i="7"/>
  <c r="H942" i="7"/>
  <c r="H943" i="7"/>
  <c r="H944" i="7"/>
  <c r="H945" i="7"/>
  <c r="H946" i="7"/>
  <c r="H947" i="7"/>
  <c r="H948" i="7"/>
  <c r="H949" i="7"/>
  <c r="H950" i="7"/>
  <c r="H951" i="7"/>
  <c r="H952" i="7"/>
  <c r="H953" i="7"/>
  <c r="H954" i="7"/>
  <c r="H955" i="7"/>
  <c r="H956" i="7"/>
  <c r="H957" i="7"/>
  <c r="H958" i="7"/>
  <c r="H959" i="7"/>
  <c r="H960" i="7"/>
  <c r="H961" i="7"/>
  <c r="H962" i="7"/>
  <c r="H963" i="7"/>
  <c r="H964" i="7"/>
  <c r="H965" i="7"/>
  <c r="H966" i="7"/>
  <c r="H967" i="7"/>
  <c r="H968" i="7"/>
  <c r="H969" i="7"/>
  <c r="H970" i="7"/>
  <c r="H971" i="7"/>
  <c r="H972" i="7"/>
  <c r="H973" i="7"/>
  <c r="H974" i="7"/>
  <c r="H975" i="7"/>
  <c r="H976" i="7"/>
  <c r="H977" i="7"/>
  <c r="H978" i="7"/>
  <c r="H979" i="7"/>
  <c r="H980" i="7"/>
  <c r="H981" i="7"/>
  <c r="H982" i="7"/>
  <c r="H983" i="7"/>
  <c r="H984" i="7"/>
  <c r="H985" i="7"/>
  <c r="H986" i="7"/>
  <c r="H987" i="7"/>
  <c r="H988" i="7"/>
  <c r="H989" i="7"/>
  <c r="H990" i="7"/>
  <c r="H991" i="7"/>
  <c r="H992" i="7"/>
  <c r="H993" i="7"/>
  <c r="H994" i="7"/>
  <c r="H995" i="7"/>
  <c r="H996" i="7"/>
  <c r="H997" i="7"/>
  <c r="H998" i="7"/>
  <c r="H999" i="7"/>
  <c r="H1000" i="7"/>
  <c r="L2" i="7"/>
  <c r="K2" i="7"/>
  <c r="J2" i="7"/>
  <c r="I2" i="7"/>
  <c r="H2" i="7"/>
  <c r="S2" i="7"/>
  <c r="R2" i="7"/>
  <c r="Q2" i="7"/>
  <c r="P2" i="7"/>
  <c r="A3" i="4"/>
  <c r="J70" i="4"/>
  <c r="J81" i="4"/>
  <c r="J74" i="4"/>
  <c r="J22" i="4"/>
  <c r="J33" i="4"/>
  <c r="J6" i="4"/>
  <c r="J17" i="4"/>
  <c r="M67" i="7" l="1"/>
  <c r="M71" i="7"/>
  <c r="M75" i="7"/>
  <c r="M79" i="7"/>
  <c r="M83" i="7"/>
  <c r="M87" i="7"/>
  <c r="M91" i="7"/>
  <c r="M95" i="7"/>
  <c r="M99" i="7"/>
  <c r="M103" i="7"/>
  <c r="M107" i="7"/>
  <c r="M111" i="7"/>
  <c r="M115" i="7"/>
  <c r="M119" i="7"/>
  <c r="M123" i="7"/>
  <c r="M127" i="7"/>
  <c r="M131" i="7"/>
  <c r="M135" i="7"/>
  <c r="M139" i="7"/>
  <c r="M143" i="7"/>
  <c r="M147" i="7"/>
  <c r="M151" i="7"/>
  <c r="M155" i="7"/>
  <c r="M159" i="7"/>
  <c r="M163" i="7"/>
  <c r="M167" i="7"/>
  <c r="M171" i="7"/>
  <c r="M175" i="7"/>
  <c r="M179" i="7"/>
  <c r="M183" i="7"/>
  <c r="M187" i="7"/>
  <c r="M191" i="7"/>
  <c r="M195" i="7"/>
  <c r="M199" i="7"/>
  <c r="M203" i="7"/>
  <c r="M70" i="7"/>
  <c r="M74" i="7"/>
  <c r="M78" i="7"/>
  <c r="M82" i="7"/>
  <c r="M86" i="7"/>
  <c r="M90" i="7"/>
  <c r="M94" i="7"/>
  <c r="M72" i="7"/>
  <c r="M80" i="7"/>
  <c r="M88" i="7"/>
  <c r="M96" i="7"/>
  <c r="M101" i="7"/>
  <c r="M106" i="7"/>
  <c r="M112" i="7"/>
  <c r="M117" i="7"/>
  <c r="M122" i="7"/>
  <c r="M128" i="7"/>
  <c r="M133" i="7"/>
  <c r="M138" i="7"/>
  <c r="M144" i="7"/>
  <c r="M149" i="7"/>
  <c r="M154" i="7"/>
  <c r="M160" i="7"/>
  <c r="M165" i="7"/>
  <c r="M170" i="7"/>
  <c r="M176" i="7"/>
  <c r="M181" i="7"/>
  <c r="M186" i="7"/>
  <c r="M192" i="7"/>
  <c r="M197" i="7"/>
  <c r="M202" i="7"/>
  <c r="M207" i="7"/>
  <c r="M211" i="7"/>
  <c r="M215" i="7"/>
  <c r="M219" i="7"/>
  <c r="M223" i="7"/>
  <c r="M227" i="7"/>
  <c r="M231" i="7"/>
  <c r="M235" i="7"/>
  <c r="M239" i="7"/>
  <c r="M243" i="7"/>
  <c r="M247" i="7"/>
  <c r="M251" i="7"/>
  <c r="M255" i="7"/>
  <c r="M259" i="7"/>
  <c r="M263" i="7"/>
  <c r="M267" i="7"/>
  <c r="M271" i="7"/>
  <c r="M275" i="7"/>
  <c r="M279" i="7"/>
  <c r="M283" i="7"/>
  <c r="M287" i="7"/>
  <c r="M291" i="7"/>
  <c r="M295" i="7"/>
  <c r="M299" i="7"/>
  <c r="M303" i="7"/>
  <c r="M307" i="7"/>
  <c r="M311" i="7"/>
  <c r="M315" i="7"/>
  <c r="M319" i="7"/>
  <c r="M323" i="7"/>
  <c r="M327" i="7"/>
  <c r="M331" i="7"/>
  <c r="M335" i="7"/>
  <c r="M339" i="7"/>
  <c r="M343" i="7"/>
  <c r="M347" i="7"/>
  <c r="M351" i="7"/>
  <c r="M355" i="7"/>
  <c r="M359" i="7"/>
  <c r="M363" i="7"/>
  <c r="M367" i="7"/>
  <c r="M371" i="7"/>
  <c r="M375" i="7"/>
  <c r="M379" i="7"/>
  <c r="M383" i="7"/>
  <c r="M387" i="7"/>
  <c r="M391" i="7"/>
  <c r="M395" i="7"/>
  <c r="M399" i="7"/>
  <c r="M403" i="7"/>
  <c r="M407" i="7"/>
  <c r="M411" i="7"/>
  <c r="M415" i="7"/>
  <c r="M419" i="7"/>
  <c r="M423" i="7"/>
  <c r="M427" i="7"/>
  <c r="M431" i="7"/>
  <c r="M435" i="7"/>
  <c r="M439" i="7"/>
  <c r="M443" i="7"/>
  <c r="M447" i="7"/>
  <c r="M451" i="7"/>
  <c r="M455" i="7"/>
  <c r="M459" i="7"/>
  <c r="M463" i="7"/>
  <c r="M467" i="7"/>
  <c r="M69" i="7"/>
  <c r="M77" i="7"/>
  <c r="M85" i="7"/>
  <c r="M93" i="7"/>
  <c r="M100" i="7"/>
  <c r="M105" i="7"/>
  <c r="M110" i="7"/>
  <c r="M116" i="7"/>
  <c r="M121" i="7"/>
  <c r="M126" i="7"/>
  <c r="M132" i="7"/>
  <c r="M137" i="7"/>
  <c r="M142" i="7"/>
  <c r="M148" i="7"/>
  <c r="M153" i="7"/>
  <c r="M158" i="7"/>
  <c r="M164" i="7"/>
  <c r="M169" i="7"/>
  <c r="M174" i="7"/>
  <c r="M180" i="7"/>
  <c r="M185" i="7"/>
  <c r="M190" i="7"/>
  <c r="M196" i="7"/>
  <c r="M201" i="7"/>
  <c r="M206" i="7"/>
  <c r="M210" i="7"/>
  <c r="M214" i="7"/>
  <c r="M218" i="7"/>
  <c r="M222" i="7"/>
  <c r="M226" i="7"/>
  <c r="M230" i="7"/>
  <c r="M234" i="7"/>
  <c r="M238" i="7"/>
  <c r="M242" i="7"/>
  <c r="M246" i="7"/>
  <c r="M250" i="7"/>
  <c r="M254" i="7"/>
  <c r="M258" i="7"/>
  <c r="M262" i="7"/>
  <c r="M266" i="7"/>
  <c r="M270" i="7"/>
  <c r="M274" i="7"/>
  <c r="M278" i="7"/>
  <c r="M282" i="7"/>
  <c r="M286" i="7"/>
  <c r="M290" i="7"/>
  <c r="M294" i="7"/>
  <c r="M298" i="7"/>
  <c r="M302" i="7"/>
  <c r="M306" i="7"/>
  <c r="M310" i="7"/>
  <c r="M314" i="7"/>
  <c r="M318" i="7"/>
  <c r="M322" i="7"/>
  <c r="M326" i="7"/>
  <c r="M330" i="7"/>
  <c r="M334" i="7"/>
  <c r="M338" i="7"/>
  <c r="M342" i="7"/>
  <c r="M346" i="7"/>
  <c r="M350" i="7"/>
  <c r="M354" i="7"/>
  <c r="M358" i="7"/>
  <c r="M362" i="7"/>
  <c r="M366" i="7"/>
  <c r="M370" i="7"/>
  <c r="M374" i="7"/>
  <c r="M378" i="7"/>
  <c r="M382" i="7"/>
  <c r="M386" i="7"/>
  <c r="M390" i="7"/>
  <c r="M394" i="7"/>
  <c r="M398" i="7"/>
  <c r="M402" i="7"/>
  <c r="M406" i="7"/>
  <c r="M410" i="7"/>
  <c r="M414" i="7"/>
  <c r="M418" i="7"/>
  <c r="M422" i="7"/>
  <c r="M426" i="7"/>
  <c r="M430" i="7"/>
  <c r="M434" i="7"/>
  <c r="M438" i="7"/>
  <c r="M442" i="7"/>
  <c r="M446" i="7"/>
  <c r="M450" i="7"/>
  <c r="M454" i="7"/>
  <c r="M458" i="7"/>
  <c r="M462" i="7"/>
  <c r="M466" i="7"/>
  <c r="M470" i="7"/>
  <c r="M474" i="7"/>
  <c r="M478" i="7"/>
  <c r="M482" i="7"/>
  <c r="M486" i="7"/>
  <c r="M490" i="7"/>
  <c r="M494" i="7"/>
  <c r="M498" i="7"/>
  <c r="M502" i="7"/>
  <c r="M506" i="7"/>
  <c r="M510" i="7"/>
  <c r="M514" i="7"/>
  <c r="M518" i="7"/>
  <c r="M73" i="7"/>
  <c r="M89" i="7"/>
  <c r="M102" i="7"/>
  <c r="M113" i="7"/>
  <c r="M124" i="7"/>
  <c r="M134" i="7"/>
  <c r="M145" i="7"/>
  <c r="M156" i="7"/>
  <c r="M166" i="7"/>
  <c r="M177" i="7"/>
  <c r="M188" i="7"/>
  <c r="M198" i="7"/>
  <c r="M208" i="7"/>
  <c r="M216" i="7"/>
  <c r="M224" i="7"/>
  <c r="M232" i="7"/>
  <c r="M240" i="7"/>
  <c r="M248" i="7"/>
  <c r="M256" i="7"/>
  <c r="M264" i="7"/>
  <c r="M272" i="7"/>
  <c r="M280" i="7"/>
  <c r="M288" i="7"/>
  <c r="M296" i="7"/>
  <c r="M304" i="7"/>
  <c r="M312" i="7"/>
  <c r="M320" i="7"/>
  <c r="M328" i="7"/>
  <c r="M336" i="7"/>
  <c r="M344" i="7"/>
  <c r="M352" i="7"/>
  <c r="M360" i="7"/>
  <c r="M368" i="7"/>
  <c r="M376" i="7"/>
  <c r="M384" i="7"/>
  <c r="M392" i="7"/>
  <c r="M400" i="7"/>
  <c r="M408" i="7"/>
  <c r="M416" i="7"/>
  <c r="M424" i="7"/>
  <c r="M432" i="7"/>
  <c r="M440" i="7"/>
  <c r="M448" i="7"/>
  <c r="M456" i="7"/>
  <c r="M464" i="7"/>
  <c r="M471" i="7"/>
  <c r="M476" i="7"/>
  <c r="M481" i="7"/>
  <c r="M487" i="7"/>
  <c r="M492" i="7"/>
  <c r="M497" i="7"/>
  <c r="M503" i="7"/>
  <c r="M508" i="7"/>
  <c r="M513" i="7"/>
  <c r="M519" i="7"/>
  <c r="M523" i="7"/>
  <c r="M527" i="7"/>
  <c r="M531" i="7"/>
  <c r="M535" i="7"/>
  <c r="M539" i="7"/>
  <c r="M543" i="7"/>
  <c r="M547" i="7"/>
  <c r="M551" i="7"/>
  <c r="M555" i="7"/>
  <c r="M559" i="7"/>
  <c r="M563" i="7"/>
  <c r="M567" i="7"/>
  <c r="M571" i="7"/>
  <c r="M575" i="7"/>
  <c r="M579" i="7"/>
  <c r="M583" i="7"/>
  <c r="M587" i="7"/>
  <c r="M591" i="7"/>
  <c r="M595" i="7"/>
  <c r="M599" i="7"/>
  <c r="M603" i="7"/>
  <c r="M607" i="7"/>
  <c r="M611" i="7"/>
  <c r="M615" i="7"/>
  <c r="M619" i="7"/>
  <c r="M623" i="7"/>
  <c r="M627" i="7"/>
  <c r="M631" i="7"/>
  <c r="M635" i="7"/>
  <c r="M639" i="7"/>
  <c r="M643" i="7"/>
  <c r="M647" i="7"/>
  <c r="M651" i="7"/>
  <c r="M655" i="7"/>
  <c r="M659" i="7"/>
  <c r="M663" i="7"/>
  <c r="M667" i="7"/>
  <c r="M671" i="7"/>
  <c r="M675" i="7"/>
  <c r="M679" i="7"/>
  <c r="M683" i="7"/>
  <c r="M687" i="7"/>
  <c r="M691" i="7"/>
  <c r="M695" i="7"/>
  <c r="M699" i="7"/>
  <c r="M703" i="7"/>
  <c r="M707" i="7"/>
  <c r="M711" i="7"/>
  <c r="M715" i="7"/>
  <c r="M719" i="7"/>
  <c r="M723" i="7"/>
  <c r="M727" i="7"/>
  <c r="M731" i="7"/>
  <c r="M735" i="7"/>
  <c r="M739" i="7"/>
  <c r="M743" i="7"/>
  <c r="M747" i="7"/>
  <c r="M751" i="7"/>
  <c r="M755" i="7"/>
  <c r="M759" i="7"/>
  <c r="M763" i="7"/>
  <c r="M767" i="7"/>
  <c r="M771" i="7"/>
  <c r="M775" i="7"/>
  <c r="M779" i="7"/>
  <c r="M783" i="7"/>
  <c r="M787" i="7"/>
  <c r="M791" i="7"/>
  <c r="M795" i="7"/>
  <c r="M799" i="7"/>
  <c r="M803" i="7"/>
  <c r="M807" i="7"/>
  <c r="M811" i="7"/>
  <c r="M815" i="7"/>
  <c r="M819" i="7"/>
  <c r="M76" i="7"/>
  <c r="M92" i="7"/>
  <c r="M104" i="7"/>
  <c r="M114" i="7"/>
  <c r="M125" i="7"/>
  <c r="M136" i="7"/>
  <c r="M146" i="7"/>
  <c r="M157" i="7"/>
  <c r="M168" i="7"/>
  <c r="M178" i="7"/>
  <c r="M189" i="7"/>
  <c r="M200" i="7"/>
  <c r="M209" i="7"/>
  <c r="M217" i="7"/>
  <c r="M225" i="7"/>
  <c r="M233" i="7"/>
  <c r="M241" i="7"/>
  <c r="M249" i="7"/>
  <c r="M257" i="7"/>
  <c r="M265" i="7"/>
  <c r="M273" i="7"/>
  <c r="M281" i="7"/>
  <c r="M289" i="7"/>
  <c r="M297" i="7"/>
  <c r="M305" i="7"/>
  <c r="M313" i="7"/>
  <c r="M321" i="7"/>
  <c r="M329" i="7"/>
  <c r="M337" i="7"/>
  <c r="M345" i="7"/>
  <c r="M353" i="7"/>
  <c r="M361" i="7"/>
  <c r="M369" i="7"/>
  <c r="M377" i="7"/>
  <c r="M385" i="7"/>
  <c r="M393" i="7"/>
  <c r="M401" i="7"/>
  <c r="M409" i="7"/>
  <c r="M417" i="7"/>
  <c r="M425" i="7"/>
  <c r="M433" i="7"/>
  <c r="M441" i="7"/>
  <c r="M449" i="7"/>
  <c r="M457" i="7"/>
  <c r="M465" i="7"/>
  <c r="M472" i="7"/>
  <c r="M477" i="7"/>
  <c r="M483" i="7"/>
  <c r="M488" i="7"/>
  <c r="M493" i="7"/>
  <c r="M499" i="7"/>
  <c r="M68" i="7"/>
  <c r="M84" i="7"/>
  <c r="M98" i="7"/>
  <c r="M109" i="7"/>
  <c r="M120" i="7"/>
  <c r="M130" i="7"/>
  <c r="M141" i="7"/>
  <c r="M152" i="7"/>
  <c r="M162" i="7"/>
  <c r="M173" i="7"/>
  <c r="M184" i="7"/>
  <c r="M194" i="7"/>
  <c r="M205" i="7"/>
  <c r="M213" i="7"/>
  <c r="M221" i="7"/>
  <c r="M229" i="7"/>
  <c r="M237" i="7"/>
  <c r="M245" i="7"/>
  <c r="M253" i="7"/>
  <c r="M261" i="7"/>
  <c r="M269" i="7"/>
  <c r="M277" i="7"/>
  <c r="M285" i="7"/>
  <c r="M293" i="7"/>
  <c r="M301" i="7"/>
  <c r="M309" i="7"/>
  <c r="M317" i="7"/>
  <c r="M325" i="7"/>
  <c r="M333" i="7"/>
  <c r="M341" i="7"/>
  <c r="M349" i="7"/>
  <c r="M357" i="7"/>
  <c r="M365" i="7"/>
  <c r="M373" i="7"/>
  <c r="M381" i="7"/>
  <c r="M389" i="7"/>
  <c r="M397" i="7"/>
  <c r="M405" i="7"/>
  <c r="M413" i="7"/>
  <c r="M421" i="7"/>
  <c r="M429" i="7"/>
  <c r="M437" i="7"/>
  <c r="M445" i="7"/>
  <c r="M453" i="7"/>
  <c r="M461" i="7"/>
  <c r="M469" i="7"/>
  <c r="M475" i="7"/>
  <c r="M480" i="7"/>
  <c r="M485" i="7"/>
  <c r="M491" i="7"/>
  <c r="M496" i="7"/>
  <c r="M501" i="7"/>
  <c r="M507" i="7"/>
  <c r="M512" i="7"/>
  <c r="M517" i="7"/>
  <c r="M522" i="7"/>
  <c r="M526" i="7"/>
  <c r="M530" i="7"/>
  <c r="M534" i="7"/>
  <c r="M538" i="7"/>
  <c r="M542" i="7"/>
  <c r="M546" i="7"/>
  <c r="M550" i="7"/>
  <c r="M554" i="7"/>
  <c r="M558" i="7"/>
  <c r="M562" i="7"/>
  <c r="M566" i="7"/>
  <c r="M570" i="7"/>
  <c r="M574" i="7"/>
  <c r="M578" i="7"/>
  <c r="M582" i="7"/>
  <c r="M586" i="7"/>
  <c r="M590" i="7"/>
  <c r="M594" i="7"/>
  <c r="M598" i="7"/>
  <c r="M602" i="7"/>
  <c r="M606" i="7"/>
  <c r="M610" i="7"/>
  <c r="M614" i="7"/>
  <c r="M618" i="7"/>
  <c r="M622" i="7"/>
  <c r="M626" i="7"/>
  <c r="M630" i="7"/>
  <c r="M634" i="7"/>
  <c r="M638" i="7"/>
  <c r="M642" i="7"/>
  <c r="M646" i="7"/>
  <c r="M650" i="7"/>
  <c r="M654" i="7"/>
  <c r="M658" i="7"/>
  <c r="M662" i="7"/>
  <c r="M666" i="7"/>
  <c r="M670" i="7"/>
  <c r="M674" i="7"/>
  <c r="M678" i="7"/>
  <c r="M682" i="7"/>
  <c r="M686" i="7"/>
  <c r="M690" i="7"/>
  <c r="M694" i="7"/>
  <c r="M698" i="7"/>
  <c r="M702" i="7"/>
  <c r="M706" i="7"/>
  <c r="M710" i="7"/>
  <c r="M714" i="7"/>
  <c r="M718" i="7"/>
  <c r="M722" i="7"/>
  <c r="M726" i="7"/>
  <c r="M730" i="7"/>
  <c r="M734" i="7"/>
  <c r="M738" i="7"/>
  <c r="M742" i="7"/>
  <c r="M746" i="7"/>
  <c r="M750" i="7"/>
  <c r="M754" i="7"/>
  <c r="M758" i="7"/>
  <c r="M762" i="7"/>
  <c r="M766" i="7"/>
  <c r="M770" i="7"/>
  <c r="M774" i="7"/>
  <c r="M778" i="7"/>
  <c r="M782" i="7"/>
  <c r="M786" i="7"/>
  <c r="M790" i="7"/>
  <c r="M794" i="7"/>
  <c r="M798" i="7"/>
  <c r="M802" i="7"/>
  <c r="M806" i="7"/>
  <c r="M810" i="7"/>
  <c r="M814" i="7"/>
  <c r="M818" i="7"/>
  <c r="M108" i="7"/>
  <c r="M150" i="7"/>
  <c r="M193" i="7"/>
  <c r="M228" i="7"/>
  <c r="M260" i="7"/>
  <c r="M292" i="7"/>
  <c r="M324" i="7"/>
  <c r="M356" i="7"/>
  <c r="M388" i="7"/>
  <c r="M420" i="7"/>
  <c r="M452" i="7"/>
  <c r="M479" i="7"/>
  <c r="M500" i="7"/>
  <c r="M511" i="7"/>
  <c r="M521" i="7"/>
  <c r="M529" i="7"/>
  <c r="M537" i="7"/>
  <c r="M545" i="7"/>
  <c r="M553" i="7"/>
  <c r="M561" i="7"/>
  <c r="M569" i="7"/>
  <c r="M577" i="7"/>
  <c r="M585" i="7"/>
  <c r="M593" i="7"/>
  <c r="M601" i="7"/>
  <c r="M609" i="7"/>
  <c r="M617" i="7"/>
  <c r="M625" i="7"/>
  <c r="M633" i="7"/>
  <c r="M641" i="7"/>
  <c r="M649" i="7"/>
  <c r="M657" i="7"/>
  <c r="M665" i="7"/>
  <c r="M673" i="7"/>
  <c r="M681" i="7"/>
  <c r="M689" i="7"/>
  <c r="M697" i="7"/>
  <c r="M705" i="7"/>
  <c r="M713" i="7"/>
  <c r="M721" i="7"/>
  <c r="M729" i="7"/>
  <c r="M737" i="7"/>
  <c r="M745" i="7"/>
  <c r="M753" i="7"/>
  <c r="M761" i="7"/>
  <c r="M769" i="7"/>
  <c r="M777" i="7"/>
  <c r="M785" i="7"/>
  <c r="M793" i="7"/>
  <c r="M801" i="7"/>
  <c r="M809" i="7"/>
  <c r="M817" i="7"/>
  <c r="M823" i="7"/>
  <c r="M827" i="7"/>
  <c r="M831" i="7"/>
  <c r="M835" i="7"/>
  <c r="M839" i="7"/>
  <c r="M843" i="7"/>
  <c r="M847" i="7"/>
  <c r="M851" i="7"/>
  <c r="M855" i="7"/>
  <c r="M859" i="7"/>
  <c r="M863" i="7"/>
  <c r="M867" i="7"/>
  <c r="M871" i="7"/>
  <c r="M875" i="7"/>
  <c r="M879" i="7"/>
  <c r="M883" i="7"/>
  <c r="M887" i="7"/>
  <c r="M891" i="7"/>
  <c r="M895" i="7"/>
  <c r="M899" i="7"/>
  <c r="M903" i="7"/>
  <c r="M907" i="7"/>
  <c r="M911" i="7"/>
  <c r="M915" i="7"/>
  <c r="M919" i="7"/>
  <c r="M923" i="7"/>
  <c r="M927" i="7"/>
  <c r="M931" i="7"/>
  <c r="M935" i="7"/>
  <c r="M939" i="7"/>
  <c r="M943" i="7"/>
  <c r="M947" i="7"/>
  <c r="M951" i="7"/>
  <c r="M955" i="7"/>
  <c r="M959" i="7"/>
  <c r="M963" i="7"/>
  <c r="M967" i="7"/>
  <c r="M971" i="7"/>
  <c r="M975" i="7"/>
  <c r="M979" i="7"/>
  <c r="M983" i="7"/>
  <c r="M987" i="7"/>
  <c r="M991" i="7"/>
  <c r="M995" i="7"/>
  <c r="M999" i="7"/>
  <c r="M764" i="7"/>
  <c r="M796" i="7"/>
  <c r="M812" i="7"/>
  <c r="M828" i="7"/>
  <c r="M836" i="7"/>
  <c r="M844" i="7"/>
  <c r="M852" i="7"/>
  <c r="M860" i="7"/>
  <c r="M868" i="7"/>
  <c r="M876" i="7"/>
  <c r="M880" i="7"/>
  <c r="M888" i="7"/>
  <c r="M896" i="7"/>
  <c r="M908" i="7"/>
  <c r="M920" i="7"/>
  <c r="M928" i="7"/>
  <c r="M936" i="7"/>
  <c r="M944" i="7"/>
  <c r="M952" i="7"/>
  <c r="M960" i="7"/>
  <c r="M968" i="7"/>
  <c r="M976" i="7"/>
  <c r="M984" i="7"/>
  <c r="M992" i="7"/>
  <c r="M1000" i="7"/>
  <c r="M129" i="7"/>
  <c r="M212" i="7"/>
  <c r="M308" i="7"/>
  <c r="M372" i="7"/>
  <c r="M436" i="7"/>
  <c r="M489" i="7"/>
  <c r="M525" i="7"/>
  <c r="M549" i="7"/>
  <c r="M573" i="7"/>
  <c r="M597" i="7"/>
  <c r="M621" i="7"/>
  <c r="M637" i="7"/>
  <c r="M661" i="7"/>
  <c r="M685" i="7"/>
  <c r="M709" i="7"/>
  <c r="M733" i="7"/>
  <c r="M757" i="7"/>
  <c r="M781" i="7"/>
  <c r="M805" i="7"/>
  <c r="M825" i="7"/>
  <c r="M833" i="7"/>
  <c r="M845" i="7"/>
  <c r="M857" i="7"/>
  <c r="M869" i="7"/>
  <c r="M881" i="7"/>
  <c r="M889" i="7"/>
  <c r="M901" i="7"/>
  <c r="M913" i="7"/>
  <c r="M925" i="7"/>
  <c r="M937" i="7"/>
  <c r="M949" i="7"/>
  <c r="M965" i="7"/>
  <c r="M977" i="7"/>
  <c r="M981" i="7"/>
  <c r="M993" i="7"/>
  <c r="M118" i="7"/>
  <c r="M161" i="7"/>
  <c r="M204" i="7"/>
  <c r="M236" i="7"/>
  <c r="M268" i="7"/>
  <c r="M300" i="7"/>
  <c r="M332" i="7"/>
  <c r="M364" i="7"/>
  <c r="M396" i="7"/>
  <c r="M428" i="7"/>
  <c r="M460" i="7"/>
  <c r="M484" i="7"/>
  <c r="M504" i="7"/>
  <c r="M515" i="7"/>
  <c r="M524" i="7"/>
  <c r="M532" i="7"/>
  <c r="M540" i="7"/>
  <c r="M548" i="7"/>
  <c r="M556" i="7"/>
  <c r="M564" i="7"/>
  <c r="M572" i="7"/>
  <c r="M580" i="7"/>
  <c r="M588" i="7"/>
  <c r="M596" i="7"/>
  <c r="M604" i="7"/>
  <c r="M612" i="7"/>
  <c r="M620" i="7"/>
  <c r="M628" i="7"/>
  <c r="M636" i="7"/>
  <c r="M644" i="7"/>
  <c r="M652" i="7"/>
  <c r="M660" i="7"/>
  <c r="M668" i="7"/>
  <c r="M676" i="7"/>
  <c r="M684" i="7"/>
  <c r="M692" i="7"/>
  <c r="M700" i="7"/>
  <c r="M708" i="7"/>
  <c r="M716" i="7"/>
  <c r="M724" i="7"/>
  <c r="M732" i="7"/>
  <c r="M740" i="7"/>
  <c r="M748" i="7"/>
  <c r="M756" i="7"/>
  <c r="M780" i="7"/>
  <c r="M824" i="7"/>
  <c r="M904" i="7"/>
  <c r="M276" i="7"/>
  <c r="M505" i="7"/>
  <c r="M533" i="7"/>
  <c r="M565" i="7"/>
  <c r="M589" i="7"/>
  <c r="M613" i="7"/>
  <c r="M645" i="7"/>
  <c r="M669" i="7"/>
  <c r="M693" i="7"/>
  <c r="M725" i="7"/>
  <c r="M749" i="7"/>
  <c r="M773" i="7"/>
  <c r="M797" i="7"/>
  <c r="M821" i="7"/>
  <c r="M837" i="7"/>
  <c r="M849" i="7"/>
  <c r="M861" i="7"/>
  <c r="M877" i="7"/>
  <c r="M893" i="7"/>
  <c r="M909" i="7"/>
  <c r="M921" i="7"/>
  <c r="M929" i="7"/>
  <c r="M945" i="7"/>
  <c r="M957" i="7"/>
  <c r="M969" i="7"/>
  <c r="M989" i="7"/>
  <c r="M97" i="7"/>
  <c r="M140" i="7"/>
  <c r="M182" i="7"/>
  <c r="M220" i="7"/>
  <c r="M252" i="7"/>
  <c r="M284" i="7"/>
  <c r="M316" i="7"/>
  <c r="M348" i="7"/>
  <c r="M380" i="7"/>
  <c r="M412" i="7"/>
  <c r="M444" i="7"/>
  <c r="M473" i="7"/>
  <c r="M495" i="7"/>
  <c r="M509" i="7"/>
  <c r="M520" i="7"/>
  <c r="M528" i="7"/>
  <c r="M536" i="7"/>
  <c r="M544" i="7"/>
  <c r="M552" i="7"/>
  <c r="M560" i="7"/>
  <c r="M568" i="7"/>
  <c r="M576" i="7"/>
  <c r="M584" i="7"/>
  <c r="M592" i="7"/>
  <c r="M600" i="7"/>
  <c r="M608" i="7"/>
  <c r="M616" i="7"/>
  <c r="M624" i="7"/>
  <c r="M632" i="7"/>
  <c r="M640" i="7"/>
  <c r="M648" i="7"/>
  <c r="M656" i="7"/>
  <c r="M664" i="7"/>
  <c r="M672" i="7"/>
  <c r="M680" i="7"/>
  <c r="M688" i="7"/>
  <c r="M696" i="7"/>
  <c r="M704" i="7"/>
  <c r="M712" i="7"/>
  <c r="M720" i="7"/>
  <c r="M728" i="7"/>
  <c r="M736" i="7"/>
  <c r="M744" i="7"/>
  <c r="M752" i="7"/>
  <c r="M760" i="7"/>
  <c r="M768" i="7"/>
  <c r="M776" i="7"/>
  <c r="M784" i="7"/>
  <c r="M792" i="7"/>
  <c r="M800" i="7"/>
  <c r="M808" i="7"/>
  <c r="M816" i="7"/>
  <c r="M822" i="7"/>
  <c r="M826" i="7"/>
  <c r="M830" i="7"/>
  <c r="M834" i="7"/>
  <c r="M838" i="7"/>
  <c r="M842" i="7"/>
  <c r="M846" i="7"/>
  <c r="M850" i="7"/>
  <c r="M854" i="7"/>
  <c r="M858" i="7"/>
  <c r="M862" i="7"/>
  <c r="M866" i="7"/>
  <c r="M870" i="7"/>
  <c r="M874" i="7"/>
  <c r="M878" i="7"/>
  <c r="M882" i="7"/>
  <c r="M886" i="7"/>
  <c r="M890" i="7"/>
  <c r="M894" i="7"/>
  <c r="M898" i="7"/>
  <c r="M902" i="7"/>
  <c r="M906" i="7"/>
  <c r="M910" i="7"/>
  <c r="M914" i="7"/>
  <c r="M918" i="7"/>
  <c r="M922" i="7"/>
  <c r="M926" i="7"/>
  <c r="M930" i="7"/>
  <c r="M934" i="7"/>
  <c r="M938" i="7"/>
  <c r="M942" i="7"/>
  <c r="M946" i="7"/>
  <c r="M950" i="7"/>
  <c r="M954" i="7"/>
  <c r="M958" i="7"/>
  <c r="M962" i="7"/>
  <c r="M966" i="7"/>
  <c r="M970" i="7"/>
  <c r="M974" i="7"/>
  <c r="M978" i="7"/>
  <c r="M982" i="7"/>
  <c r="M986" i="7"/>
  <c r="M990" i="7"/>
  <c r="M994" i="7"/>
  <c r="M998" i="7"/>
  <c r="M772" i="7"/>
  <c r="M788" i="7"/>
  <c r="M804" i="7"/>
  <c r="M820" i="7"/>
  <c r="M832" i="7"/>
  <c r="M840" i="7"/>
  <c r="M848" i="7"/>
  <c r="M856" i="7"/>
  <c r="M864" i="7"/>
  <c r="M872" i="7"/>
  <c r="M884" i="7"/>
  <c r="M892" i="7"/>
  <c r="M900" i="7"/>
  <c r="M912" i="7"/>
  <c r="M916" i="7"/>
  <c r="M924" i="7"/>
  <c r="M932" i="7"/>
  <c r="M940" i="7"/>
  <c r="M948" i="7"/>
  <c r="M956" i="7"/>
  <c r="M964" i="7"/>
  <c r="M972" i="7"/>
  <c r="M980" i="7"/>
  <c r="M988" i="7"/>
  <c r="M996" i="7"/>
  <c r="M81" i="7"/>
  <c r="M172" i="7"/>
  <c r="M244" i="7"/>
  <c r="M340" i="7"/>
  <c r="M404" i="7"/>
  <c r="M468" i="7"/>
  <c r="M516" i="7"/>
  <c r="M541" i="7"/>
  <c r="M557" i="7"/>
  <c r="M581" i="7"/>
  <c r="M605" i="7"/>
  <c r="M629" i="7"/>
  <c r="M653" i="7"/>
  <c r="M677" i="7"/>
  <c r="M701" i="7"/>
  <c r="M717" i="7"/>
  <c r="M741" i="7"/>
  <c r="M765" i="7"/>
  <c r="M789" i="7"/>
  <c r="M813" i="7"/>
  <c r="M829" i="7"/>
  <c r="M841" i="7"/>
  <c r="M853" i="7"/>
  <c r="M865" i="7"/>
  <c r="M873" i="7"/>
  <c r="M885" i="7"/>
  <c r="M897" i="7"/>
  <c r="M905" i="7"/>
  <c r="M917" i="7"/>
  <c r="M933" i="7"/>
  <c r="M941" i="7"/>
  <c r="M953" i="7"/>
  <c r="M961" i="7"/>
  <c r="M973" i="7"/>
  <c r="M985" i="7"/>
  <c r="M997" i="7"/>
  <c r="O3" i="7"/>
  <c r="O4" i="7"/>
  <c r="O5" i="7"/>
  <c r="O6" i="7"/>
  <c r="O7" i="7"/>
  <c r="O8" i="7"/>
  <c r="O9" i="7"/>
  <c r="O10" i="7"/>
  <c r="O11" i="7"/>
  <c r="O12" i="7"/>
  <c r="O13" i="7"/>
  <c r="O14" i="7"/>
  <c r="O15" i="7"/>
  <c r="O16" i="7"/>
  <c r="O17" i="7"/>
  <c r="O18" i="7"/>
  <c r="O19" i="7"/>
  <c r="O20" i="7"/>
  <c r="O21" i="7"/>
  <c r="O22" i="7"/>
  <c r="O23" i="7"/>
  <c r="O24" i="7"/>
  <c r="O25" i="7"/>
  <c r="O26" i="7"/>
  <c r="O27" i="7"/>
  <c r="O28" i="7"/>
  <c r="O29" i="7"/>
  <c r="O30" i="7"/>
  <c r="O31" i="7"/>
  <c r="O32" i="7"/>
  <c r="O33" i="7"/>
  <c r="O34" i="7"/>
  <c r="O35" i="7"/>
  <c r="O36" i="7"/>
  <c r="O37" i="7"/>
  <c r="O38" i="7"/>
  <c r="O39" i="7"/>
  <c r="O40" i="7"/>
  <c r="O41" i="7"/>
  <c r="O42" i="7"/>
  <c r="O43" i="7"/>
  <c r="O44" i="7"/>
  <c r="O45" i="7"/>
  <c r="O46" i="7"/>
  <c r="O47" i="7"/>
  <c r="O48" i="7"/>
  <c r="O49" i="7"/>
  <c r="O50" i="7"/>
  <c r="O51" i="7"/>
  <c r="O52" i="7"/>
  <c r="O53" i="7"/>
  <c r="O54" i="7"/>
  <c r="O55" i="7"/>
  <c r="O56" i="7"/>
  <c r="O57" i="7"/>
  <c r="O58" i="7"/>
  <c r="O59" i="7"/>
  <c r="O60" i="7"/>
  <c r="O61" i="7"/>
  <c r="O62" i="7"/>
  <c r="O63" i="7"/>
  <c r="O64" i="7"/>
  <c r="O65" i="7"/>
  <c r="O66" i="7"/>
  <c r="O67" i="7"/>
  <c r="O68" i="7"/>
  <c r="O69" i="7"/>
  <c r="O70" i="7"/>
  <c r="O71" i="7"/>
  <c r="O72" i="7"/>
  <c r="O73" i="7"/>
  <c r="O74" i="7"/>
  <c r="O75" i="7"/>
  <c r="O76" i="7"/>
  <c r="O77" i="7"/>
  <c r="O78" i="7"/>
  <c r="O79" i="7"/>
  <c r="O80" i="7"/>
  <c r="O81" i="7"/>
  <c r="O82" i="7"/>
  <c r="O83" i="7"/>
  <c r="O84" i="7"/>
  <c r="O85" i="7"/>
  <c r="O86" i="7"/>
  <c r="O87" i="7"/>
  <c r="O88" i="7"/>
  <c r="O89" i="7"/>
  <c r="O90" i="7"/>
  <c r="O91" i="7"/>
  <c r="O92" i="7"/>
  <c r="O93" i="7"/>
  <c r="O94" i="7"/>
  <c r="O95" i="7"/>
  <c r="O96" i="7"/>
  <c r="O97" i="7"/>
  <c r="O98" i="7"/>
  <c r="O99" i="7"/>
  <c r="O100" i="7"/>
  <c r="O101" i="7"/>
  <c r="O102" i="7"/>
  <c r="O103" i="7"/>
  <c r="O104" i="7"/>
  <c r="O105" i="7"/>
  <c r="O106" i="7"/>
  <c r="O107" i="7"/>
  <c r="O108" i="7"/>
  <c r="O109" i="7"/>
  <c r="O110" i="7"/>
  <c r="O111" i="7"/>
  <c r="O112" i="7"/>
  <c r="O113" i="7"/>
  <c r="O114" i="7"/>
  <c r="O115" i="7"/>
  <c r="O116" i="7"/>
  <c r="O117" i="7"/>
  <c r="O118" i="7"/>
  <c r="O119" i="7"/>
  <c r="O120" i="7"/>
  <c r="O121" i="7"/>
  <c r="O122" i="7"/>
  <c r="O123" i="7"/>
  <c r="O124" i="7"/>
  <c r="O125" i="7"/>
  <c r="O126" i="7"/>
  <c r="O127" i="7"/>
  <c r="O128" i="7"/>
  <c r="O129" i="7"/>
  <c r="O130" i="7"/>
  <c r="O131" i="7"/>
  <c r="O132" i="7"/>
  <c r="O133" i="7"/>
  <c r="O134" i="7"/>
  <c r="O135" i="7"/>
  <c r="O136" i="7"/>
  <c r="O137" i="7"/>
  <c r="O138" i="7"/>
  <c r="O139" i="7"/>
  <c r="O140" i="7"/>
  <c r="O141" i="7"/>
  <c r="O142" i="7"/>
  <c r="O143" i="7"/>
  <c r="O144" i="7"/>
  <c r="O145" i="7"/>
  <c r="O146" i="7"/>
  <c r="O147" i="7"/>
  <c r="O148" i="7"/>
  <c r="O149" i="7"/>
  <c r="O150" i="7"/>
  <c r="O151" i="7"/>
  <c r="O152" i="7"/>
  <c r="O153" i="7"/>
  <c r="O154" i="7"/>
  <c r="O155" i="7"/>
  <c r="O156" i="7"/>
  <c r="O157" i="7"/>
  <c r="O158" i="7"/>
  <c r="O159" i="7"/>
  <c r="O160" i="7"/>
  <c r="O161" i="7"/>
  <c r="O162" i="7"/>
  <c r="O163" i="7"/>
  <c r="O164" i="7"/>
  <c r="O165" i="7"/>
  <c r="O166" i="7"/>
  <c r="O167" i="7"/>
  <c r="O168" i="7"/>
  <c r="O169" i="7"/>
  <c r="O170" i="7"/>
  <c r="O171" i="7"/>
  <c r="O172" i="7"/>
  <c r="O173" i="7"/>
  <c r="O174" i="7"/>
  <c r="O175" i="7"/>
  <c r="O176" i="7"/>
  <c r="O177" i="7"/>
  <c r="O178" i="7"/>
  <c r="O179" i="7"/>
  <c r="O180" i="7"/>
  <c r="O181" i="7"/>
  <c r="O182" i="7"/>
  <c r="O183" i="7"/>
  <c r="O184" i="7"/>
  <c r="O185" i="7"/>
  <c r="O186" i="7"/>
  <c r="O187" i="7"/>
  <c r="O188" i="7"/>
  <c r="O189" i="7"/>
  <c r="O190" i="7"/>
  <c r="O191" i="7"/>
  <c r="O192" i="7"/>
  <c r="O193" i="7"/>
  <c r="O194" i="7"/>
  <c r="O195" i="7"/>
  <c r="O196" i="7"/>
  <c r="O197" i="7"/>
  <c r="O198" i="7"/>
  <c r="O199" i="7"/>
  <c r="O200" i="7"/>
  <c r="O201" i="7"/>
  <c r="O202" i="7"/>
  <c r="O203" i="7"/>
  <c r="O204" i="7"/>
  <c r="O205" i="7"/>
  <c r="O206" i="7"/>
  <c r="O207" i="7"/>
  <c r="O208" i="7"/>
  <c r="O209" i="7"/>
  <c r="O210" i="7"/>
  <c r="O211" i="7"/>
  <c r="O212" i="7"/>
  <c r="O213" i="7"/>
  <c r="O214" i="7"/>
  <c r="O215" i="7"/>
  <c r="O216" i="7"/>
  <c r="O217" i="7"/>
  <c r="O218" i="7"/>
  <c r="O219" i="7"/>
  <c r="O220" i="7"/>
  <c r="O221" i="7"/>
  <c r="O222" i="7"/>
  <c r="O223" i="7"/>
  <c r="O224" i="7"/>
  <c r="O225" i="7"/>
  <c r="O226" i="7"/>
  <c r="O227" i="7"/>
  <c r="O228" i="7"/>
  <c r="O229" i="7"/>
  <c r="O230" i="7"/>
  <c r="O231" i="7"/>
  <c r="O232" i="7"/>
  <c r="O233" i="7"/>
  <c r="O234" i="7"/>
  <c r="O235" i="7"/>
  <c r="O236" i="7"/>
  <c r="O237" i="7"/>
  <c r="O238" i="7"/>
  <c r="O239" i="7"/>
  <c r="O240" i="7"/>
  <c r="O241" i="7"/>
  <c r="O242" i="7"/>
  <c r="O243" i="7"/>
  <c r="O244" i="7"/>
  <c r="O245" i="7"/>
  <c r="O246" i="7"/>
  <c r="O247" i="7"/>
  <c r="O248" i="7"/>
  <c r="O249" i="7"/>
  <c r="O250" i="7"/>
  <c r="O251" i="7"/>
  <c r="O252" i="7"/>
  <c r="O253" i="7"/>
  <c r="O254" i="7"/>
  <c r="O255" i="7"/>
  <c r="O256" i="7"/>
  <c r="O257" i="7"/>
  <c r="O258" i="7"/>
  <c r="O259" i="7"/>
  <c r="O260" i="7"/>
  <c r="O261" i="7"/>
  <c r="O262" i="7"/>
  <c r="O263" i="7"/>
  <c r="O264" i="7"/>
  <c r="O265" i="7"/>
  <c r="O266" i="7"/>
  <c r="O267" i="7"/>
  <c r="O268" i="7"/>
  <c r="O269" i="7"/>
  <c r="O270" i="7"/>
  <c r="O271" i="7"/>
  <c r="O272" i="7"/>
  <c r="O273" i="7"/>
  <c r="O274" i="7"/>
  <c r="O275" i="7"/>
  <c r="O276" i="7"/>
  <c r="O277" i="7"/>
  <c r="O278" i="7"/>
  <c r="O279" i="7"/>
  <c r="O280" i="7"/>
  <c r="O281" i="7"/>
  <c r="O282" i="7"/>
  <c r="O283" i="7"/>
  <c r="O284" i="7"/>
  <c r="O285" i="7"/>
  <c r="O286" i="7"/>
  <c r="O287" i="7"/>
  <c r="O288" i="7"/>
  <c r="O289" i="7"/>
  <c r="O290" i="7"/>
  <c r="O291" i="7"/>
  <c r="O292" i="7"/>
  <c r="O293" i="7"/>
  <c r="O294" i="7"/>
  <c r="O295" i="7"/>
  <c r="O296" i="7"/>
  <c r="O297" i="7"/>
  <c r="O298" i="7"/>
  <c r="O299" i="7"/>
  <c r="O300" i="7"/>
  <c r="O301" i="7"/>
  <c r="O302" i="7"/>
  <c r="O303" i="7"/>
  <c r="O304" i="7"/>
  <c r="O305" i="7"/>
  <c r="O306" i="7"/>
  <c r="O307" i="7"/>
  <c r="O308" i="7"/>
  <c r="O309" i="7"/>
  <c r="O310" i="7"/>
  <c r="O311" i="7"/>
  <c r="O312" i="7"/>
  <c r="O313" i="7"/>
  <c r="O314" i="7"/>
  <c r="O315" i="7"/>
  <c r="O316" i="7"/>
  <c r="O317" i="7"/>
  <c r="O318" i="7"/>
  <c r="O319" i="7"/>
  <c r="O320" i="7"/>
  <c r="O321" i="7"/>
  <c r="O322" i="7"/>
  <c r="O323" i="7"/>
  <c r="O324" i="7"/>
  <c r="O325" i="7"/>
  <c r="O326" i="7"/>
  <c r="O327" i="7"/>
  <c r="O328" i="7"/>
  <c r="O329" i="7"/>
  <c r="O330" i="7"/>
  <c r="O331" i="7"/>
  <c r="O332" i="7"/>
  <c r="O333" i="7"/>
  <c r="O334" i="7"/>
  <c r="O335" i="7"/>
  <c r="O336" i="7"/>
  <c r="O337" i="7"/>
  <c r="O338" i="7"/>
  <c r="O339" i="7"/>
  <c r="O340" i="7"/>
  <c r="O341" i="7"/>
  <c r="O342" i="7"/>
  <c r="O343" i="7"/>
  <c r="O344" i="7"/>
  <c r="O345" i="7"/>
  <c r="O346" i="7"/>
  <c r="O347" i="7"/>
  <c r="O348" i="7"/>
  <c r="O349" i="7"/>
  <c r="O350" i="7"/>
  <c r="O351" i="7"/>
  <c r="O352" i="7"/>
  <c r="O353" i="7"/>
  <c r="O354" i="7"/>
  <c r="O355" i="7"/>
  <c r="O356" i="7"/>
  <c r="O357" i="7"/>
  <c r="O358" i="7"/>
  <c r="O359" i="7"/>
  <c r="O360" i="7"/>
  <c r="O361" i="7"/>
  <c r="O362" i="7"/>
  <c r="O363" i="7"/>
  <c r="O364" i="7"/>
  <c r="O365" i="7"/>
  <c r="O366" i="7"/>
  <c r="O367" i="7"/>
  <c r="O368" i="7"/>
  <c r="O369" i="7"/>
  <c r="O370" i="7"/>
  <c r="O371" i="7"/>
  <c r="O372" i="7"/>
  <c r="O373" i="7"/>
  <c r="O374" i="7"/>
  <c r="O375" i="7"/>
  <c r="O376" i="7"/>
  <c r="O377" i="7"/>
  <c r="O378" i="7"/>
  <c r="O379" i="7"/>
  <c r="O380" i="7"/>
  <c r="O381" i="7"/>
  <c r="O382" i="7"/>
  <c r="O383" i="7"/>
  <c r="O384" i="7"/>
  <c r="O385" i="7"/>
  <c r="O386" i="7"/>
  <c r="O387" i="7"/>
  <c r="O388" i="7"/>
  <c r="O389" i="7"/>
  <c r="O390" i="7"/>
  <c r="O391" i="7"/>
  <c r="O392" i="7"/>
  <c r="O393" i="7"/>
  <c r="O394" i="7"/>
  <c r="O395" i="7"/>
  <c r="O396" i="7"/>
  <c r="O397" i="7"/>
  <c r="O398" i="7"/>
  <c r="O399" i="7"/>
  <c r="O400" i="7"/>
  <c r="O401" i="7"/>
  <c r="O402" i="7"/>
  <c r="O403" i="7"/>
  <c r="O404" i="7"/>
  <c r="O405" i="7"/>
  <c r="O406" i="7"/>
  <c r="O407" i="7"/>
  <c r="O408" i="7"/>
  <c r="O409" i="7"/>
  <c r="O410" i="7"/>
  <c r="O411" i="7"/>
  <c r="O412" i="7"/>
  <c r="O413" i="7"/>
  <c r="O414" i="7"/>
  <c r="O415" i="7"/>
  <c r="O416" i="7"/>
  <c r="O417" i="7"/>
  <c r="O418" i="7"/>
  <c r="O419" i="7"/>
  <c r="O420" i="7"/>
  <c r="O421" i="7"/>
  <c r="O422" i="7"/>
  <c r="O423" i="7"/>
  <c r="O424" i="7"/>
  <c r="O425" i="7"/>
  <c r="O426" i="7"/>
  <c r="O427" i="7"/>
  <c r="O428" i="7"/>
  <c r="O429" i="7"/>
  <c r="O430" i="7"/>
  <c r="O431" i="7"/>
  <c r="O432" i="7"/>
  <c r="O433" i="7"/>
  <c r="O434" i="7"/>
  <c r="O435" i="7"/>
  <c r="O436" i="7"/>
  <c r="O437" i="7"/>
  <c r="O438" i="7"/>
  <c r="O439" i="7"/>
  <c r="O440" i="7"/>
  <c r="O441" i="7"/>
  <c r="O442" i="7"/>
  <c r="O443" i="7"/>
  <c r="O444" i="7"/>
  <c r="O445" i="7"/>
  <c r="O446" i="7"/>
  <c r="O447" i="7"/>
  <c r="O448" i="7"/>
  <c r="O449" i="7"/>
  <c r="O450" i="7"/>
  <c r="O451" i="7"/>
  <c r="O452" i="7"/>
  <c r="O453" i="7"/>
  <c r="O454" i="7"/>
  <c r="O455" i="7"/>
  <c r="O456" i="7"/>
  <c r="O457" i="7"/>
  <c r="O458" i="7"/>
  <c r="O459" i="7"/>
  <c r="O460" i="7"/>
  <c r="O461" i="7"/>
  <c r="O462" i="7"/>
  <c r="O463" i="7"/>
  <c r="O464" i="7"/>
  <c r="O465" i="7"/>
  <c r="O466" i="7"/>
  <c r="O467" i="7"/>
  <c r="O468" i="7"/>
  <c r="O469" i="7"/>
  <c r="O470" i="7"/>
  <c r="O471" i="7"/>
  <c r="O472" i="7"/>
  <c r="O473" i="7"/>
  <c r="O474" i="7"/>
  <c r="O475" i="7"/>
  <c r="O476" i="7"/>
  <c r="O477" i="7"/>
  <c r="O478" i="7"/>
  <c r="O479" i="7"/>
  <c r="O480" i="7"/>
  <c r="O481" i="7"/>
  <c r="O482" i="7"/>
  <c r="O483" i="7"/>
  <c r="O484" i="7"/>
  <c r="O485" i="7"/>
  <c r="O486" i="7"/>
  <c r="O487" i="7"/>
  <c r="O488" i="7"/>
  <c r="O489" i="7"/>
  <c r="O490" i="7"/>
  <c r="O491" i="7"/>
  <c r="O492" i="7"/>
  <c r="O493" i="7"/>
  <c r="O494" i="7"/>
  <c r="O495" i="7"/>
  <c r="O496" i="7"/>
  <c r="O497" i="7"/>
  <c r="O498" i="7"/>
  <c r="O499" i="7"/>
  <c r="O500" i="7"/>
  <c r="O501" i="7"/>
  <c r="O502" i="7"/>
  <c r="O503" i="7"/>
  <c r="O504" i="7"/>
  <c r="O505" i="7"/>
  <c r="O506" i="7"/>
  <c r="O507" i="7"/>
  <c r="O508" i="7"/>
  <c r="O509" i="7"/>
  <c r="O510" i="7"/>
  <c r="O511" i="7"/>
  <c r="O512" i="7"/>
  <c r="O513" i="7"/>
  <c r="O514" i="7"/>
  <c r="O515" i="7"/>
  <c r="O516" i="7"/>
  <c r="O517" i="7"/>
  <c r="O518" i="7"/>
  <c r="O519" i="7"/>
  <c r="O520" i="7"/>
  <c r="O521" i="7"/>
  <c r="O522" i="7"/>
  <c r="O523" i="7"/>
  <c r="O524" i="7"/>
  <c r="O525" i="7"/>
  <c r="O526" i="7"/>
  <c r="O527" i="7"/>
  <c r="O528" i="7"/>
  <c r="O529" i="7"/>
  <c r="O530" i="7"/>
  <c r="O531" i="7"/>
  <c r="O532" i="7"/>
  <c r="O533" i="7"/>
  <c r="O534" i="7"/>
  <c r="O535" i="7"/>
  <c r="O536" i="7"/>
  <c r="O537" i="7"/>
  <c r="O538" i="7"/>
  <c r="O539" i="7"/>
  <c r="O540" i="7"/>
  <c r="O541" i="7"/>
  <c r="O542" i="7"/>
  <c r="O543" i="7"/>
  <c r="O544" i="7"/>
  <c r="O545" i="7"/>
  <c r="O546" i="7"/>
  <c r="O547" i="7"/>
  <c r="O548" i="7"/>
  <c r="O549" i="7"/>
  <c r="O550" i="7"/>
  <c r="O551" i="7"/>
  <c r="O552" i="7"/>
  <c r="O553" i="7"/>
  <c r="O554" i="7"/>
  <c r="O555" i="7"/>
  <c r="O556" i="7"/>
  <c r="O557" i="7"/>
  <c r="O558" i="7"/>
  <c r="O559" i="7"/>
  <c r="O560" i="7"/>
  <c r="O561" i="7"/>
  <c r="O562" i="7"/>
  <c r="O563" i="7"/>
  <c r="O564" i="7"/>
  <c r="O565" i="7"/>
  <c r="O566" i="7"/>
  <c r="O567" i="7"/>
  <c r="O568" i="7"/>
  <c r="O569" i="7"/>
  <c r="O570" i="7"/>
  <c r="O571" i="7"/>
  <c r="O572" i="7"/>
  <c r="O573" i="7"/>
  <c r="O574" i="7"/>
  <c r="O575" i="7"/>
  <c r="O576" i="7"/>
  <c r="O577" i="7"/>
  <c r="O578" i="7"/>
  <c r="O579" i="7"/>
  <c r="O580" i="7"/>
  <c r="O581" i="7"/>
  <c r="O582" i="7"/>
  <c r="O583" i="7"/>
  <c r="O584" i="7"/>
  <c r="O585" i="7"/>
  <c r="O586" i="7"/>
  <c r="O587" i="7"/>
  <c r="O588" i="7"/>
  <c r="O589" i="7"/>
  <c r="O590" i="7"/>
  <c r="O591" i="7"/>
  <c r="O592" i="7"/>
  <c r="O593" i="7"/>
  <c r="O594" i="7"/>
  <c r="O595" i="7"/>
  <c r="O596" i="7"/>
  <c r="O597" i="7"/>
  <c r="O598" i="7"/>
  <c r="O599" i="7"/>
  <c r="O600" i="7"/>
  <c r="O601" i="7"/>
  <c r="O602" i="7"/>
  <c r="O603" i="7"/>
  <c r="O604" i="7"/>
  <c r="O605" i="7"/>
  <c r="O606" i="7"/>
  <c r="O607" i="7"/>
  <c r="O608" i="7"/>
  <c r="O609" i="7"/>
  <c r="O610" i="7"/>
  <c r="O611" i="7"/>
  <c r="O612" i="7"/>
  <c r="O613" i="7"/>
  <c r="O614" i="7"/>
  <c r="O615" i="7"/>
  <c r="O616" i="7"/>
  <c r="O617" i="7"/>
  <c r="O618" i="7"/>
  <c r="O619" i="7"/>
  <c r="O620" i="7"/>
  <c r="O621" i="7"/>
  <c r="O622" i="7"/>
  <c r="O623" i="7"/>
  <c r="O624" i="7"/>
  <c r="O625" i="7"/>
  <c r="O626" i="7"/>
  <c r="O627" i="7"/>
  <c r="O628" i="7"/>
  <c r="O629" i="7"/>
  <c r="O630" i="7"/>
  <c r="O631" i="7"/>
  <c r="O632" i="7"/>
  <c r="O633" i="7"/>
  <c r="O634" i="7"/>
  <c r="O635" i="7"/>
  <c r="O636" i="7"/>
  <c r="O637" i="7"/>
  <c r="O638" i="7"/>
  <c r="O639" i="7"/>
  <c r="O640" i="7"/>
  <c r="O641" i="7"/>
  <c r="O642" i="7"/>
  <c r="O643" i="7"/>
  <c r="O644" i="7"/>
  <c r="O645" i="7"/>
  <c r="O646" i="7"/>
  <c r="O647" i="7"/>
  <c r="O648" i="7"/>
  <c r="O649" i="7"/>
  <c r="O650" i="7"/>
  <c r="O651" i="7"/>
  <c r="O652" i="7"/>
  <c r="O653" i="7"/>
  <c r="O654" i="7"/>
  <c r="O655" i="7"/>
  <c r="O656" i="7"/>
  <c r="O657" i="7"/>
  <c r="O658" i="7"/>
  <c r="O659" i="7"/>
  <c r="O660" i="7"/>
  <c r="O661" i="7"/>
  <c r="O662" i="7"/>
  <c r="O663" i="7"/>
  <c r="O664" i="7"/>
  <c r="O665" i="7"/>
  <c r="O666" i="7"/>
  <c r="O667" i="7"/>
  <c r="O668" i="7"/>
  <c r="O669" i="7"/>
  <c r="O670" i="7"/>
  <c r="O671" i="7"/>
  <c r="O672" i="7"/>
  <c r="O673" i="7"/>
  <c r="O674" i="7"/>
  <c r="O675" i="7"/>
  <c r="O676" i="7"/>
  <c r="O677" i="7"/>
  <c r="O678" i="7"/>
  <c r="O679" i="7"/>
  <c r="O680" i="7"/>
  <c r="O681" i="7"/>
  <c r="O682" i="7"/>
  <c r="O683" i="7"/>
  <c r="O684" i="7"/>
  <c r="O685" i="7"/>
  <c r="O686" i="7"/>
  <c r="O687" i="7"/>
  <c r="O688" i="7"/>
  <c r="O689" i="7"/>
  <c r="O690" i="7"/>
  <c r="O691" i="7"/>
  <c r="O692" i="7"/>
  <c r="O693" i="7"/>
  <c r="O694" i="7"/>
  <c r="O695" i="7"/>
  <c r="O696" i="7"/>
  <c r="O697" i="7"/>
  <c r="O698" i="7"/>
  <c r="O699" i="7"/>
  <c r="O700" i="7"/>
  <c r="O701" i="7"/>
  <c r="O702" i="7"/>
  <c r="O703" i="7"/>
  <c r="O704" i="7"/>
  <c r="O705" i="7"/>
  <c r="O706" i="7"/>
  <c r="O707" i="7"/>
  <c r="O708" i="7"/>
  <c r="O709" i="7"/>
  <c r="O710" i="7"/>
  <c r="O711" i="7"/>
  <c r="O712" i="7"/>
  <c r="O713" i="7"/>
  <c r="O714" i="7"/>
  <c r="O715" i="7"/>
  <c r="O716" i="7"/>
  <c r="O717" i="7"/>
  <c r="O718" i="7"/>
  <c r="O719" i="7"/>
  <c r="O720" i="7"/>
  <c r="O721" i="7"/>
  <c r="O722" i="7"/>
  <c r="O723" i="7"/>
  <c r="O724" i="7"/>
  <c r="O725" i="7"/>
  <c r="O726" i="7"/>
  <c r="O727" i="7"/>
  <c r="O728" i="7"/>
  <c r="O729" i="7"/>
  <c r="O730" i="7"/>
  <c r="O731" i="7"/>
  <c r="O732" i="7"/>
  <c r="O733" i="7"/>
  <c r="O734" i="7"/>
  <c r="O735" i="7"/>
  <c r="O736" i="7"/>
  <c r="O737" i="7"/>
  <c r="O738" i="7"/>
  <c r="O739" i="7"/>
  <c r="O740" i="7"/>
  <c r="O741" i="7"/>
  <c r="O742" i="7"/>
  <c r="O743" i="7"/>
  <c r="O744" i="7"/>
  <c r="O745" i="7"/>
  <c r="O746" i="7"/>
  <c r="O747" i="7"/>
  <c r="O748" i="7"/>
  <c r="O749" i="7"/>
  <c r="O750" i="7"/>
  <c r="O751" i="7"/>
  <c r="O752" i="7"/>
  <c r="O753" i="7"/>
  <c r="O754" i="7"/>
  <c r="O755" i="7"/>
  <c r="O756" i="7"/>
  <c r="O757" i="7"/>
  <c r="O758" i="7"/>
  <c r="O759" i="7"/>
  <c r="O760" i="7"/>
  <c r="O761" i="7"/>
  <c r="O762" i="7"/>
  <c r="O763" i="7"/>
  <c r="O764" i="7"/>
  <c r="O765" i="7"/>
  <c r="O766" i="7"/>
  <c r="O767" i="7"/>
  <c r="O768" i="7"/>
  <c r="O769" i="7"/>
  <c r="O770" i="7"/>
  <c r="O771" i="7"/>
  <c r="O772" i="7"/>
  <c r="O773" i="7"/>
  <c r="O774" i="7"/>
  <c r="O775" i="7"/>
  <c r="O776" i="7"/>
  <c r="O777" i="7"/>
  <c r="O778" i="7"/>
  <c r="O779" i="7"/>
  <c r="O780" i="7"/>
  <c r="O781" i="7"/>
  <c r="O782" i="7"/>
  <c r="O783" i="7"/>
  <c r="O784" i="7"/>
  <c r="O785" i="7"/>
  <c r="O786" i="7"/>
  <c r="O787" i="7"/>
  <c r="O788" i="7"/>
  <c r="O789" i="7"/>
  <c r="O790" i="7"/>
  <c r="O791" i="7"/>
  <c r="O792" i="7"/>
  <c r="O793" i="7"/>
  <c r="O794" i="7"/>
  <c r="O795" i="7"/>
  <c r="O796" i="7"/>
  <c r="O797" i="7"/>
  <c r="O798" i="7"/>
  <c r="O799" i="7"/>
  <c r="O800" i="7"/>
  <c r="O801" i="7"/>
  <c r="O802" i="7"/>
  <c r="O803" i="7"/>
  <c r="O804" i="7"/>
  <c r="O805" i="7"/>
  <c r="O806" i="7"/>
  <c r="O807" i="7"/>
  <c r="O808" i="7"/>
  <c r="O809" i="7"/>
  <c r="O810" i="7"/>
  <c r="O811" i="7"/>
  <c r="O812" i="7"/>
  <c r="O813" i="7"/>
  <c r="O814" i="7"/>
  <c r="O815" i="7"/>
  <c r="O816" i="7"/>
  <c r="O817" i="7"/>
  <c r="O818" i="7"/>
  <c r="O819" i="7"/>
  <c r="O820" i="7"/>
  <c r="O821" i="7"/>
  <c r="O822" i="7"/>
  <c r="O823" i="7"/>
  <c r="O824" i="7"/>
  <c r="O825" i="7"/>
  <c r="O826" i="7"/>
  <c r="O827" i="7"/>
  <c r="O828" i="7"/>
  <c r="O829" i="7"/>
  <c r="O830" i="7"/>
  <c r="O831" i="7"/>
  <c r="O832" i="7"/>
  <c r="O833" i="7"/>
  <c r="O834" i="7"/>
  <c r="O835" i="7"/>
  <c r="O836" i="7"/>
  <c r="O837" i="7"/>
  <c r="O838" i="7"/>
  <c r="O839" i="7"/>
  <c r="O840" i="7"/>
  <c r="O841" i="7"/>
  <c r="O842" i="7"/>
  <c r="O843" i="7"/>
  <c r="O844" i="7"/>
  <c r="O845" i="7"/>
  <c r="O846" i="7"/>
  <c r="O847" i="7"/>
  <c r="O848" i="7"/>
  <c r="O849" i="7"/>
  <c r="O850" i="7"/>
  <c r="O851" i="7"/>
  <c r="O852" i="7"/>
  <c r="O853" i="7"/>
  <c r="O854" i="7"/>
  <c r="O855" i="7"/>
  <c r="O856" i="7"/>
  <c r="O857" i="7"/>
  <c r="O858" i="7"/>
  <c r="O859" i="7"/>
  <c r="O860" i="7"/>
  <c r="O861" i="7"/>
  <c r="O862" i="7"/>
  <c r="O863" i="7"/>
  <c r="O864" i="7"/>
  <c r="O865" i="7"/>
  <c r="O866" i="7"/>
  <c r="O867" i="7"/>
  <c r="O868" i="7"/>
  <c r="O869" i="7"/>
  <c r="O870" i="7"/>
  <c r="O871" i="7"/>
  <c r="O872" i="7"/>
  <c r="O873" i="7"/>
  <c r="O874" i="7"/>
  <c r="O875" i="7"/>
  <c r="O876" i="7"/>
  <c r="O877" i="7"/>
  <c r="O878" i="7"/>
  <c r="O879" i="7"/>
  <c r="O880" i="7"/>
  <c r="O881" i="7"/>
  <c r="O882" i="7"/>
  <c r="O883" i="7"/>
  <c r="O884" i="7"/>
  <c r="O885" i="7"/>
  <c r="O886" i="7"/>
  <c r="O887" i="7"/>
  <c r="O888" i="7"/>
  <c r="O889" i="7"/>
  <c r="O890" i="7"/>
  <c r="O891" i="7"/>
  <c r="O892" i="7"/>
  <c r="O893" i="7"/>
  <c r="O894" i="7"/>
  <c r="O895" i="7"/>
  <c r="O896" i="7"/>
  <c r="O897" i="7"/>
  <c r="O898" i="7"/>
  <c r="O899" i="7"/>
  <c r="O900" i="7"/>
  <c r="O901" i="7"/>
  <c r="O902" i="7"/>
  <c r="O903" i="7"/>
  <c r="O904" i="7"/>
  <c r="O905" i="7"/>
  <c r="O906" i="7"/>
  <c r="O907" i="7"/>
  <c r="O908" i="7"/>
  <c r="O909" i="7"/>
  <c r="O910" i="7"/>
  <c r="O911" i="7"/>
  <c r="O912" i="7"/>
  <c r="O913" i="7"/>
  <c r="O914" i="7"/>
  <c r="O915" i="7"/>
  <c r="O916" i="7"/>
  <c r="O917" i="7"/>
  <c r="O918" i="7"/>
  <c r="O919" i="7"/>
  <c r="O920" i="7"/>
  <c r="O921" i="7"/>
  <c r="O922" i="7"/>
  <c r="O923" i="7"/>
  <c r="O924" i="7"/>
  <c r="O925" i="7"/>
  <c r="O926" i="7"/>
  <c r="O927" i="7"/>
  <c r="O928" i="7"/>
  <c r="O929" i="7"/>
  <c r="O930" i="7"/>
  <c r="O931" i="7"/>
  <c r="O932" i="7"/>
  <c r="O933" i="7"/>
  <c r="O934" i="7"/>
  <c r="O935" i="7"/>
  <c r="O936" i="7"/>
  <c r="O937" i="7"/>
  <c r="O938" i="7"/>
  <c r="O939" i="7"/>
  <c r="O940" i="7"/>
  <c r="O941" i="7"/>
  <c r="O942" i="7"/>
  <c r="O943" i="7"/>
  <c r="O944" i="7"/>
  <c r="O945" i="7"/>
  <c r="O946" i="7"/>
  <c r="O947" i="7"/>
  <c r="O948" i="7"/>
  <c r="O949" i="7"/>
  <c r="O950" i="7"/>
  <c r="O951" i="7"/>
  <c r="O952" i="7"/>
  <c r="O953" i="7"/>
  <c r="O954" i="7"/>
  <c r="O955" i="7"/>
  <c r="O956" i="7"/>
  <c r="O957" i="7"/>
  <c r="O958" i="7"/>
  <c r="O959" i="7"/>
  <c r="O960" i="7"/>
  <c r="O961" i="7"/>
  <c r="O962" i="7"/>
  <c r="O963" i="7"/>
  <c r="O964" i="7"/>
  <c r="O965" i="7"/>
  <c r="O966" i="7"/>
  <c r="O967" i="7"/>
  <c r="O968" i="7"/>
  <c r="O969" i="7"/>
  <c r="O970" i="7"/>
  <c r="O971" i="7"/>
  <c r="O972" i="7"/>
  <c r="O973" i="7"/>
  <c r="O974" i="7"/>
  <c r="O975" i="7"/>
  <c r="O976" i="7"/>
  <c r="O977" i="7"/>
  <c r="O978" i="7"/>
  <c r="O979" i="7"/>
  <c r="O980" i="7"/>
  <c r="O981" i="7"/>
  <c r="O982" i="7"/>
  <c r="O983" i="7"/>
  <c r="O984" i="7"/>
  <c r="O985" i="7"/>
  <c r="O986" i="7"/>
  <c r="O987" i="7"/>
  <c r="O988" i="7"/>
  <c r="O989" i="7"/>
  <c r="O990" i="7"/>
  <c r="O991" i="7"/>
  <c r="O992" i="7"/>
  <c r="O993" i="7"/>
  <c r="O994" i="7"/>
  <c r="O995" i="7"/>
  <c r="O996" i="7"/>
  <c r="O997" i="7"/>
  <c r="O998" i="7"/>
  <c r="O999" i="7"/>
  <c r="O1000" i="7"/>
  <c r="O2" i="7"/>
  <c r="J65" i="4"/>
  <c r="J54" i="4"/>
  <c r="J49" i="4"/>
  <c r="J38" i="4"/>
  <c r="J58" i="4"/>
  <c r="J42" i="4"/>
  <c r="J26" i="4"/>
  <c r="J10" i="4"/>
  <c r="Z4" i="4"/>
  <c r="T4" i="4"/>
  <c r="R4" i="4"/>
  <c r="L4" i="4"/>
  <c r="AE7" i="4" l="1"/>
  <c r="AE14" i="4"/>
  <c r="N4" i="7"/>
  <c r="N67" i="7"/>
  <c r="N71" i="7"/>
  <c r="N75" i="7"/>
  <c r="N79" i="7"/>
  <c r="N83" i="7"/>
  <c r="N87" i="7"/>
  <c r="N91" i="7"/>
  <c r="N95" i="7"/>
  <c r="N99" i="7"/>
  <c r="N103" i="7"/>
  <c r="N107" i="7"/>
  <c r="N111" i="7"/>
  <c r="N115" i="7"/>
  <c r="N119" i="7"/>
  <c r="N123" i="7"/>
  <c r="N127" i="7"/>
  <c r="N131" i="7"/>
  <c r="N135" i="7"/>
  <c r="N139" i="7"/>
  <c r="N143" i="7"/>
  <c r="N147" i="7"/>
  <c r="N151" i="7"/>
  <c r="N155" i="7"/>
  <c r="N159" i="7"/>
  <c r="N163" i="7"/>
  <c r="N167" i="7"/>
  <c r="N171" i="7"/>
  <c r="N175" i="7"/>
  <c r="N179" i="7"/>
  <c r="N183" i="7"/>
  <c r="N187" i="7"/>
  <c r="N191" i="7"/>
  <c r="N195" i="7"/>
  <c r="N199" i="7"/>
  <c r="N203" i="7"/>
  <c r="N207" i="7"/>
  <c r="N211" i="7"/>
  <c r="N215" i="7"/>
  <c r="N219" i="7"/>
  <c r="N223" i="7"/>
  <c r="N227" i="7"/>
  <c r="N231" i="7"/>
  <c r="N235" i="7"/>
  <c r="N239" i="7"/>
  <c r="N243" i="7"/>
  <c r="N247" i="7"/>
  <c r="N251" i="7"/>
  <c r="N255" i="7"/>
  <c r="N259" i="7"/>
  <c r="N263" i="7"/>
  <c r="N267" i="7"/>
  <c r="N271" i="7"/>
  <c r="N275" i="7"/>
  <c r="N279" i="7"/>
  <c r="N283" i="7"/>
  <c r="N287" i="7"/>
  <c r="N291" i="7"/>
  <c r="N295" i="7"/>
  <c r="N299" i="7"/>
  <c r="N303" i="7"/>
  <c r="N307" i="7"/>
  <c r="N311" i="7"/>
  <c r="N315" i="7"/>
  <c r="N319" i="7"/>
  <c r="N323" i="7"/>
  <c r="N68" i="7"/>
  <c r="N72" i="7"/>
  <c r="N76" i="7"/>
  <c r="N80" i="7"/>
  <c r="N84" i="7"/>
  <c r="N88" i="7"/>
  <c r="N92" i="7"/>
  <c r="N96" i="7"/>
  <c r="N100" i="7"/>
  <c r="N104" i="7"/>
  <c r="N108" i="7"/>
  <c r="N112" i="7"/>
  <c r="N116" i="7"/>
  <c r="N120" i="7"/>
  <c r="N124" i="7"/>
  <c r="N128" i="7"/>
  <c r="N132" i="7"/>
  <c r="N136" i="7"/>
  <c r="N140" i="7"/>
  <c r="N144" i="7"/>
  <c r="N148" i="7"/>
  <c r="N152" i="7"/>
  <c r="N156" i="7"/>
  <c r="N160" i="7"/>
  <c r="N164" i="7"/>
  <c r="N168" i="7"/>
  <c r="N172" i="7"/>
  <c r="N176" i="7"/>
  <c r="N180" i="7"/>
  <c r="N184" i="7"/>
  <c r="N188" i="7"/>
  <c r="N192" i="7"/>
  <c r="N196" i="7"/>
  <c r="N200" i="7"/>
  <c r="N204" i="7"/>
  <c r="N208" i="7"/>
  <c r="N212" i="7"/>
  <c r="N216" i="7"/>
  <c r="N220" i="7"/>
  <c r="N224" i="7"/>
  <c r="N228" i="7"/>
  <c r="N232" i="7"/>
  <c r="N236" i="7"/>
  <c r="N240" i="7"/>
  <c r="N244" i="7"/>
  <c r="N248" i="7"/>
  <c r="N252" i="7"/>
  <c r="N256" i="7"/>
  <c r="N260" i="7"/>
  <c r="N264" i="7"/>
  <c r="N268" i="7"/>
  <c r="N272" i="7"/>
  <c r="N276" i="7"/>
  <c r="N280" i="7"/>
  <c r="N284" i="7"/>
  <c r="N288" i="7"/>
  <c r="N292" i="7"/>
  <c r="N296" i="7"/>
  <c r="N300" i="7"/>
  <c r="N304" i="7"/>
  <c r="N308" i="7"/>
  <c r="N312" i="7"/>
  <c r="N316" i="7"/>
  <c r="N320" i="7"/>
  <c r="N324" i="7"/>
  <c r="N69" i="7"/>
  <c r="N73" i="7"/>
  <c r="N77" i="7"/>
  <c r="N81" i="7"/>
  <c r="N85" i="7"/>
  <c r="N89" i="7"/>
  <c r="N93" i="7"/>
  <c r="N97" i="7"/>
  <c r="N101" i="7"/>
  <c r="N105" i="7"/>
  <c r="N109" i="7"/>
  <c r="N113" i="7"/>
  <c r="N117" i="7"/>
  <c r="N121" i="7"/>
  <c r="N125" i="7"/>
  <c r="N129" i="7"/>
  <c r="N133" i="7"/>
  <c r="N137" i="7"/>
  <c r="N141" i="7"/>
  <c r="N145" i="7"/>
  <c r="N149" i="7"/>
  <c r="N153" i="7"/>
  <c r="N157" i="7"/>
  <c r="N161" i="7"/>
  <c r="N165" i="7"/>
  <c r="N169" i="7"/>
  <c r="N173" i="7"/>
  <c r="N177" i="7"/>
  <c r="N181" i="7"/>
  <c r="N185" i="7"/>
  <c r="N189" i="7"/>
  <c r="N193" i="7"/>
  <c r="N197" i="7"/>
  <c r="N201" i="7"/>
  <c r="N205" i="7"/>
  <c r="N209" i="7"/>
  <c r="N213" i="7"/>
  <c r="N217" i="7"/>
  <c r="N221" i="7"/>
  <c r="N225" i="7"/>
  <c r="N229" i="7"/>
  <c r="N233" i="7"/>
  <c r="N237" i="7"/>
  <c r="N241" i="7"/>
  <c r="N245" i="7"/>
  <c r="N249" i="7"/>
  <c r="N253" i="7"/>
  <c r="N257" i="7"/>
  <c r="N261" i="7"/>
  <c r="N265" i="7"/>
  <c r="N269" i="7"/>
  <c r="N273" i="7"/>
  <c r="N277" i="7"/>
  <c r="N281" i="7"/>
  <c r="N285" i="7"/>
  <c r="N289" i="7"/>
  <c r="N293" i="7"/>
  <c r="N297" i="7"/>
  <c r="N301" i="7"/>
  <c r="N305" i="7"/>
  <c r="N309" i="7"/>
  <c r="N313" i="7"/>
  <c r="N317" i="7"/>
  <c r="N321" i="7"/>
  <c r="N325" i="7"/>
  <c r="N329" i="7"/>
  <c r="N333" i="7"/>
  <c r="N337" i="7"/>
  <c r="N341" i="7"/>
  <c r="N345" i="7"/>
  <c r="N349" i="7"/>
  <c r="N353" i="7"/>
  <c r="N70" i="7"/>
  <c r="N74" i="7"/>
  <c r="N78" i="7"/>
  <c r="N82" i="7"/>
  <c r="N86" i="7"/>
  <c r="N90" i="7"/>
  <c r="N94" i="7"/>
  <c r="N98" i="7"/>
  <c r="N102" i="7"/>
  <c r="N106" i="7"/>
  <c r="N110" i="7"/>
  <c r="N114" i="7"/>
  <c r="N118" i="7"/>
  <c r="N122" i="7"/>
  <c r="N126" i="7"/>
  <c r="N130" i="7"/>
  <c r="N134" i="7"/>
  <c r="N138" i="7"/>
  <c r="N142" i="7"/>
  <c r="N146" i="7"/>
  <c r="N150" i="7"/>
  <c r="N154" i="7"/>
  <c r="N158" i="7"/>
  <c r="N162" i="7"/>
  <c r="N166" i="7"/>
  <c r="N170" i="7"/>
  <c r="N174" i="7"/>
  <c r="N178" i="7"/>
  <c r="N182" i="7"/>
  <c r="N186" i="7"/>
  <c r="N190" i="7"/>
  <c r="N194" i="7"/>
  <c r="N198" i="7"/>
  <c r="N202" i="7"/>
  <c r="N206" i="7"/>
  <c r="N210" i="7"/>
  <c r="N214" i="7"/>
  <c r="N218" i="7"/>
  <c r="N222" i="7"/>
  <c r="N226" i="7"/>
  <c r="N230" i="7"/>
  <c r="N234" i="7"/>
  <c r="N238" i="7"/>
  <c r="N242" i="7"/>
  <c r="N246" i="7"/>
  <c r="N250" i="7"/>
  <c r="N254" i="7"/>
  <c r="N258" i="7"/>
  <c r="N262" i="7"/>
  <c r="N266" i="7"/>
  <c r="N270" i="7"/>
  <c r="N274" i="7"/>
  <c r="N278" i="7"/>
  <c r="N282" i="7"/>
  <c r="N286" i="7"/>
  <c r="N290" i="7"/>
  <c r="N294" i="7"/>
  <c r="N298" i="7"/>
  <c r="N302" i="7"/>
  <c r="N306" i="7"/>
  <c r="N310" i="7"/>
  <c r="N314" i="7"/>
  <c r="N318" i="7"/>
  <c r="N322" i="7"/>
  <c r="N326" i="7"/>
  <c r="N330" i="7"/>
  <c r="N334" i="7"/>
  <c r="N338" i="7"/>
  <c r="N342" i="7"/>
  <c r="N346" i="7"/>
  <c r="N350" i="7"/>
  <c r="N354" i="7"/>
  <c r="N358" i="7"/>
  <c r="N327" i="7"/>
  <c r="N335" i="7"/>
  <c r="N343" i="7"/>
  <c r="N351" i="7"/>
  <c r="N357" i="7"/>
  <c r="N362" i="7"/>
  <c r="N366" i="7"/>
  <c r="N370" i="7"/>
  <c r="N374" i="7"/>
  <c r="N378" i="7"/>
  <c r="N382" i="7"/>
  <c r="N386" i="7"/>
  <c r="N390" i="7"/>
  <c r="N394" i="7"/>
  <c r="N398" i="7"/>
  <c r="N402" i="7"/>
  <c r="N406" i="7"/>
  <c r="N410" i="7"/>
  <c r="N414" i="7"/>
  <c r="N418" i="7"/>
  <c r="N422" i="7"/>
  <c r="N426" i="7"/>
  <c r="N430" i="7"/>
  <c r="N434" i="7"/>
  <c r="N438" i="7"/>
  <c r="N442" i="7"/>
  <c r="N446" i="7"/>
  <c r="N450" i="7"/>
  <c r="N454" i="7"/>
  <c r="N458" i="7"/>
  <c r="N462" i="7"/>
  <c r="N466" i="7"/>
  <c r="N470" i="7"/>
  <c r="N474" i="7"/>
  <c r="N478" i="7"/>
  <c r="N482" i="7"/>
  <c r="N486" i="7"/>
  <c r="N490" i="7"/>
  <c r="N494" i="7"/>
  <c r="N498" i="7"/>
  <c r="N502" i="7"/>
  <c r="N506" i="7"/>
  <c r="N510" i="7"/>
  <c r="N514" i="7"/>
  <c r="N518" i="7"/>
  <c r="N522" i="7"/>
  <c r="N526" i="7"/>
  <c r="N530" i="7"/>
  <c r="N534" i="7"/>
  <c r="N538" i="7"/>
  <c r="N542" i="7"/>
  <c r="N546" i="7"/>
  <c r="N550" i="7"/>
  <c r="N554" i="7"/>
  <c r="N558" i="7"/>
  <c r="N562" i="7"/>
  <c r="N566" i="7"/>
  <c r="N570" i="7"/>
  <c r="N574" i="7"/>
  <c r="N578" i="7"/>
  <c r="N582" i="7"/>
  <c r="N586" i="7"/>
  <c r="N590" i="7"/>
  <c r="N594" i="7"/>
  <c r="N598" i="7"/>
  <c r="N602" i="7"/>
  <c r="N606" i="7"/>
  <c r="N610" i="7"/>
  <c r="N614" i="7"/>
  <c r="N618" i="7"/>
  <c r="N622" i="7"/>
  <c r="N626" i="7"/>
  <c r="N630" i="7"/>
  <c r="N634" i="7"/>
  <c r="N638" i="7"/>
  <c r="N642" i="7"/>
  <c r="N646" i="7"/>
  <c r="N650" i="7"/>
  <c r="N654" i="7"/>
  <c r="N658" i="7"/>
  <c r="N662" i="7"/>
  <c r="N666" i="7"/>
  <c r="N670" i="7"/>
  <c r="N674" i="7"/>
  <c r="N678" i="7"/>
  <c r="N332" i="7"/>
  <c r="N340" i="7"/>
  <c r="N348" i="7"/>
  <c r="N356" i="7"/>
  <c r="N361" i="7"/>
  <c r="N365" i="7"/>
  <c r="N369" i="7"/>
  <c r="N373" i="7"/>
  <c r="N377" i="7"/>
  <c r="N381" i="7"/>
  <c r="N385" i="7"/>
  <c r="N389" i="7"/>
  <c r="N393" i="7"/>
  <c r="N397" i="7"/>
  <c r="N401" i="7"/>
  <c r="N405" i="7"/>
  <c r="N409" i="7"/>
  <c r="N413" i="7"/>
  <c r="N417" i="7"/>
  <c r="N421" i="7"/>
  <c r="N425" i="7"/>
  <c r="N429" i="7"/>
  <c r="N433" i="7"/>
  <c r="N437" i="7"/>
  <c r="N441" i="7"/>
  <c r="N445" i="7"/>
  <c r="N449" i="7"/>
  <c r="N453" i="7"/>
  <c r="N457" i="7"/>
  <c r="N461" i="7"/>
  <c r="N465" i="7"/>
  <c r="N469" i="7"/>
  <c r="N473" i="7"/>
  <c r="N477" i="7"/>
  <c r="N481" i="7"/>
  <c r="N485" i="7"/>
  <c r="N489" i="7"/>
  <c r="N493" i="7"/>
  <c r="N497" i="7"/>
  <c r="N501" i="7"/>
  <c r="N505" i="7"/>
  <c r="N509" i="7"/>
  <c r="N513" i="7"/>
  <c r="N517" i="7"/>
  <c r="N521" i="7"/>
  <c r="N525" i="7"/>
  <c r="N529" i="7"/>
  <c r="N533" i="7"/>
  <c r="N537" i="7"/>
  <c r="N541" i="7"/>
  <c r="N545" i="7"/>
  <c r="N549" i="7"/>
  <c r="N553" i="7"/>
  <c r="N557" i="7"/>
  <c r="N561" i="7"/>
  <c r="N565" i="7"/>
  <c r="N569" i="7"/>
  <c r="N573" i="7"/>
  <c r="N577" i="7"/>
  <c r="N581" i="7"/>
  <c r="N585" i="7"/>
  <c r="N589" i="7"/>
  <c r="N593" i="7"/>
  <c r="N597" i="7"/>
  <c r="N601" i="7"/>
  <c r="N605" i="7"/>
  <c r="N609" i="7"/>
  <c r="N613" i="7"/>
  <c r="N328" i="7"/>
  <c r="N344" i="7"/>
  <c r="N359" i="7"/>
  <c r="N367" i="7"/>
  <c r="N375" i="7"/>
  <c r="N383" i="7"/>
  <c r="N391" i="7"/>
  <c r="N399" i="7"/>
  <c r="N407" i="7"/>
  <c r="N415" i="7"/>
  <c r="N423" i="7"/>
  <c r="N431" i="7"/>
  <c r="N439" i="7"/>
  <c r="N447" i="7"/>
  <c r="N455" i="7"/>
  <c r="N463" i="7"/>
  <c r="N471" i="7"/>
  <c r="N479" i="7"/>
  <c r="N487" i="7"/>
  <c r="N495" i="7"/>
  <c r="N503" i="7"/>
  <c r="N511" i="7"/>
  <c r="N519" i="7"/>
  <c r="N527" i="7"/>
  <c r="N535" i="7"/>
  <c r="N543" i="7"/>
  <c r="N551" i="7"/>
  <c r="N559" i="7"/>
  <c r="N567" i="7"/>
  <c r="N575" i="7"/>
  <c r="N583" i="7"/>
  <c r="N591" i="7"/>
  <c r="N599" i="7"/>
  <c r="N607" i="7"/>
  <c r="N615" i="7"/>
  <c r="N620" i="7"/>
  <c r="N625" i="7"/>
  <c r="N631" i="7"/>
  <c r="N636" i="7"/>
  <c r="N641" i="7"/>
  <c r="N647" i="7"/>
  <c r="N652" i="7"/>
  <c r="N657" i="7"/>
  <c r="N663" i="7"/>
  <c r="N668" i="7"/>
  <c r="N673" i="7"/>
  <c r="N679" i="7"/>
  <c r="N683" i="7"/>
  <c r="N687" i="7"/>
  <c r="N691" i="7"/>
  <c r="N695" i="7"/>
  <c r="N699" i="7"/>
  <c r="N703" i="7"/>
  <c r="N707" i="7"/>
  <c r="N711" i="7"/>
  <c r="N715" i="7"/>
  <c r="N719" i="7"/>
  <c r="N723" i="7"/>
  <c r="N727" i="7"/>
  <c r="N731" i="7"/>
  <c r="N735" i="7"/>
  <c r="N739" i="7"/>
  <c r="N743" i="7"/>
  <c r="N747" i="7"/>
  <c r="N751" i="7"/>
  <c r="N755" i="7"/>
  <c r="N759" i="7"/>
  <c r="N763" i="7"/>
  <c r="N767" i="7"/>
  <c r="N771" i="7"/>
  <c r="N775" i="7"/>
  <c r="N779" i="7"/>
  <c r="N783" i="7"/>
  <c r="N787" i="7"/>
  <c r="N791" i="7"/>
  <c r="N795" i="7"/>
  <c r="N799" i="7"/>
  <c r="N803" i="7"/>
  <c r="N807" i="7"/>
  <c r="N811" i="7"/>
  <c r="N815" i="7"/>
  <c r="N819" i="7"/>
  <c r="N823" i="7"/>
  <c r="N827" i="7"/>
  <c r="N831" i="7"/>
  <c r="N835" i="7"/>
  <c r="N839" i="7"/>
  <c r="N843" i="7"/>
  <c r="N847" i="7"/>
  <c r="N851" i="7"/>
  <c r="N855" i="7"/>
  <c r="N859" i="7"/>
  <c r="N863" i="7"/>
  <c r="N867" i="7"/>
  <c r="N871" i="7"/>
  <c r="N875" i="7"/>
  <c r="N879" i="7"/>
  <c r="N883" i="7"/>
  <c r="N887" i="7"/>
  <c r="N891" i="7"/>
  <c r="N895" i="7"/>
  <c r="N899" i="7"/>
  <c r="N903" i="7"/>
  <c r="N907" i="7"/>
  <c r="N911" i="7"/>
  <c r="N915" i="7"/>
  <c r="N919" i="7"/>
  <c r="N923" i="7"/>
  <c r="N927" i="7"/>
  <c r="N931" i="7"/>
  <c r="N935" i="7"/>
  <c r="N939" i="7"/>
  <c r="N943" i="7"/>
  <c r="N947" i="7"/>
  <c r="N951" i="7"/>
  <c r="N955" i="7"/>
  <c r="N959" i="7"/>
  <c r="N963" i="7"/>
  <c r="N967" i="7"/>
  <c r="N971" i="7"/>
  <c r="N975" i="7"/>
  <c r="N979" i="7"/>
  <c r="N983" i="7"/>
  <c r="N987" i="7"/>
  <c r="N991" i="7"/>
  <c r="N995" i="7"/>
  <c r="N999" i="7"/>
  <c r="N339" i="7"/>
  <c r="N355" i="7"/>
  <c r="N364" i="7"/>
  <c r="N372" i="7"/>
  <c r="N380" i="7"/>
  <c r="N388" i="7"/>
  <c r="N396" i="7"/>
  <c r="N404" i="7"/>
  <c r="N412" i="7"/>
  <c r="N420" i="7"/>
  <c r="N428" i="7"/>
  <c r="N436" i="7"/>
  <c r="N444" i="7"/>
  <c r="N452" i="7"/>
  <c r="N460" i="7"/>
  <c r="N468" i="7"/>
  <c r="N476" i="7"/>
  <c r="N484" i="7"/>
  <c r="N492" i="7"/>
  <c r="N500" i="7"/>
  <c r="N508" i="7"/>
  <c r="N516" i="7"/>
  <c r="N524" i="7"/>
  <c r="N532" i="7"/>
  <c r="N540" i="7"/>
  <c r="N548" i="7"/>
  <c r="N556" i="7"/>
  <c r="N564" i="7"/>
  <c r="N572" i="7"/>
  <c r="N580" i="7"/>
  <c r="N588" i="7"/>
  <c r="N596" i="7"/>
  <c r="N604" i="7"/>
  <c r="N612" i="7"/>
  <c r="N619" i="7"/>
  <c r="N624" i="7"/>
  <c r="N629" i="7"/>
  <c r="N635" i="7"/>
  <c r="N640" i="7"/>
  <c r="N645" i="7"/>
  <c r="N651" i="7"/>
  <c r="N656" i="7"/>
  <c r="N661" i="7"/>
  <c r="N667" i="7"/>
  <c r="N672" i="7"/>
  <c r="N677" i="7"/>
  <c r="N682" i="7"/>
  <c r="N686" i="7"/>
  <c r="N690" i="7"/>
  <c r="N694" i="7"/>
  <c r="N698" i="7"/>
  <c r="N702" i="7"/>
  <c r="N706" i="7"/>
  <c r="N710" i="7"/>
  <c r="N714" i="7"/>
  <c r="N718" i="7"/>
  <c r="N722" i="7"/>
  <c r="N726" i="7"/>
  <c r="N730" i="7"/>
  <c r="N734" i="7"/>
  <c r="N738" i="7"/>
  <c r="N742" i="7"/>
  <c r="N746" i="7"/>
  <c r="N750" i="7"/>
  <c r="N754" i="7"/>
  <c r="N758" i="7"/>
  <c r="N762" i="7"/>
  <c r="N766" i="7"/>
  <c r="N770" i="7"/>
  <c r="N774" i="7"/>
  <c r="N778" i="7"/>
  <c r="N782" i="7"/>
  <c r="N786" i="7"/>
  <c r="N790" i="7"/>
  <c r="N794" i="7"/>
  <c r="N798" i="7"/>
  <c r="N802" i="7"/>
  <c r="N806" i="7"/>
  <c r="N810" i="7"/>
  <c r="N814" i="7"/>
  <c r="N818" i="7"/>
  <c r="N822" i="7"/>
  <c r="N826" i="7"/>
  <c r="N830" i="7"/>
  <c r="N834" i="7"/>
  <c r="N838" i="7"/>
  <c r="N842" i="7"/>
  <c r="N846" i="7"/>
  <c r="N850" i="7"/>
  <c r="N854" i="7"/>
  <c r="N858" i="7"/>
  <c r="N862" i="7"/>
  <c r="N866" i="7"/>
  <c r="N870" i="7"/>
  <c r="N874" i="7"/>
  <c r="N878" i="7"/>
  <c r="N882" i="7"/>
  <c r="N886" i="7"/>
  <c r="N890" i="7"/>
  <c r="N894" i="7"/>
  <c r="N898" i="7"/>
  <c r="N902" i="7"/>
  <c r="N906" i="7"/>
  <c r="N910" i="7"/>
  <c r="N914" i="7"/>
  <c r="N918" i="7"/>
  <c r="N922" i="7"/>
  <c r="N926" i="7"/>
  <c r="N930" i="7"/>
  <c r="N934" i="7"/>
  <c r="N938" i="7"/>
  <c r="N942" i="7"/>
  <c r="N946" i="7"/>
  <c r="N950" i="7"/>
  <c r="N954" i="7"/>
  <c r="N958" i="7"/>
  <c r="N962" i="7"/>
  <c r="N966" i="7"/>
  <c r="N970" i="7"/>
  <c r="N974" i="7"/>
  <c r="N978" i="7"/>
  <c r="N982" i="7"/>
  <c r="N986" i="7"/>
  <c r="N990" i="7"/>
  <c r="N994" i="7"/>
  <c r="N998" i="7"/>
  <c r="N2" i="7"/>
  <c r="N331" i="7"/>
  <c r="N360" i="7"/>
  <c r="N376" i="7"/>
  <c r="N392" i="7"/>
  <c r="N408" i="7"/>
  <c r="N424" i="7"/>
  <c r="N440" i="7"/>
  <c r="N456" i="7"/>
  <c r="N472" i="7"/>
  <c r="N488" i="7"/>
  <c r="N504" i="7"/>
  <c r="N520" i="7"/>
  <c r="N536" i="7"/>
  <c r="N552" i="7"/>
  <c r="N568" i="7"/>
  <c r="N584" i="7"/>
  <c r="N600" i="7"/>
  <c r="N616" i="7"/>
  <c r="N627" i="7"/>
  <c r="N637" i="7"/>
  <c r="N648" i="7"/>
  <c r="N659" i="7"/>
  <c r="N669" i="7"/>
  <c r="N680" i="7"/>
  <c r="N688" i="7"/>
  <c r="N696" i="7"/>
  <c r="N704" i="7"/>
  <c r="N712" i="7"/>
  <c r="N720" i="7"/>
  <c r="N728" i="7"/>
  <c r="N736" i="7"/>
  <c r="N744" i="7"/>
  <c r="N752" i="7"/>
  <c r="N760" i="7"/>
  <c r="N768" i="7"/>
  <c r="N776" i="7"/>
  <c r="N784" i="7"/>
  <c r="N792" i="7"/>
  <c r="N800" i="7"/>
  <c r="N808" i="7"/>
  <c r="N816" i="7"/>
  <c r="N824" i="7"/>
  <c r="N832" i="7"/>
  <c r="N840" i="7"/>
  <c r="N848" i="7"/>
  <c r="N856" i="7"/>
  <c r="N864" i="7"/>
  <c r="N872" i="7"/>
  <c r="N880" i="7"/>
  <c r="N888" i="7"/>
  <c r="N896" i="7"/>
  <c r="N904" i="7"/>
  <c r="N912" i="7"/>
  <c r="N920" i="7"/>
  <c r="N928" i="7"/>
  <c r="N936" i="7"/>
  <c r="N944" i="7"/>
  <c r="N952" i="7"/>
  <c r="N960" i="7"/>
  <c r="N968" i="7"/>
  <c r="N976" i="7"/>
  <c r="N984" i="7"/>
  <c r="N992" i="7"/>
  <c r="N1000" i="7"/>
  <c r="N352" i="7"/>
  <c r="N371" i="7"/>
  <c r="N387" i="7"/>
  <c r="N403" i="7"/>
  <c r="N419" i="7"/>
  <c r="N435" i="7"/>
  <c r="N451" i="7"/>
  <c r="N467" i="7"/>
  <c r="N483" i="7"/>
  <c r="N499" i="7"/>
  <c r="N515" i="7"/>
  <c r="N531" i="7"/>
  <c r="N547" i="7"/>
  <c r="N563" i="7"/>
  <c r="N579" i="7"/>
  <c r="N595" i="7"/>
  <c r="N611" i="7"/>
  <c r="N623" i="7"/>
  <c r="N633" i="7"/>
  <c r="N644" i="7"/>
  <c r="N655" i="7"/>
  <c r="N665" i="7"/>
  <c r="N676" i="7"/>
  <c r="N685" i="7"/>
  <c r="N693" i="7"/>
  <c r="N701" i="7"/>
  <c r="N709" i="7"/>
  <c r="N717" i="7"/>
  <c r="N725" i="7"/>
  <c r="N733" i="7"/>
  <c r="N741" i="7"/>
  <c r="N749" i="7"/>
  <c r="N757" i="7"/>
  <c r="N765" i="7"/>
  <c r="N773" i="7"/>
  <c r="N781" i="7"/>
  <c r="N789" i="7"/>
  <c r="N797" i="7"/>
  <c r="N805" i="7"/>
  <c r="N813" i="7"/>
  <c r="N821" i="7"/>
  <c r="N829" i="7"/>
  <c r="N837" i="7"/>
  <c r="N845" i="7"/>
  <c r="N853" i="7"/>
  <c r="N861" i="7"/>
  <c r="N869" i="7"/>
  <c r="N877" i="7"/>
  <c r="N885" i="7"/>
  <c r="N893" i="7"/>
  <c r="N901" i="7"/>
  <c r="N909" i="7"/>
  <c r="N917" i="7"/>
  <c r="N925" i="7"/>
  <c r="N933" i="7"/>
  <c r="N941" i="7"/>
  <c r="N949" i="7"/>
  <c r="N957" i="7"/>
  <c r="N965" i="7"/>
  <c r="N973" i="7"/>
  <c r="N981" i="7"/>
  <c r="N989" i="7"/>
  <c r="N997" i="7"/>
  <c r="N336" i="7"/>
  <c r="N379" i="7"/>
  <c r="N411" i="7"/>
  <c r="N443" i="7"/>
  <c r="N475" i="7"/>
  <c r="N507" i="7"/>
  <c r="N539" i="7"/>
  <c r="N571" i="7"/>
  <c r="N603" i="7"/>
  <c r="N628" i="7"/>
  <c r="N649" i="7"/>
  <c r="N671" i="7"/>
  <c r="N689" i="7"/>
  <c r="N705" i="7"/>
  <c r="N721" i="7"/>
  <c r="N737" i="7"/>
  <c r="N753" i="7"/>
  <c r="N769" i="7"/>
  <c r="N785" i="7"/>
  <c r="N801" i="7"/>
  <c r="N817" i="7"/>
  <c r="N833" i="7"/>
  <c r="N849" i="7"/>
  <c r="N865" i="7"/>
  <c r="N881" i="7"/>
  <c r="N897" i="7"/>
  <c r="N913" i="7"/>
  <c r="N929" i="7"/>
  <c r="N945" i="7"/>
  <c r="N961" i="7"/>
  <c r="N977" i="7"/>
  <c r="N993" i="7"/>
  <c r="N347" i="7"/>
  <c r="N384" i="7"/>
  <c r="N416" i="7"/>
  <c r="N448" i="7"/>
  <c r="N480" i="7"/>
  <c r="N512" i="7"/>
  <c r="N544" i="7"/>
  <c r="N576" i="7"/>
  <c r="N608" i="7"/>
  <c r="N632" i="7"/>
  <c r="N653" i="7"/>
  <c r="N675" i="7"/>
  <c r="N692" i="7"/>
  <c r="N708" i="7"/>
  <c r="N724" i="7"/>
  <c r="N740" i="7"/>
  <c r="N756" i="7"/>
  <c r="N772" i="7"/>
  <c r="N788" i="7"/>
  <c r="N804" i="7"/>
  <c r="N820" i="7"/>
  <c r="N836" i="7"/>
  <c r="N852" i="7"/>
  <c r="N868" i="7"/>
  <c r="N884" i="7"/>
  <c r="N900" i="7"/>
  <c r="N916" i="7"/>
  <c r="N932" i="7"/>
  <c r="N948" i="7"/>
  <c r="N964" i="7"/>
  <c r="N980" i="7"/>
  <c r="N996" i="7"/>
  <c r="N368" i="7"/>
  <c r="N400" i="7"/>
  <c r="N432" i="7"/>
  <c r="N464" i="7"/>
  <c r="N496" i="7"/>
  <c r="N528" i="7"/>
  <c r="N560" i="7"/>
  <c r="N592" i="7"/>
  <c r="N621" i="7"/>
  <c r="N643" i="7"/>
  <c r="N664" i="7"/>
  <c r="N684" i="7"/>
  <c r="N700" i="7"/>
  <c r="N716" i="7"/>
  <c r="N732" i="7"/>
  <c r="N748" i="7"/>
  <c r="N764" i="7"/>
  <c r="N780" i="7"/>
  <c r="N796" i="7"/>
  <c r="N812" i="7"/>
  <c r="N828" i="7"/>
  <c r="N844" i="7"/>
  <c r="N860" i="7"/>
  <c r="N876" i="7"/>
  <c r="N892" i="7"/>
  <c r="N908" i="7"/>
  <c r="N924" i="7"/>
  <c r="N940" i="7"/>
  <c r="N956" i="7"/>
  <c r="N972" i="7"/>
  <c r="N988" i="7"/>
  <c r="N363" i="7"/>
  <c r="N491" i="7"/>
  <c r="N617" i="7"/>
  <c r="N697" i="7"/>
  <c r="N761" i="7"/>
  <c r="N825" i="7"/>
  <c r="N889" i="7"/>
  <c r="N953" i="7"/>
  <c r="N555" i="7"/>
  <c r="N729" i="7"/>
  <c r="N857" i="7"/>
  <c r="N985" i="7"/>
  <c r="N395" i="7"/>
  <c r="N523" i="7"/>
  <c r="N639" i="7"/>
  <c r="N713" i="7"/>
  <c r="N777" i="7"/>
  <c r="N841" i="7"/>
  <c r="N905" i="7"/>
  <c r="N969" i="7"/>
  <c r="N459" i="7"/>
  <c r="N587" i="7"/>
  <c r="N681" i="7"/>
  <c r="N745" i="7"/>
  <c r="N809" i="7"/>
  <c r="N873" i="7"/>
  <c r="N937" i="7"/>
  <c r="N3" i="7"/>
  <c r="N427" i="7"/>
  <c r="N660" i="7"/>
  <c r="N793" i="7"/>
  <c r="N921" i="7"/>
  <c r="AE8" i="4"/>
  <c r="AE13" i="4"/>
  <c r="N5" i="7" l="1"/>
  <c r="N6" i="7" s="1"/>
  <c r="N7" i="7" l="1"/>
  <c r="N8" i="7" s="1"/>
  <c r="N9" i="7" l="1"/>
  <c r="N10" i="7" s="1"/>
  <c r="N11" i="7" s="1"/>
  <c r="N12" i="7" s="1"/>
  <c r="N13" i="7" s="1"/>
  <c r="N14" i="7" s="1"/>
  <c r="N15" i="7" l="1"/>
  <c r="N16" i="7" s="1"/>
  <c r="N17" i="7" s="1"/>
  <c r="N18" i="7" s="1"/>
  <c r="N19" i="7" s="1"/>
  <c r="N20" i="7" l="1"/>
  <c r="N21" i="7" s="1"/>
  <c r="N22" i="7" s="1"/>
  <c r="N23" i="7" l="1"/>
  <c r="N24" i="7" s="1"/>
  <c r="N25" i="7" s="1"/>
  <c r="N26" i="7" s="1"/>
  <c r="N27" i="7" l="1"/>
  <c r="N28" i="7" s="1"/>
  <c r="N29" i="7" s="1"/>
  <c r="N30" i="7" s="1"/>
  <c r="N31" i="7" s="1"/>
  <c r="N32" i="7" l="1"/>
  <c r="N33" i="7" s="1"/>
  <c r="N34" i="7" s="1"/>
  <c r="N35" i="7" s="1"/>
  <c r="N36" i="7" l="1"/>
  <c r="N37" i="7" s="1"/>
  <c r="N38" i="7" s="1"/>
  <c r="N39" i="7" s="1"/>
  <c r="N40" i="7" s="1"/>
  <c r="N41" i="7" l="1"/>
  <c r="N42" i="7" s="1"/>
  <c r="N43" i="7" s="1"/>
  <c r="N44" i="7" l="1"/>
  <c r="N45" i="7" s="1"/>
  <c r="N46" i="7" s="1"/>
  <c r="N47" i="7" l="1"/>
  <c r="N48" i="7" s="1"/>
  <c r="N49" i="7" s="1"/>
  <c r="N50" i="7" l="1"/>
  <c r="N51" i="7" s="1"/>
  <c r="N52" i="7" s="1"/>
  <c r="N53" i="7" s="1"/>
  <c r="N54" i="7" s="1"/>
  <c r="N55" i="7" s="1"/>
  <c r="N56" i="7" l="1"/>
  <c r="N57" i="7" s="1"/>
  <c r="N58" i="7" s="1"/>
  <c r="N59" i="7" s="1"/>
  <c r="N60" i="7" s="1"/>
  <c r="N61" i="7" l="1"/>
  <c r="N62" i="7" s="1"/>
  <c r="N63" i="7" s="1"/>
  <c r="N64" i="7" l="1"/>
  <c r="N65" i="7" s="1"/>
  <c r="N66" i="7" s="1"/>
  <c r="V2" i="7" s="1"/>
  <c r="AC13" i="4" s="1"/>
  <c r="AD13" i="4" l="1"/>
  <c r="AD14" i="4" s="1"/>
  <c r="AC14" i="4"/>
  <c r="M2" i="7"/>
  <c r="M3" i="7" l="1"/>
  <c r="M4" i="7" l="1"/>
  <c r="M5" i="7" s="1"/>
  <c r="M6" i="7" l="1"/>
  <c r="M7" i="7" s="1"/>
  <c r="M8" i="7" l="1"/>
  <c r="M9" i="7" s="1"/>
  <c r="M10" i="7" l="1"/>
  <c r="M11" i="7" l="1"/>
  <c r="M12" i="7" l="1"/>
  <c r="M13" i="7" s="1"/>
  <c r="M14" i="7" s="1"/>
  <c r="M15" i="7" s="1"/>
  <c r="M16" i="7" s="1"/>
  <c r="M17" i="7" s="1"/>
  <c r="M18" i="7" s="1"/>
  <c r="M19" i="7" s="1"/>
  <c r="M20" i="7" s="1"/>
  <c r="M21" i="7" s="1"/>
  <c r="M22" i="7" s="1"/>
  <c r="M23" i="7" s="1"/>
  <c r="M24" i="7" s="1"/>
  <c r="M25" i="7" s="1"/>
  <c r="M26" i="7" s="1"/>
  <c r="M27" i="7" s="1"/>
  <c r="M28" i="7" s="1"/>
  <c r="M29" i="7" s="1"/>
  <c r="M30" i="7" s="1"/>
  <c r="M31" i="7" s="1"/>
  <c r="M32" i="7" s="1"/>
  <c r="M33" i="7" s="1"/>
  <c r="M34" i="7" s="1"/>
  <c r="M35" i="7" s="1"/>
  <c r="M36" i="7" s="1"/>
  <c r="M37" i="7" s="1"/>
  <c r="M38" i="7" s="1"/>
  <c r="M39" i="7" s="1"/>
  <c r="M40" i="7" s="1"/>
  <c r="M41" i="7" s="1"/>
  <c r="M42" i="7" s="1"/>
  <c r="M43" i="7" s="1"/>
  <c r="M44" i="7" s="1"/>
  <c r="M45" i="7" s="1"/>
  <c r="M46" i="7" s="1"/>
  <c r="M47" i="7" s="1"/>
  <c r="M48" i="7" s="1"/>
  <c r="M49" i="7" s="1"/>
  <c r="M50" i="7" s="1"/>
  <c r="M51" i="7" s="1"/>
  <c r="M52" i="7" s="1"/>
  <c r="M53" i="7" s="1"/>
  <c r="M54" i="7" s="1"/>
  <c r="M55" i="7" s="1"/>
  <c r="M56" i="7" s="1"/>
  <c r="M57" i="7" s="1"/>
  <c r="M58" i="7" s="1"/>
  <c r="M59" i="7" s="1"/>
  <c r="M60" i="7" s="1"/>
  <c r="M61" i="7" s="1"/>
  <c r="M62" i="7" s="1"/>
  <c r="M63" i="7" s="1"/>
  <c r="M64" i="7" s="1"/>
  <c r="M65" i="7" s="1"/>
  <c r="M66" i="7" s="1"/>
  <c r="V5" i="7" l="1"/>
  <c r="AC7" i="4" s="1"/>
  <c r="AD7" i="4" l="1"/>
  <c r="AD8" i="4" s="1"/>
  <c r="AC8" i="4"/>
</calcChain>
</file>

<file path=xl/connections.xml><?xml version="1.0" encoding="utf-8"?>
<connections xmlns="http://schemas.openxmlformats.org/spreadsheetml/2006/main">
  <connection id="1" name="TotalResults11" type="6" refreshedVersion="4" background="1" saveData="1">
    <textPr codePage="65001" sourceFile="D:\Ansys\03 PG\Pisos\Laje Mista\MeshTest\14\TotalResults.TXT" tab="0" semicolon="1">
      <textFields>
        <textField/>
      </textFields>
    </textPr>
  </connection>
  <connection id="2" name="TotalResults14" type="6" refreshedVersion="4" background="1" saveData="1">
    <textPr codePage="65001" sourceFile="D:\Ansys\03 PG\Pisos\Laje Mista\MeshTest\14\TotalResults.TXT" tab="0" semicolon="1">
      <textFields>
        <textField/>
      </textFields>
    </textPr>
  </connection>
  <connection id="3" name="TotalResults21" type="6" refreshedVersion="4" background="1" saveData="1">
    <textPr codePage="65001" sourceFile="D:\Ansys\03 PG\Pisos\Laje Mista\MeshTest\15\TotalResults.TXT" tab="0" semicolon="1">
      <textFields>
        <textField/>
      </textFields>
    </textPr>
  </connection>
  <connection id="4" name="TotalResults22" type="6" refreshedVersion="4" background="1" saveData="1">
    <textPr codePage="65001" sourceFile="D:\Ansys\03 PG\Pisos\Laje Mista\MeshTest\15\TotalResults.TXT" tab="0" semicolon="1">
      <textFields>
        <textField/>
      </textFields>
    </textPr>
  </connection>
  <connection id="5" name="TotalResults31" type="6" refreshedVersion="4" background="1" saveData="1">
    <textPr codePage="65001" sourceFile="D:\Ansys\03 PG\Pisos\Laje Mista\MeshTest\16\TotalResults.TXT" tab="0" semicolon="1">
      <textFields>
        <textField/>
      </textFields>
    </textPr>
  </connection>
  <connection id="6" name="TotalResults32" type="6" refreshedVersion="4" background="1" saveData="1">
    <textPr codePage="65001" sourceFile="D:\Ansys\03 PG\Pisos\Laje Mista\MeshTest\16\TotalResults.TXT" tab="0" semicolon="1">
      <textFields>
        <textField/>
      </textFields>
    </textPr>
  </connection>
  <connection id="7" name="TotalResults4" type="6" refreshedVersion="4" background="1">
    <textPr codePage="850" sourceFile="D:\Ansys\03 PG\Pisos\Laje Mista\MeshTest\17\TotalResults.TXT" tab="0" semicolon="1">
      <textFields>
        <textField/>
      </textFields>
    </textPr>
  </connection>
  <connection id="8" name="TotalResults51" type="6" refreshedVersion="4" background="1" saveData="1">
    <textPr codePage="850" sourceFile="D:\Ansys\03 PG\Pisos\Laje Mista\MeshTest\17\TotalResults.TXT" tab="0" semicolon="1">
      <textFields>
        <textField/>
      </textFields>
    </textPr>
  </connection>
  <connection id="9" name="TotalResults52" type="6" refreshedVersion="4" background="1" saveData="1">
    <textPr codePage="850" sourceFile="D:\Ansys\03 PG\Pisos\Laje Mista\MeshTest\17\TotalResults.TXT" tab="0" semicolon="1">
      <textFields>
        <textField/>
      </textFields>
    </textPr>
  </connection>
  <connection id="10" name="TotalResults6" type="6" refreshedVersion="4" background="1" saveData="1">
    <textPr codePage="65001" sourceFile="D:\Ansys\03 PG\Pisos\Laje Mista\MeshTest\18\TotalResults.TXT" tab="0" semicolon="1">
      <textFields>
        <textField/>
      </textFields>
    </textPr>
  </connection>
  <connection id="11" name="TotalResults7" type="6" refreshedVersion="4" background="1">
    <textPr codePage="65001" sourceFile="D:\Ansys\03 PG\Pisos\Laje Mista\MeshTest\19\TotalResults.TXT" tab="0" semicolon="1">
      <textFields>
        <textField/>
      </textFields>
    </textPr>
  </connection>
  <connection id="12" name="TotalResults8" type="6" refreshedVersion="4" background="1" saveData="1">
    <textPr codePage="65001" sourceFile="D:\Ansys\03 PG\Pisos\Laje Mista\MeshTest\20\TotalResults.TXT" tab="0" semicolon="1">
      <textFields>
        <textField/>
      </textFields>
    </textPr>
  </connection>
  <connection id="13" name="TotalResults9" type="6" refreshedVersion="4" background="1" saveData="1">
    <textPr codePage="65001" sourceFile="D:\Ansys\03 PG\Pisos\Laje Mista\MeshTest\13\TotalResults.TXT" tab="0" semicolon="1">
      <textFields>
        <textField/>
      </textFields>
    </textPr>
  </connection>
</connections>
</file>

<file path=xl/sharedStrings.xml><?xml version="1.0" encoding="utf-8"?>
<sst xmlns="http://schemas.openxmlformats.org/spreadsheetml/2006/main" count="54" uniqueCount="38">
  <si>
    <t>Resumo Geral</t>
  </si>
  <si>
    <t>#</t>
  </si>
  <si>
    <t xml:space="preserve"> ESIZE</t>
  </si>
  <si>
    <t xml:space="preserve"> ECOUNT</t>
  </si>
  <si>
    <t>UY</t>
  </si>
  <si>
    <t>SEQV</t>
  </si>
  <si>
    <t>ECOUNT</t>
  </si>
  <si>
    <t>ESIZE</t>
  </si>
  <si>
    <t>F1</t>
  </si>
  <si>
    <t>F2</t>
  </si>
  <si>
    <t>MALHA FINA:</t>
  </si>
  <si>
    <t>MALHA GROSSA:</t>
  </si>
  <si>
    <t>YVal</t>
  </si>
  <si>
    <t>MALHA GROSSA</t>
  </si>
  <si>
    <t>MALHA FINA</t>
  </si>
  <si>
    <t>EXTREMOS</t>
  </si>
  <si>
    <t xml:space="preserve"> MAX MX</t>
  </si>
  <si>
    <t xml:space="preserve"> MIN MX</t>
  </si>
  <si>
    <t xml:space="preserve"> MAX MY</t>
  </si>
  <si>
    <t xml:space="preserve"> MIN MY</t>
  </si>
  <si>
    <t xml:space="preserve"> MAX UY</t>
  </si>
  <si>
    <t>EXERCÍCIO 3.B</t>
  </si>
  <si>
    <r>
      <t>M</t>
    </r>
    <r>
      <rPr>
        <b/>
        <vertAlign val="subscript"/>
        <sz val="11"/>
        <color theme="1"/>
        <rFont val="Calibri"/>
        <family val="2"/>
        <scheme val="minor"/>
      </rPr>
      <t>x,máx</t>
    </r>
    <r>
      <rPr>
        <b/>
        <sz val="11"/>
        <color theme="1"/>
        <rFont val="Calibri"/>
        <family val="2"/>
        <scheme val="minor"/>
      </rPr>
      <t>/M</t>
    </r>
    <r>
      <rPr>
        <b/>
        <vertAlign val="subscript"/>
        <sz val="11"/>
        <color theme="1"/>
        <rFont val="Calibri"/>
        <family val="2"/>
        <scheme val="minor"/>
      </rPr>
      <t>x,máx</t>
    </r>
  </si>
  <si>
    <r>
      <t>M</t>
    </r>
    <r>
      <rPr>
        <b/>
        <vertAlign val="subscript"/>
        <sz val="11"/>
        <color theme="1"/>
        <rFont val="Calibri"/>
        <family val="2"/>
        <scheme val="minor"/>
      </rPr>
      <t>y,máx</t>
    </r>
    <r>
      <rPr>
        <b/>
        <sz val="11"/>
        <color theme="1"/>
        <rFont val="Calibri"/>
        <family val="2"/>
        <scheme val="minor"/>
      </rPr>
      <t>/M</t>
    </r>
    <r>
      <rPr>
        <b/>
        <vertAlign val="subscript"/>
        <sz val="11"/>
        <color theme="1"/>
        <rFont val="Calibri"/>
        <family val="2"/>
        <scheme val="minor"/>
      </rPr>
      <t>y,máx</t>
    </r>
  </si>
  <si>
    <r>
      <t>M</t>
    </r>
    <r>
      <rPr>
        <b/>
        <vertAlign val="subscript"/>
        <sz val="11"/>
        <color theme="1"/>
        <rFont val="Calibri"/>
        <family val="2"/>
        <scheme val="minor"/>
      </rPr>
      <t>x,min</t>
    </r>
    <r>
      <rPr>
        <b/>
        <sz val="11"/>
        <color theme="1"/>
        <rFont val="Calibri"/>
        <family val="2"/>
        <scheme val="minor"/>
      </rPr>
      <t>/M</t>
    </r>
    <r>
      <rPr>
        <b/>
        <vertAlign val="subscript"/>
        <sz val="11"/>
        <color theme="1"/>
        <rFont val="Calibri"/>
        <family val="2"/>
        <scheme val="minor"/>
      </rPr>
      <t>x,min</t>
    </r>
  </si>
  <si>
    <r>
      <t>M</t>
    </r>
    <r>
      <rPr>
        <b/>
        <vertAlign val="subscript"/>
        <sz val="11"/>
        <color theme="1"/>
        <rFont val="Calibri"/>
        <family val="2"/>
        <scheme val="minor"/>
      </rPr>
      <t>y,min</t>
    </r>
    <r>
      <rPr>
        <b/>
        <sz val="11"/>
        <color theme="1"/>
        <rFont val="Calibri"/>
        <family val="2"/>
        <scheme val="minor"/>
      </rPr>
      <t>/M</t>
    </r>
    <r>
      <rPr>
        <b/>
        <vertAlign val="subscript"/>
        <sz val="11"/>
        <color theme="1"/>
        <rFont val="Calibri"/>
        <family val="2"/>
        <scheme val="minor"/>
      </rPr>
      <t>y,min</t>
    </r>
  </si>
  <si>
    <r>
      <t>UY</t>
    </r>
    <r>
      <rPr>
        <b/>
        <vertAlign val="subscript"/>
        <sz val="11"/>
        <color theme="1"/>
        <rFont val="Calibri"/>
        <family val="2"/>
        <scheme val="minor"/>
      </rPr>
      <t>máx</t>
    </r>
    <r>
      <rPr>
        <b/>
        <sz val="11"/>
        <color theme="1"/>
        <rFont val="Calibri"/>
        <family val="2"/>
        <scheme val="minor"/>
      </rPr>
      <t>/UY</t>
    </r>
    <r>
      <rPr>
        <b/>
        <vertAlign val="subscript"/>
        <sz val="11"/>
        <color theme="1"/>
        <rFont val="Calibri"/>
        <family val="2"/>
        <scheme val="minor"/>
      </rPr>
      <t>máx</t>
    </r>
  </si>
  <si>
    <t>TOLERÂNCIA (%)</t>
  </si>
  <si>
    <t>TOLERÂNCIA</t>
  </si>
  <si>
    <t>GROSSA</t>
  </si>
  <si>
    <t>FINA</t>
  </si>
  <si>
    <t>G</t>
  </si>
  <si>
    <t>F</t>
  </si>
  <si>
    <r>
      <rPr>
        <sz val="20"/>
        <color theme="1"/>
        <rFont val="Calibri"/>
        <family val="2"/>
        <scheme val="minor"/>
      </rPr>
      <t>ECOUNT x</t>
    </r>
    <r>
      <rPr>
        <b/>
        <sz val="20"/>
        <color theme="1"/>
        <rFont val="Calibri"/>
        <family val="2"/>
        <scheme val="minor"/>
      </rPr>
      <t xml:space="preserve"> </t>
    </r>
    <r>
      <rPr>
        <b/>
        <sz val="20"/>
        <color rgb="FF0000FF"/>
        <rFont val="Calibri"/>
        <family val="2"/>
        <scheme val="minor"/>
      </rPr>
      <t>UY MÁX</t>
    </r>
  </si>
  <si>
    <r>
      <rPr>
        <sz val="20"/>
        <color theme="1"/>
        <rFont val="Calibri"/>
        <family val="2"/>
        <scheme val="minor"/>
      </rPr>
      <t>ECOUNT x</t>
    </r>
    <r>
      <rPr>
        <b/>
        <sz val="20"/>
        <color theme="1"/>
        <rFont val="Calibri"/>
        <family val="2"/>
        <scheme val="minor"/>
      </rPr>
      <t xml:space="preserve"> </t>
    </r>
    <r>
      <rPr>
        <b/>
        <sz val="20"/>
        <color rgb="FF0000FF"/>
        <rFont val="Calibri"/>
        <family val="2"/>
        <scheme val="minor"/>
      </rPr>
      <t>MY MÍN</t>
    </r>
  </si>
  <si>
    <r>
      <rPr>
        <sz val="20"/>
        <color theme="1"/>
        <rFont val="Calibri"/>
        <family val="2"/>
        <scheme val="minor"/>
      </rPr>
      <t>ECOUNT x</t>
    </r>
    <r>
      <rPr>
        <b/>
        <sz val="20"/>
        <color theme="1"/>
        <rFont val="Calibri"/>
        <family val="2"/>
        <scheme val="minor"/>
      </rPr>
      <t xml:space="preserve"> </t>
    </r>
    <r>
      <rPr>
        <b/>
        <sz val="20"/>
        <color rgb="FF0000FF"/>
        <rFont val="Calibri"/>
        <family val="2"/>
        <scheme val="minor"/>
      </rPr>
      <t>MY MÁX</t>
    </r>
  </si>
  <si>
    <r>
      <rPr>
        <sz val="20"/>
        <color theme="1"/>
        <rFont val="Calibri"/>
        <family val="2"/>
        <scheme val="minor"/>
      </rPr>
      <t>ECOUNT x</t>
    </r>
    <r>
      <rPr>
        <b/>
        <sz val="20"/>
        <color theme="1"/>
        <rFont val="Calibri"/>
        <family val="2"/>
        <scheme val="minor"/>
      </rPr>
      <t xml:space="preserve"> </t>
    </r>
    <r>
      <rPr>
        <b/>
        <sz val="20"/>
        <color rgb="FF0000FF"/>
        <rFont val="Calibri"/>
        <family val="2"/>
        <scheme val="minor"/>
      </rPr>
      <t>MX MÍN</t>
    </r>
  </si>
  <si>
    <r>
      <rPr>
        <sz val="20"/>
        <color theme="1"/>
        <rFont val="Calibri"/>
        <family val="2"/>
        <scheme val="minor"/>
      </rPr>
      <t>ECOUNT x</t>
    </r>
    <r>
      <rPr>
        <b/>
        <sz val="20"/>
        <color theme="1"/>
        <rFont val="Calibri"/>
        <family val="2"/>
        <scheme val="minor"/>
      </rPr>
      <t xml:space="preserve"> </t>
    </r>
    <r>
      <rPr>
        <b/>
        <sz val="20"/>
        <color rgb="FF0000FF"/>
        <rFont val="Calibri"/>
        <family val="2"/>
        <scheme val="minor"/>
      </rPr>
      <t>MX MÁX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</si>
</sst>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64" formatCode="0.0000"/>
    <numFmt numFmtId="165" formatCode="0.000"/>
    <numFmt numFmtId="166" formatCode="0.0"/>
    <numFmt numFmtId="167" formatCode="0.0%"/>
    <numFmt numFmtId="168" formatCode="0.00000"/>
    <numFmt numFmtId="169" formatCode="0.000E+00"/>
  </numFmts>
  <fonts count="2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sz val="14"/>
      <color rgb="FF0070C0"/>
      <name val="Calibri"/>
      <family val="2"/>
      <scheme val="minor"/>
    </font>
    <font>
      <b/>
      <i/>
      <sz val="11"/>
      <color rgb="FFC00000"/>
      <name val="Calibri"/>
      <family val="2"/>
      <scheme val="minor"/>
    </font>
    <font>
      <b/>
      <i/>
      <sz val="11"/>
      <color theme="6" tint="-0.249977111117893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theme="1" tint="0.499984740745262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i/>
      <sz val="11"/>
      <name val="Calibri"/>
      <family val="2"/>
      <scheme val="minor"/>
    </font>
    <font>
      <sz val="11"/>
      <color theme="1" tint="0.499984740745262"/>
      <name val="Calibri"/>
      <family val="2"/>
      <scheme val="minor"/>
    </font>
    <font>
      <i/>
      <sz val="10"/>
      <color theme="0" tint="-0.249977111117893"/>
      <name val="Calibri"/>
      <family val="2"/>
      <scheme val="minor"/>
    </font>
    <font>
      <b/>
      <vertAlign val="subscript"/>
      <sz val="11"/>
      <color theme="1"/>
      <name val="Calibri"/>
      <family val="2"/>
      <scheme val="minor"/>
    </font>
    <font>
      <b/>
      <sz val="20"/>
      <color rgb="FF0000FF"/>
      <name val="Calibri"/>
      <family val="2"/>
      <scheme val="minor"/>
    </font>
    <font>
      <sz val="10"/>
      <name val="Calibri"/>
      <family val="2"/>
      <scheme val="minor"/>
    </font>
    <font>
      <i/>
      <sz val="11"/>
      <color theme="0" tint="-0.499984740745262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1"/>
      <color theme="1" tint="0.499984740745262"/>
      <name val="Calibri"/>
      <family val="2"/>
      <scheme val="minor"/>
    </font>
    <font>
      <sz val="20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EEF3F8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3" tint="0.79998168889431442"/>
        <bgColor indexed="64"/>
      </patternFill>
    </fill>
  </fills>
  <borders count="19">
    <border>
      <left/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95">
    <xf numFmtId="0" fontId="0" fillId="0" borderId="0" xfId="0"/>
    <xf numFmtId="0" fontId="0" fillId="0" borderId="0" xfId="0" applyAlignment="1">
      <alignment horizontal="center" vertical="center"/>
    </xf>
    <xf numFmtId="165" fontId="0" fillId="2" borderId="0" xfId="0" applyNumberFormat="1" applyFill="1" applyAlignment="1">
      <alignment horizontal="center" vertical="center"/>
    </xf>
    <xf numFmtId="0" fontId="0" fillId="0" borderId="0" xfId="0" applyFill="1" applyAlignment="1">
      <alignment horizontal="center" vertical="center"/>
    </xf>
    <xf numFmtId="165" fontId="0" fillId="0" borderId="0" xfId="0" applyNumberFormat="1" applyFill="1" applyAlignment="1">
      <alignment horizontal="center" vertical="center"/>
    </xf>
    <xf numFmtId="3" fontId="0" fillId="0" borderId="0" xfId="0" applyNumberFormat="1" applyFill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164" fontId="0" fillId="0" borderId="0" xfId="0" applyNumberFormat="1" applyFill="1" applyAlignment="1">
      <alignment horizontal="center" vertical="center"/>
    </xf>
    <xf numFmtId="0" fontId="1" fillId="5" borderId="0" xfId="0" applyFont="1" applyFill="1" applyAlignment="1">
      <alignment horizontal="center" vertical="center"/>
    </xf>
    <xf numFmtId="0" fontId="3" fillId="5" borderId="1" xfId="0" applyFont="1" applyFill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65" fontId="4" fillId="0" borderId="2" xfId="0" applyNumberFormat="1" applyFont="1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Fill="1" applyAlignment="1">
      <alignment horizontal="center" vertical="center"/>
    </xf>
    <xf numFmtId="168" fontId="0" fillId="0" borderId="0" xfId="0" applyNumberFormat="1" applyAlignment="1">
      <alignment horizontal="center" vertical="center"/>
    </xf>
    <xf numFmtId="0" fontId="0" fillId="0" borderId="0" xfId="0" applyFont="1" applyAlignment="1">
      <alignment horizontal="center" vertical="center"/>
    </xf>
    <xf numFmtId="3" fontId="8" fillId="8" borderId="0" xfId="0" applyNumberFormat="1" applyFont="1" applyFill="1" applyAlignment="1">
      <alignment horizontal="center" vertical="center"/>
    </xf>
    <xf numFmtId="3" fontId="8" fillId="4" borderId="0" xfId="0" applyNumberFormat="1" applyFont="1" applyFill="1" applyAlignment="1">
      <alignment horizontal="center" vertical="center"/>
    </xf>
    <xf numFmtId="165" fontId="8" fillId="8" borderId="0" xfId="0" applyNumberFormat="1" applyFont="1" applyFill="1" applyAlignment="1">
      <alignment horizontal="center" vertical="center"/>
    </xf>
    <xf numFmtId="165" fontId="8" fillId="4" borderId="0" xfId="0" applyNumberFormat="1" applyFont="1" applyFill="1" applyAlignment="1">
      <alignment horizontal="center" vertical="center"/>
    </xf>
    <xf numFmtId="0" fontId="10" fillId="0" borderId="0" xfId="0" applyFont="1" applyFill="1" applyAlignment="1">
      <alignment horizontal="center"/>
    </xf>
    <xf numFmtId="0" fontId="12" fillId="0" borderId="0" xfId="0" applyFont="1" applyFill="1" applyAlignment="1">
      <alignment horizontal="center"/>
    </xf>
    <xf numFmtId="165" fontId="8" fillId="0" borderId="0" xfId="0" applyNumberFormat="1" applyFont="1" applyFill="1" applyAlignment="1">
      <alignment horizontal="center" vertical="center" textRotation="90"/>
    </xf>
    <xf numFmtId="0" fontId="1" fillId="0" borderId="0" xfId="0" applyFont="1" applyFill="1" applyAlignment="1">
      <alignment horizontal="center" vertical="center" textRotation="90"/>
    </xf>
    <xf numFmtId="0" fontId="1" fillId="0" borderId="5" xfId="0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5" xfId="0" applyFill="1" applyBorder="1" applyAlignment="1">
      <alignment horizontal="center" vertical="center"/>
    </xf>
    <xf numFmtId="165" fontId="0" fillId="0" borderId="5" xfId="0" applyNumberFormat="1" applyFill="1" applyBorder="1" applyAlignment="1">
      <alignment horizontal="center" vertical="center"/>
    </xf>
    <xf numFmtId="3" fontId="0" fillId="0" borderId="5" xfId="0" applyNumberFormat="1" applyFill="1" applyBorder="1" applyAlignment="1">
      <alignment horizontal="center" vertical="center"/>
    </xf>
    <xf numFmtId="0" fontId="1" fillId="2" borderId="5" xfId="0" applyFont="1" applyFill="1" applyBorder="1" applyAlignment="1">
      <alignment horizontal="center" vertical="center"/>
    </xf>
    <xf numFmtId="0" fontId="1" fillId="0" borderId="5" xfId="0" applyFont="1" applyBorder="1" applyAlignment="1">
      <alignment horizontal="center" vertical="center"/>
    </xf>
    <xf numFmtId="167" fontId="2" fillId="4" borderId="5" xfId="1" applyNumberFormat="1" applyFont="1" applyFill="1" applyBorder="1" applyAlignment="1">
      <alignment horizontal="center" vertical="center"/>
    </xf>
    <xf numFmtId="165" fontId="14" fillId="0" borderId="0" xfId="0" applyNumberFormat="1" applyFont="1" applyAlignment="1">
      <alignment horizontal="center" vertical="center"/>
    </xf>
    <xf numFmtId="0" fontId="1" fillId="9" borderId="5" xfId="0" applyFont="1" applyFill="1" applyBorder="1" applyAlignment="1">
      <alignment horizontal="center" vertical="center"/>
    </xf>
    <xf numFmtId="3" fontId="0" fillId="9" borderId="0" xfId="0" applyNumberFormat="1" applyFill="1" applyAlignment="1">
      <alignment horizontal="center" vertical="center"/>
    </xf>
    <xf numFmtId="0" fontId="0" fillId="9" borderId="0" xfId="0" applyFill="1" applyAlignment="1">
      <alignment horizontal="center" vertical="center"/>
    </xf>
    <xf numFmtId="1" fontId="13" fillId="0" borderId="0" xfId="1" applyNumberFormat="1" applyFont="1" applyFill="1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0" fontId="1" fillId="0" borderId="0" xfId="0" applyFont="1" applyAlignment="1">
      <alignment horizontal="center" vertical="center"/>
    </xf>
    <xf numFmtId="169" fontId="0" fillId="0" borderId="0" xfId="0" applyNumberFormat="1" applyFill="1" applyAlignment="1">
      <alignment horizontal="center" vertical="center"/>
    </xf>
    <xf numFmtId="169" fontId="0" fillId="0" borderId="0" xfId="0" applyNumberFormat="1" applyAlignment="1">
      <alignment horizontal="center" vertical="center"/>
    </xf>
    <xf numFmtId="10" fontId="11" fillId="0" borderId="0" xfId="1" applyNumberFormat="1" applyFont="1" applyFill="1" applyAlignment="1">
      <alignment horizontal="center" vertical="center"/>
    </xf>
    <xf numFmtId="166" fontId="0" fillId="0" borderId="5" xfId="0" applyNumberFormat="1" applyBorder="1" applyAlignment="1">
      <alignment horizontal="center" vertical="center"/>
    </xf>
    <xf numFmtId="166" fontId="0" fillId="0" borderId="5" xfId="0" applyNumberFormat="1" applyFill="1" applyBorder="1" applyAlignment="1">
      <alignment horizontal="center" vertical="center"/>
    </xf>
    <xf numFmtId="166" fontId="16" fillId="0" borderId="2" xfId="0" applyNumberFormat="1" applyFont="1" applyBorder="1" applyAlignment="1">
      <alignment vertical="center"/>
    </xf>
    <xf numFmtId="166" fontId="17" fillId="0" borderId="14" xfId="0" applyNumberFormat="1" applyFont="1" applyBorder="1" applyAlignment="1">
      <alignment horizontal="center" vertical="center"/>
    </xf>
    <xf numFmtId="0" fontId="18" fillId="5" borderId="16" xfId="0" applyFont="1" applyFill="1" applyBorder="1" applyAlignment="1">
      <alignment horizontal="center" vertical="center"/>
    </xf>
    <xf numFmtId="0" fontId="18" fillId="5" borderId="9" xfId="0" applyFont="1" applyFill="1" applyBorder="1" applyAlignment="1">
      <alignment horizontal="center" vertical="center"/>
    </xf>
    <xf numFmtId="0" fontId="19" fillId="5" borderId="18" xfId="0" applyFont="1" applyFill="1" applyBorder="1" applyAlignment="1">
      <alignment horizontal="center" vertical="center"/>
    </xf>
    <xf numFmtId="10" fontId="0" fillId="0" borderId="0" xfId="0" applyNumberFormat="1" applyAlignment="1">
      <alignment horizontal="center" vertical="center"/>
    </xf>
    <xf numFmtId="0" fontId="1" fillId="11" borderId="5" xfId="0" applyFont="1" applyFill="1" applyBorder="1" applyAlignment="1">
      <alignment horizontal="center" vertical="center"/>
    </xf>
    <xf numFmtId="169" fontId="0" fillId="11" borderId="0" xfId="0" applyNumberFormat="1" applyFill="1" applyAlignment="1">
      <alignment horizontal="center" vertical="center"/>
    </xf>
    <xf numFmtId="0" fontId="0" fillId="11" borderId="0" xfId="0" applyFill="1" applyAlignment="1">
      <alignment horizontal="center" vertical="center"/>
    </xf>
    <xf numFmtId="0" fontId="1" fillId="12" borderId="5" xfId="0" applyFont="1" applyFill="1" applyBorder="1" applyAlignment="1">
      <alignment horizontal="center" vertical="center"/>
    </xf>
    <xf numFmtId="169" fontId="0" fillId="12" borderId="0" xfId="0" applyNumberFormat="1" applyFill="1" applyAlignment="1">
      <alignment horizontal="center" vertical="center"/>
    </xf>
    <xf numFmtId="0" fontId="0" fillId="12" borderId="0" xfId="0" applyFill="1" applyAlignment="1">
      <alignment horizontal="center" vertical="center"/>
    </xf>
    <xf numFmtId="0" fontId="20" fillId="0" borderId="0" xfId="0" applyFont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166" fontId="17" fillId="0" borderId="0" xfId="0" applyNumberFormat="1" applyFont="1" applyFill="1" applyBorder="1" applyAlignment="1">
      <alignment horizontal="center" vertical="center"/>
    </xf>
    <xf numFmtId="166" fontId="16" fillId="0" borderId="0" xfId="0" applyNumberFormat="1" applyFont="1" applyFill="1" applyBorder="1" applyAlignment="1">
      <alignment vertical="center"/>
    </xf>
    <xf numFmtId="0" fontId="22" fillId="0" borderId="0" xfId="0" applyFont="1" applyAlignment="1">
      <alignment vertical="center"/>
    </xf>
    <xf numFmtId="0" fontId="1" fillId="2" borderId="0" xfId="0" applyFont="1" applyFill="1" applyAlignment="1">
      <alignment horizontal="center" vertical="center" textRotation="90"/>
    </xf>
    <xf numFmtId="0" fontId="1" fillId="5" borderId="0" xfId="0" applyFont="1" applyFill="1" applyAlignment="1">
      <alignment horizontal="center"/>
    </xf>
    <xf numFmtId="0" fontId="8" fillId="6" borderId="0" xfId="0" applyFont="1" applyFill="1" applyAlignment="1">
      <alignment horizontal="center"/>
    </xf>
    <xf numFmtId="0" fontId="1" fillId="2" borderId="0" xfId="0" applyFont="1" applyFill="1" applyAlignment="1">
      <alignment horizontal="center" vertical="center"/>
    </xf>
    <xf numFmtId="0" fontId="9" fillId="5" borderId="0" xfId="0" applyFont="1" applyFill="1" applyAlignment="1">
      <alignment horizontal="center"/>
    </xf>
    <xf numFmtId="166" fontId="8" fillId="8" borderId="0" xfId="0" applyNumberFormat="1" applyFont="1" applyFill="1" applyAlignment="1">
      <alignment horizontal="center" vertical="center" textRotation="90"/>
    </xf>
    <xf numFmtId="11" fontId="8" fillId="8" borderId="0" xfId="0" applyNumberFormat="1" applyFont="1" applyFill="1" applyAlignment="1">
      <alignment horizontal="center" vertical="center" textRotation="90"/>
    </xf>
    <xf numFmtId="11" fontId="8" fillId="4" borderId="0" xfId="0" applyNumberFormat="1" applyFont="1" applyFill="1" applyAlignment="1">
      <alignment horizontal="center" vertical="center" textRotation="90"/>
    </xf>
    <xf numFmtId="0" fontId="1" fillId="5" borderId="6" xfId="0" applyFont="1" applyFill="1" applyBorder="1" applyAlignment="1">
      <alignment horizontal="center" vertical="center"/>
    </xf>
    <xf numFmtId="0" fontId="1" fillId="5" borderId="7" xfId="0" applyFont="1" applyFill="1" applyBorder="1" applyAlignment="1">
      <alignment horizontal="center" vertical="center"/>
    </xf>
    <xf numFmtId="0" fontId="1" fillId="5" borderId="8" xfId="0" applyFont="1" applyFill="1" applyBorder="1" applyAlignment="1">
      <alignment horizontal="center" vertical="center"/>
    </xf>
    <xf numFmtId="2" fontId="16" fillId="10" borderId="13" xfId="0" applyNumberFormat="1" applyFont="1" applyFill="1" applyBorder="1" applyAlignment="1">
      <alignment horizontal="center" vertical="center"/>
    </xf>
    <xf numFmtId="2" fontId="16" fillId="10" borderId="12" xfId="0" applyNumberFormat="1" applyFont="1" applyFill="1" applyBorder="1" applyAlignment="1">
      <alignment horizontal="center" vertical="center"/>
    </xf>
    <xf numFmtId="2" fontId="16" fillId="10" borderId="1" xfId="0" applyNumberFormat="1" applyFont="1" applyFill="1" applyBorder="1" applyAlignment="1">
      <alignment horizontal="center" vertical="center"/>
    </xf>
    <xf numFmtId="2" fontId="16" fillId="10" borderId="15" xfId="0" applyNumberFormat="1" applyFont="1" applyFill="1" applyBorder="1" applyAlignment="1">
      <alignment horizontal="center" vertical="center"/>
    </xf>
    <xf numFmtId="0" fontId="5" fillId="7" borderId="5" xfId="0" applyFont="1" applyFill="1" applyBorder="1" applyAlignment="1">
      <alignment horizontal="center" vertical="center"/>
    </xf>
    <xf numFmtId="0" fontId="6" fillId="3" borderId="5" xfId="0" applyFont="1" applyFill="1" applyBorder="1" applyAlignment="1">
      <alignment horizontal="center" vertical="center"/>
    </xf>
    <xf numFmtId="165" fontId="8" fillId="4" borderId="0" xfId="0" applyNumberFormat="1" applyFont="1" applyFill="1" applyAlignment="1">
      <alignment horizontal="center" vertical="center" textRotation="90"/>
    </xf>
    <xf numFmtId="165" fontId="8" fillId="8" borderId="0" xfId="0" applyNumberFormat="1" applyFont="1" applyFill="1" applyAlignment="1">
      <alignment horizontal="center" vertical="center" textRotation="90"/>
    </xf>
    <xf numFmtId="166" fontId="8" fillId="4" borderId="0" xfId="0" applyNumberFormat="1" applyFont="1" applyFill="1" applyAlignment="1">
      <alignment horizontal="center" vertical="center" textRotation="90"/>
    </xf>
    <xf numFmtId="0" fontId="22" fillId="12" borderId="0" xfId="0" applyFont="1" applyFill="1" applyAlignment="1">
      <alignment horizontal="center" vertical="center"/>
    </xf>
    <xf numFmtId="0" fontId="1" fillId="0" borderId="0" xfId="0" applyFont="1" applyFill="1" applyBorder="1" applyAlignment="1">
      <alignment horizontal="center" vertical="center"/>
    </xf>
    <xf numFmtId="2" fontId="16" fillId="0" borderId="0" xfId="0" applyNumberFormat="1" applyFont="1" applyFill="1" applyBorder="1" applyAlignment="1">
      <alignment horizontal="center" vertical="center"/>
    </xf>
    <xf numFmtId="164" fontId="2" fillId="4" borderId="5" xfId="0" applyNumberFormat="1" applyFont="1" applyFill="1" applyBorder="1" applyAlignment="1">
      <alignment horizontal="center" vertical="center"/>
    </xf>
    <xf numFmtId="164" fontId="2" fillId="4" borderId="17" xfId="0" applyNumberFormat="1" applyFont="1" applyFill="1" applyBorder="1" applyAlignment="1">
      <alignment horizontal="center" vertical="center"/>
    </xf>
    <xf numFmtId="164" fontId="2" fillId="4" borderId="10" xfId="0" applyNumberFormat="1" applyFont="1" applyFill="1" applyBorder="1" applyAlignment="1">
      <alignment horizontal="center" vertical="center"/>
    </xf>
    <xf numFmtId="164" fontId="2" fillId="4" borderId="11" xfId="0" applyNumberFormat="1" applyFont="1" applyFill="1" applyBorder="1" applyAlignment="1">
      <alignment horizontal="center" vertical="center"/>
    </xf>
    <xf numFmtId="0" fontId="1" fillId="5" borderId="3" xfId="0" applyFont="1" applyFill="1" applyBorder="1" applyAlignment="1">
      <alignment horizontal="center" vertical="center"/>
    </xf>
    <xf numFmtId="0" fontId="1" fillId="5" borderId="4" xfId="0" applyFont="1" applyFill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0" fontId="9" fillId="5" borderId="5" xfId="0" applyFont="1" applyFill="1" applyBorder="1" applyAlignment="1">
      <alignment horizontal="center" vertical="center"/>
    </xf>
  </cellXfs>
  <cellStyles count="2">
    <cellStyle name="Normal" xfId="0" builtinId="0"/>
    <cellStyle name="Porcentagem" xfId="1" builtinId="5"/>
  </cellStyles>
  <dxfs count="2">
    <dxf>
      <font>
        <b/>
        <i val="0"/>
      </font>
      <fill>
        <patternFill>
          <bgColor theme="6" tint="0.59996337778862885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/>
        <i val="0"/>
      </font>
      <fill>
        <patternFill>
          <bgColor theme="5" tint="0.59996337778862885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</dxfs>
  <tableStyles count="0" defaultTableStyle="TableStyleMedium2" defaultPivotStyle="PivotStyleLight16"/>
  <colors>
    <mruColors>
      <color rgb="FF0000FF"/>
      <color rgb="FFEEF3F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Resumo!$D$4</c:f>
              <c:strCache>
                <c:ptCount val="1"/>
                <c:pt idx="0">
                  <c:v> MAX MX</c:v>
                </c:pt>
              </c:strCache>
            </c:strRef>
          </c:tx>
          <c:spPr>
            <a:ln>
              <a:solidFill>
                <a:srgbClr val="00B0F0"/>
              </a:solidFill>
            </a:ln>
          </c:spPr>
          <c:marker>
            <c:symbol val="circle"/>
            <c:size val="10"/>
            <c:spPr>
              <a:solidFill>
                <a:schemeClr val="tx2">
                  <a:lumMod val="20000"/>
                  <a:lumOff val="80000"/>
                  <a:alpha val="75000"/>
                </a:schemeClr>
              </a:solidFill>
              <a:ln>
                <a:solidFill>
                  <a:srgbClr val="0000FF"/>
                </a:solidFill>
              </a:ln>
            </c:spPr>
          </c:marker>
          <c:xVal>
            <c:numRef>
              <c:f>Resumo!$B$5:$B$933</c:f>
              <c:numCache>
                <c:formatCode>0.000</c:formatCode>
                <c:ptCount val="929"/>
                <c:pt idx="0">
                  <c:v>0.02</c:v>
                </c:pt>
                <c:pt idx="1">
                  <c:v>2.5000000000000001E-2</c:v>
                </c:pt>
                <c:pt idx="2">
                  <c:v>0.03</c:v>
                </c:pt>
                <c:pt idx="3">
                  <c:v>3.5000000000000003E-2</c:v>
                </c:pt>
                <c:pt idx="4">
                  <c:v>0.04</c:v>
                </c:pt>
                <c:pt idx="5">
                  <c:v>4.4999999999999998E-2</c:v>
                </c:pt>
                <c:pt idx="6">
                  <c:v>0.05</c:v>
                </c:pt>
                <c:pt idx="7">
                  <c:v>5.5E-2</c:v>
                </c:pt>
                <c:pt idx="8">
                  <c:v>0.06</c:v>
                </c:pt>
                <c:pt idx="9">
                  <c:v>6.5000000000000002E-2</c:v>
                </c:pt>
                <c:pt idx="10">
                  <c:v>7.0000000000000007E-2</c:v>
                </c:pt>
                <c:pt idx="11">
                  <c:v>7.4999999999999997E-2</c:v>
                </c:pt>
                <c:pt idx="12">
                  <c:v>0.08</c:v>
                </c:pt>
                <c:pt idx="13">
                  <c:v>8.5000000000000006E-2</c:v>
                </c:pt>
                <c:pt idx="14">
                  <c:v>0.09</c:v>
                </c:pt>
                <c:pt idx="15">
                  <c:v>9.5000000000000001E-2</c:v>
                </c:pt>
                <c:pt idx="16">
                  <c:v>0.1</c:v>
                </c:pt>
                <c:pt idx="17">
                  <c:v>0.105</c:v>
                </c:pt>
                <c:pt idx="18">
                  <c:v>0.11</c:v>
                </c:pt>
                <c:pt idx="19">
                  <c:v>0.115</c:v>
                </c:pt>
                <c:pt idx="20">
                  <c:v>0.12</c:v>
                </c:pt>
                <c:pt idx="21">
                  <c:v>0.125</c:v>
                </c:pt>
                <c:pt idx="22">
                  <c:v>0.13</c:v>
                </c:pt>
                <c:pt idx="23">
                  <c:v>0.13500000000000001</c:v>
                </c:pt>
                <c:pt idx="24">
                  <c:v>0.14000000000000001</c:v>
                </c:pt>
                <c:pt idx="25">
                  <c:v>0.14499999999999999</c:v>
                </c:pt>
                <c:pt idx="26">
                  <c:v>0.15</c:v>
                </c:pt>
                <c:pt idx="27">
                  <c:v>0.155</c:v>
                </c:pt>
                <c:pt idx="28">
                  <c:v>0.16</c:v>
                </c:pt>
                <c:pt idx="29">
                  <c:v>0.16500000000000001</c:v>
                </c:pt>
                <c:pt idx="30">
                  <c:v>0.17</c:v>
                </c:pt>
                <c:pt idx="31">
                  <c:v>0.17499999999999999</c:v>
                </c:pt>
                <c:pt idx="32">
                  <c:v>0.18</c:v>
                </c:pt>
                <c:pt idx="33">
                  <c:v>0.185</c:v>
                </c:pt>
                <c:pt idx="34">
                  <c:v>0.19</c:v>
                </c:pt>
                <c:pt idx="35">
                  <c:v>0.19500000000000001</c:v>
                </c:pt>
                <c:pt idx="36">
                  <c:v>0.2</c:v>
                </c:pt>
                <c:pt idx="37">
                  <c:v>0.21</c:v>
                </c:pt>
                <c:pt idx="38">
                  <c:v>0.22</c:v>
                </c:pt>
                <c:pt idx="39" formatCode="General">
                  <c:v>0.23</c:v>
                </c:pt>
                <c:pt idx="40" formatCode="General">
                  <c:v>0.23499999999999999</c:v>
                </c:pt>
                <c:pt idx="41" formatCode="General">
                  <c:v>0.24</c:v>
                </c:pt>
                <c:pt idx="42" formatCode="General">
                  <c:v>0.25</c:v>
                </c:pt>
                <c:pt idx="43" formatCode="General">
                  <c:v>0.26500000000000001</c:v>
                </c:pt>
                <c:pt idx="44" formatCode="General">
                  <c:v>0.27</c:v>
                </c:pt>
                <c:pt idx="45" formatCode="General">
                  <c:v>0.28000000000000003</c:v>
                </c:pt>
                <c:pt idx="46" formatCode="General">
                  <c:v>0.29499999999999998</c:v>
                </c:pt>
                <c:pt idx="47" formatCode="General">
                  <c:v>0.315</c:v>
                </c:pt>
                <c:pt idx="48" formatCode="General">
                  <c:v>0.32</c:v>
                </c:pt>
                <c:pt idx="49" formatCode="General">
                  <c:v>0.33500000000000002</c:v>
                </c:pt>
                <c:pt idx="50" formatCode="General">
                  <c:v>0.35</c:v>
                </c:pt>
                <c:pt idx="51" formatCode="General">
                  <c:v>0.36</c:v>
                </c:pt>
                <c:pt idx="52" formatCode="General">
                  <c:v>0.38500000000000001</c:v>
                </c:pt>
                <c:pt idx="53" formatCode="General">
                  <c:v>0.39</c:v>
                </c:pt>
                <c:pt idx="54" formatCode="General">
                  <c:v>0.42</c:v>
                </c:pt>
                <c:pt idx="55" formatCode="General">
                  <c:v>0.44</c:v>
                </c:pt>
                <c:pt idx="56" formatCode="General">
                  <c:v>0.45500000000000002</c:v>
                </c:pt>
                <c:pt idx="57" formatCode="General">
                  <c:v>0.5</c:v>
                </c:pt>
                <c:pt idx="58" formatCode="General">
                  <c:v>0.56000000000000005</c:v>
                </c:pt>
                <c:pt idx="59" formatCode="General">
                  <c:v>0.58499999999999996</c:v>
                </c:pt>
                <c:pt idx="60" formatCode="General">
                  <c:v>0.625</c:v>
                </c:pt>
                <c:pt idx="61" formatCode="General">
                  <c:v>0.7</c:v>
                </c:pt>
                <c:pt idx="62" formatCode="General">
                  <c:v>0.71499999999999997</c:v>
                </c:pt>
                <c:pt idx="63" formatCode="General">
                  <c:v>0.83499999999999996</c:v>
                </c:pt>
                <c:pt idx="64" formatCode="General">
                  <c:v>0.875</c:v>
                </c:pt>
                <c:pt idx="65" formatCode="General">
                  <c:v>1</c:v>
                </c:pt>
              </c:numCache>
            </c:numRef>
          </c:xVal>
          <c:yVal>
            <c:numRef>
              <c:f>Resumo!$D$5:$D$933</c:f>
              <c:numCache>
                <c:formatCode>0.000E+00</c:formatCode>
                <c:ptCount val="929"/>
                <c:pt idx="0">
                  <c:v>2899</c:v>
                </c:pt>
                <c:pt idx="1">
                  <c:v>2884</c:v>
                </c:pt>
                <c:pt idx="2">
                  <c:v>2870</c:v>
                </c:pt>
                <c:pt idx="3">
                  <c:v>2855</c:v>
                </c:pt>
                <c:pt idx="4">
                  <c:v>2840</c:v>
                </c:pt>
                <c:pt idx="5">
                  <c:v>2826</c:v>
                </c:pt>
                <c:pt idx="6">
                  <c:v>2810</c:v>
                </c:pt>
                <c:pt idx="7">
                  <c:v>2796</c:v>
                </c:pt>
                <c:pt idx="8">
                  <c:v>2783</c:v>
                </c:pt>
                <c:pt idx="9">
                  <c:v>2766</c:v>
                </c:pt>
                <c:pt idx="10">
                  <c:v>2753</c:v>
                </c:pt>
                <c:pt idx="11">
                  <c:v>2739</c:v>
                </c:pt>
                <c:pt idx="12">
                  <c:v>2724</c:v>
                </c:pt>
                <c:pt idx="13">
                  <c:v>2708</c:v>
                </c:pt>
                <c:pt idx="14">
                  <c:v>2696</c:v>
                </c:pt>
                <c:pt idx="15">
                  <c:v>2681</c:v>
                </c:pt>
                <c:pt idx="16">
                  <c:v>2665</c:v>
                </c:pt>
                <c:pt idx="17">
                  <c:v>2650</c:v>
                </c:pt>
                <c:pt idx="18">
                  <c:v>2636</c:v>
                </c:pt>
                <c:pt idx="19">
                  <c:v>2625</c:v>
                </c:pt>
                <c:pt idx="20">
                  <c:v>2606</c:v>
                </c:pt>
                <c:pt idx="21">
                  <c:v>2587</c:v>
                </c:pt>
                <c:pt idx="22">
                  <c:v>2581</c:v>
                </c:pt>
                <c:pt idx="23">
                  <c:v>2567</c:v>
                </c:pt>
                <c:pt idx="24">
                  <c:v>2550</c:v>
                </c:pt>
                <c:pt idx="25">
                  <c:v>2538</c:v>
                </c:pt>
                <c:pt idx="26">
                  <c:v>2521</c:v>
                </c:pt>
                <c:pt idx="27">
                  <c:v>2512</c:v>
                </c:pt>
                <c:pt idx="28">
                  <c:v>2493</c:v>
                </c:pt>
                <c:pt idx="29">
                  <c:v>2478</c:v>
                </c:pt>
                <c:pt idx="30">
                  <c:v>2467</c:v>
                </c:pt>
                <c:pt idx="31">
                  <c:v>2444</c:v>
                </c:pt>
                <c:pt idx="32">
                  <c:v>2426</c:v>
                </c:pt>
                <c:pt idx="33">
                  <c:v>2431</c:v>
                </c:pt>
                <c:pt idx="34">
                  <c:v>2412</c:v>
                </c:pt>
                <c:pt idx="35">
                  <c:v>2383</c:v>
                </c:pt>
                <c:pt idx="36">
                  <c:v>2361</c:v>
                </c:pt>
                <c:pt idx="37">
                  <c:v>2343</c:v>
                </c:pt>
                <c:pt idx="38">
                  <c:v>2306</c:v>
                </c:pt>
                <c:pt idx="39">
                  <c:v>2277</c:v>
                </c:pt>
                <c:pt idx="40">
                  <c:v>2285</c:v>
                </c:pt>
                <c:pt idx="41">
                  <c:v>2254</c:v>
                </c:pt>
                <c:pt idx="42">
                  <c:v>2205</c:v>
                </c:pt>
                <c:pt idx="43">
                  <c:v>2167</c:v>
                </c:pt>
                <c:pt idx="44">
                  <c:v>2177</c:v>
                </c:pt>
                <c:pt idx="45">
                  <c:v>2134</c:v>
                </c:pt>
                <c:pt idx="46">
                  <c:v>2068</c:v>
                </c:pt>
                <c:pt idx="47">
                  <c:v>2014</c:v>
                </c:pt>
                <c:pt idx="48">
                  <c:v>2027</c:v>
                </c:pt>
                <c:pt idx="49">
                  <c:v>1966</c:v>
                </c:pt>
                <c:pt idx="50">
                  <c:v>1938</c:v>
                </c:pt>
                <c:pt idx="51">
                  <c:v>1869</c:v>
                </c:pt>
                <c:pt idx="52">
                  <c:v>1789</c:v>
                </c:pt>
                <c:pt idx="53">
                  <c:v>1805</c:v>
                </c:pt>
                <c:pt idx="54">
                  <c:v>1711</c:v>
                </c:pt>
                <c:pt idx="55">
                  <c:v>1671</c:v>
                </c:pt>
                <c:pt idx="56">
                  <c:v>1561</c:v>
                </c:pt>
                <c:pt idx="57">
                  <c:v>1451</c:v>
                </c:pt>
                <c:pt idx="58">
                  <c:v>1289</c:v>
                </c:pt>
                <c:pt idx="59">
                  <c:v>1218</c:v>
                </c:pt>
                <c:pt idx="60">
                  <c:v>1020</c:v>
                </c:pt>
                <c:pt idx="61">
                  <c:v>1045</c:v>
                </c:pt>
                <c:pt idx="62">
                  <c:v>789.2</c:v>
                </c:pt>
                <c:pt idx="63">
                  <c:v>455.6</c:v>
                </c:pt>
                <c:pt idx="64">
                  <c:v>291.7</c:v>
                </c:pt>
                <c:pt idx="65">
                  <c:v>-131.80000000000001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Resumo!$AB$5:$AE$5</c:f>
              <c:strCache>
                <c:ptCount val="1"/>
                <c:pt idx="0">
                  <c:v>MALHA GROSSA</c:v>
                </c:pt>
              </c:strCache>
            </c:strRef>
          </c:tx>
          <c:marker>
            <c:symbol val="none"/>
          </c:marker>
          <c:xVal>
            <c:numRef>
              <c:f>Resumo!$AC$7:$AC$8</c:f>
              <c:numCache>
                <c:formatCode>0.000</c:formatCode>
                <c:ptCount val="2"/>
                <c:pt idx="0">
                  <c:v>0.155</c:v>
                </c:pt>
                <c:pt idx="1">
                  <c:v>0.155</c:v>
                </c:pt>
              </c:numCache>
            </c:numRef>
          </c:xVal>
          <c:yVal>
            <c:numRef>
              <c:f>Resumo!$AE$7:$AE$8</c:f>
              <c:numCache>
                <c:formatCode>0.0</c:formatCode>
                <c:ptCount val="2"/>
                <c:pt idx="0">
                  <c:v>-8525</c:v>
                </c:pt>
                <c:pt idx="1">
                  <c:v>14530</c:v>
                </c:pt>
              </c:numCache>
            </c:numRef>
          </c:yVal>
          <c:smooth val="1"/>
        </c:ser>
        <c:ser>
          <c:idx val="2"/>
          <c:order val="2"/>
          <c:tx>
            <c:strRef>
              <c:f>Resumo!$AB$11:$AE$11</c:f>
              <c:strCache>
                <c:ptCount val="1"/>
                <c:pt idx="0">
                  <c:v>MALHA FINA</c:v>
                </c:pt>
              </c:strCache>
            </c:strRef>
          </c:tx>
          <c:marker>
            <c:symbol val="none"/>
          </c:marker>
          <c:xVal>
            <c:numRef>
              <c:f>Resumo!$AC$13:$AC$14</c:f>
              <c:numCache>
                <c:formatCode>0.000</c:formatCode>
                <c:ptCount val="2"/>
                <c:pt idx="0">
                  <c:v>0.08</c:v>
                </c:pt>
                <c:pt idx="1">
                  <c:v>0.08</c:v>
                </c:pt>
              </c:numCache>
            </c:numRef>
          </c:xVal>
          <c:yVal>
            <c:numRef>
              <c:f>Resumo!$AE$13:$AE$14</c:f>
              <c:numCache>
                <c:formatCode>0.0</c:formatCode>
                <c:ptCount val="2"/>
                <c:pt idx="0">
                  <c:v>-8525</c:v>
                </c:pt>
                <c:pt idx="1">
                  <c:v>14530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41701264"/>
        <c:axId val="741701824"/>
      </c:scatterChart>
      <c:valAx>
        <c:axId val="741701264"/>
        <c:scaling>
          <c:orientation val="minMax"/>
          <c:max val="1"/>
          <c:min val="0"/>
        </c:scaling>
        <c:delete val="0"/>
        <c:axPos val="t"/>
        <c:majorGridlines>
          <c:spPr>
            <a:ln>
              <a:noFill/>
            </a:ln>
          </c:spPr>
        </c:majorGridlines>
        <c:numFmt formatCode="#,##0.00" sourceLinked="0"/>
        <c:majorTickMark val="out"/>
        <c:minorTickMark val="none"/>
        <c:tickLblPos val="nextTo"/>
        <c:crossAx val="741701824"/>
        <c:crosses val="max"/>
        <c:crossBetween val="midCat"/>
      </c:valAx>
      <c:valAx>
        <c:axId val="741701824"/>
        <c:scaling>
          <c:orientation val="minMax"/>
          <c:max val="3000"/>
          <c:min val="-150"/>
        </c:scaling>
        <c:delete val="0"/>
        <c:axPos val="l"/>
        <c:majorGridlines>
          <c:spPr>
            <a:ln>
              <a:noFill/>
            </a:ln>
          </c:spPr>
        </c:majorGridlines>
        <c:numFmt formatCode="0.0E+0" sourceLinked="0"/>
        <c:majorTickMark val="out"/>
        <c:minorTickMark val="none"/>
        <c:tickLblPos val="nextTo"/>
        <c:crossAx val="7417012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Resumo!$D$4</c:f>
              <c:strCache>
                <c:ptCount val="1"/>
                <c:pt idx="0">
                  <c:v> MAX MX</c:v>
                </c:pt>
              </c:strCache>
            </c:strRef>
          </c:tx>
          <c:spPr>
            <a:ln>
              <a:solidFill>
                <a:srgbClr val="00B0F0"/>
              </a:solidFill>
            </a:ln>
          </c:spPr>
          <c:marker>
            <c:symbol val="circle"/>
            <c:size val="10"/>
            <c:spPr>
              <a:solidFill>
                <a:schemeClr val="tx2">
                  <a:lumMod val="20000"/>
                  <a:lumOff val="80000"/>
                  <a:alpha val="75000"/>
                </a:schemeClr>
              </a:solidFill>
              <a:ln>
                <a:solidFill>
                  <a:srgbClr val="0000FF"/>
                </a:solidFill>
              </a:ln>
            </c:spPr>
          </c:marker>
          <c:xVal>
            <c:numRef>
              <c:f>Resumo!$C$5:$C$933</c:f>
              <c:numCache>
                <c:formatCode>#,##0</c:formatCode>
                <c:ptCount val="929"/>
                <c:pt idx="0">
                  <c:v>43750</c:v>
                </c:pt>
                <c:pt idx="1">
                  <c:v>28000</c:v>
                </c:pt>
                <c:pt idx="2">
                  <c:v>19539</c:v>
                </c:pt>
                <c:pt idx="3">
                  <c:v>14300</c:v>
                </c:pt>
                <c:pt idx="4">
                  <c:v>11000</c:v>
                </c:pt>
                <c:pt idx="5">
                  <c:v>8736</c:v>
                </c:pt>
                <c:pt idx="6">
                  <c:v>7000</c:v>
                </c:pt>
                <c:pt idx="7">
                  <c:v>5824</c:v>
                </c:pt>
                <c:pt idx="8">
                  <c:v>4956</c:v>
                </c:pt>
                <c:pt idx="9">
                  <c:v>4158</c:v>
                </c:pt>
                <c:pt idx="10">
                  <c:v>3600</c:v>
                </c:pt>
                <c:pt idx="11">
                  <c:v>3149</c:v>
                </c:pt>
                <c:pt idx="12">
                  <c:v>2772</c:v>
                </c:pt>
                <c:pt idx="13">
                  <c:v>2478</c:v>
                </c:pt>
                <c:pt idx="14">
                  <c:v>2184</c:v>
                </c:pt>
                <c:pt idx="15">
                  <c:v>1961</c:v>
                </c:pt>
                <c:pt idx="16">
                  <c:v>1750</c:v>
                </c:pt>
                <c:pt idx="17">
                  <c:v>1632</c:v>
                </c:pt>
                <c:pt idx="18">
                  <c:v>1472</c:v>
                </c:pt>
                <c:pt idx="19">
                  <c:v>1364</c:v>
                </c:pt>
                <c:pt idx="20">
                  <c:v>1260</c:v>
                </c:pt>
                <c:pt idx="21">
                  <c:v>1120</c:v>
                </c:pt>
                <c:pt idx="22">
                  <c:v>1053</c:v>
                </c:pt>
                <c:pt idx="23">
                  <c:v>988</c:v>
                </c:pt>
                <c:pt idx="24">
                  <c:v>900</c:v>
                </c:pt>
                <c:pt idx="25">
                  <c:v>875</c:v>
                </c:pt>
                <c:pt idx="26">
                  <c:v>816</c:v>
                </c:pt>
                <c:pt idx="27">
                  <c:v>759</c:v>
                </c:pt>
                <c:pt idx="28">
                  <c:v>704</c:v>
                </c:pt>
                <c:pt idx="29">
                  <c:v>682</c:v>
                </c:pt>
                <c:pt idx="30">
                  <c:v>630</c:v>
                </c:pt>
                <c:pt idx="31">
                  <c:v>580</c:v>
                </c:pt>
                <c:pt idx="32">
                  <c:v>560</c:v>
                </c:pt>
                <c:pt idx="33">
                  <c:v>532</c:v>
                </c:pt>
                <c:pt idx="34">
                  <c:v>513</c:v>
                </c:pt>
                <c:pt idx="35">
                  <c:v>468</c:v>
                </c:pt>
                <c:pt idx="36">
                  <c:v>450</c:v>
                </c:pt>
                <c:pt idx="37">
                  <c:v>408</c:v>
                </c:pt>
                <c:pt idx="38">
                  <c:v>368</c:v>
                </c:pt>
                <c:pt idx="39" formatCode="General">
                  <c:v>352</c:v>
                </c:pt>
                <c:pt idx="40" formatCode="General">
                  <c:v>330</c:v>
                </c:pt>
                <c:pt idx="41" formatCode="General">
                  <c:v>315</c:v>
                </c:pt>
                <c:pt idx="42" formatCode="General">
                  <c:v>280</c:v>
                </c:pt>
                <c:pt idx="43" formatCode="General">
                  <c:v>266</c:v>
                </c:pt>
                <c:pt idx="44" formatCode="General">
                  <c:v>247</c:v>
                </c:pt>
                <c:pt idx="45" formatCode="General">
                  <c:v>234</c:v>
                </c:pt>
                <c:pt idx="46" formatCode="General">
                  <c:v>204</c:v>
                </c:pt>
                <c:pt idx="47" formatCode="General">
                  <c:v>192</c:v>
                </c:pt>
                <c:pt idx="48" formatCode="General">
                  <c:v>176</c:v>
                </c:pt>
                <c:pt idx="49" formatCode="General">
                  <c:v>165</c:v>
                </c:pt>
                <c:pt idx="50" formatCode="General">
                  <c:v>150</c:v>
                </c:pt>
                <c:pt idx="51" formatCode="General">
                  <c:v>140</c:v>
                </c:pt>
                <c:pt idx="52" formatCode="General">
                  <c:v>130</c:v>
                </c:pt>
                <c:pt idx="53" formatCode="General">
                  <c:v>117</c:v>
                </c:pt>
                <c:pt idx="54" formatCode="General">
                  <c:v>108</c:v>
                </c:pt>
                <c:pt idx="55" formatCode="General">
                  <c:v>96</c:v>
                </c:pt>
                <c:pt idx="56" formatCode="General">
                  <c:v>88</c:v>
                </c:pt>
                <c:pt idx="57" formatCode="General">
                  <c:v>70</c:v>
                </c:pt>
                <c:pt idx="58" formatCode="General">
                  <c:v>63</c:v>
                </c:pt>
                <c:pt idx="59" formatCode="General">
                  <c:v>54</c:v>
                </c:pt>
                <c:pt idx="60" formatCode="General">
                  <c:v>48</c:v>
                </c:pt>
                <c:pt idx="61" formatCode="General">
                  <c:v>40</c:v>
                </c:pt>
                <c:pt idx="62" formatCode="General">
                  <c:v>35</c:v>
                </c:pt>
                <c:pt idx="63" formatCode="General">
                  <c:v>30</c:v>
                </c:pt>
                <c:pt idx="64" formatCode="General">
                  <c:v>24</c:v>
                </c:pt>
                <c:pt idx="65" formatCode="General">
                  <c:v>20</c:v>
                </c:pt>
              </c:numCache>
            </c:numRef>
          </c:xVal>
          <c:yVal>
            <c:numRef>
              <c:f>Resumo!$D$5:$D$933</c:f>
              <c:numCache>
                <c:formatCode>0.000E+00</c:formatCode>
                <c:ptCount val="929"/>
                <c:pt idx="0">
                  <c:v>2899</c:v>
                </c:pt>
                <c:pt idx="1">
                  <c:v>2884</c:v>
                </c:pt>
                <c:pt idx="2">
                  <c:v>2870</c:v>
                </c:pt>
                <c:pt idx="3">
                  <c:v>2855</c:v>
                </c:pt>
                <c:pt idx="4">
                  <c:v>2840</c:v>
                </c:pt>
                <c:pt idx="5">
                  <c:v>2826</c:v>
                </c:pt>
                <c:pt idx="6">
                  <c:v>2810</c:v>
                </c:pt>
                <c:pt idx="7">
                  <c:v>2796</c:v>
                </c:pt>
                <c:pt idx="8">
                  <c:v>2783</c:v>
                </c:pt>
                <c:pt idx="9">
                  <c:v>2766</c:v>
                </c:pt>
                <c:pt idx="10">
                  <c:v>2753</c:v>
                </c:pt>
                <c:pt idx="11">
                  <c:v>2739</c:v>
                </c:pt>
                <c:pt idx="12">
                  <c:v>2724</c:v>
                </c:pt>
                <c:pt idx="13">
                  <c:v>2708</c:v>
                </c:pt>
                <c:pt idx="14">
                  <c:v>2696</c:v>
                </c:pt>
                <c:pt idx="15">
                  <c:v>2681</c:v>
                </c:pt>
                <c:pt idx="16">
                  <c:v>2665</c:v>
                </c:pt>
                <c:pt idx="17">
                  <c:v>2650</c:v>
                </c:pt>
                <c:pt idx="18">
                  <c:v>2636</c:v>
                </c:pt>
                <c:pt idx="19">
                  <c:v>2625</c:v>
                </c:pt>
                <c:pt idx="20">
                  <c:v>2606</c:v>
                </c:pt>
                <c:pt idx="21">
                  <c:v>2587</c:v>
                </c:pt>
                <c:pt idx="22">
                  <c:v>2581</c:v>
                </c:pt>
                <c:pt idx="23">
                  <c:v>2567</c:v>
                </c:pt>
                <c:pt idx="24">
                  <c:v>2550</c:v>
                </c:pt>
                <c:pt idx="25">
                  <c:v>2538</c:v>
                </c:pt>
                <c:pt idx="26">
                  <c:v>2521</c:v>
                </c:pt>
                <c:pt idx="27">
                  <c:v>2512</c:v>
                </c:pt>
                <c:pt idx="28">
                  <c:v>2493</c:v>
                </c:pt>
                <c:pt idx="29">
                  <c:v>2478</c:v>
                </c:pt>
                <c:pt idx="30">
                  <c:v>2467</c:v>
                </c:pt>
                <c:pt idx="31">
                  <c:v>2444</c:v>
                </c:pt>
                <c:pt idx="32">
                  <c:v>2426</c:v>
                </c:pt>
                <c:pt idx="33">
                  <c:v>2431</c:v>
                </c:pt>
                <c:pt idx="34">
                  <c:v>2412</c:v>
                </c:pt>
                <c:pt idx="35">
                  <c:v>2383</c:v>
                </c:pt>
                <c:pt idx="36">
                  <c:v>2361</c:v>
                </c:pt>
                <c:pt idx="37">
                  <c:v>2343</c:v>
                </c:pt>
                <c:pt idx="38">
                  <c:v>2306</c:v>
                </c:pt>
                <c:pt idx="39">
                  <c:v>2277</c:v>
                </c:pt>
                <c:pt idx="40">
                  <c:v>2285</c:v>
                </c:pt>
                <c:pt idx="41">
                  <c:v>2254</c:v>
                </c:pt>
                <c:pt idx="42">
                  <c:v>2205</c:v>
                </c:pt>
                <c:pt idx="43">
                  <c:v>2167</c:v>
                </c:pt>
                <c:pt idx="44">
                  <c:v>2177</c:v>
                </c:pt>
                <c:pt idx="45">
                  <c:v>2134</c:v>
                </c:pt>
                <c:pt idx="46">
                  <c:v>2068</c:v>
                </c:pt>
                <c:pt idx="47">
                  <c:v>2014</c:v>
                </c:pt>
                <c:pt idx="48">
                  <c:v>2027</c:v>
                </c:pt>
                <c:pt idx="49">
                  <c:v>1966</c:v>
                </c:pt>
                <c:pt idx="50">
                  <c:v>1938</c:v>
                </c:pt>
                <c:pt idx="51">
                  <c:v>1869</c:v>
                </c:pt>
                <c:pt idx="52">
                  <c:v>1789</c:v>
                </c:pt>
                <c:pt idx="53">
                  <c:v>1805</c:v>
                </c:pt>
                <c:pt idx="54">
                  <c:v>1711</c:v>
                </c:pt>
                <c:pt idx="55">
                  <c:v>1671</c:v>
                </c:pt>
                <c:pt idx="56">
                  <c:v>1561</c:v>
                </c:pt>
                <c:pt idx="57">
                  <c:v>1451</c:v>
                </c:pt>
                <c:pt idx="58">
                  <c:v>1289</c:v>
                </c:pt>
                <c:pt idx="59">
                  <c:v>1218</c:v>
                </c:pt>
                <c:pt idx="60">
                  <c:v>1020</c:v>
                </c:pt>
                <c:pt idx="61">
                  <c:v>1045</c:v>
                </c:pt>
                <c:pt idx="62">
                  <c:v>789.2</c:v>
                </c:pt>
                <c:pt idx="63">
                  <c:v>455.6</c:v>
                </c:pt>
                <c:pt idx="64">
                  <c:v>291.7</c:v>
                </c:pt>
                <c:pt idx="65">
                  <c:v>-131.80000000000001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Resumo!$AB$5:$AE$5</c:f>
              <c:strCache>
                <c:ptCount val="1"/>
                <c:pt idx="0">
                  <c:v>MALHA GROSSA</c:v>
                </c:pt>
              </c:strCache>
            </c:strRef>
          </c:tx>
          <c:marker>
            <c:symbol val="none"/>
          </c:marker>
          <c:xVal>
            <c:numRef>
              <c:f>Resumo!$AD$7:$AD$8</c:f>
              <c:numCache>
                <c:formatCode>#,##0</c:formatCode>
                <c:ptCount val="2"/>
                <c:pt idx="0">
                  <c:v>759</c:v>
                </c:pt>
                <c:pt idx="1">
                  <c:v>759</c:v>
                </c:pt>
              </c:numCache>
            </c:numRef>
          </c:xVal>
          <c:yVal>
            <c:numRef>
              <c:f>Resumo!$AE$7:$AE$8</c:f>
              <c:numCache>
                <c:formatCode>0.0</c:formatCode>
                <c:ptCount val="2"/>
                <c:pt idx="0">
                  <c:v>-8525</c:v>
                </c:pt>
                <c:pt idx="1">
                  <c:v>14530</c:v>
                </c:pt>
              </c:numCache>
            </c:numRef>
          </c:yVal>
          <c:smooth val="1"/>
        </c:ser>
        <c:ser>
          <c:idx val="2"/>
          <c:order val="2"/>
          <c:tx>
            <c:strRef>
              <c:f>Resumo!$AB$11:$AE$11</c:f>
              <c:strCache>
                <c:ptCount val="1"/>
                <c:pt idx="0">
                  <c:v>MALHA FINA</c:v>
                </c:pt>
              </c:strCache>
            </c:strRef>
          </c:tx>
          <c:marker>
            <c:symbol val="none"/>
          </c:marker>
          <c:xVal>
            <c:numRef>
              <c:f>Resumo!$AD$13:$AD$14</c:f>
              <c:numCache>
                <c:formatCode>#,##0</c:formatCode>
                <c:ptCount val="2"/>
                <c:pt idx="0">
                  <c:v>2772</c:v>
                </c:pt>
                <c:pt idx="1">
                  <c:v>2772</c:v>
                </c:pt>
              </c:numCache>
            </c:numRef>
          </c:xVal>
          <c:yVal>
            <c:numRef>
              <c:f>Resumo!$AE$13:$AE$14</c:f>
              <c:numCache>
                <c:formatCode>0.0</c:formatCode>
                <c:ptCount val="2"/>
                <c:pt idx="0">
                  <c:v>-8525</c:v>
                </c:pt>
                <c:pt idx="1">
                  <c:v>14530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41705744"/>
        <c:axId val="741706304"/>
      </c:scatterChart>
      <c:valAx>
        <c:axId val="741705744"/>
        <c:scaling>
          <c:orientation val="minMax"/>
          <c:max val="43750"/>
          <c:min val="0"/>
        </c:scaling>
        <c:delete val="0"/>
        <c:axPos val="t"/>
        <c:majorGridlines>
          <c:spPr>
            <a:ln>
              <a:noFill/>
            </a:ln>
          </c:spPr>
        </c:majorGridlines>
        <c:numFmt formatCode="0E+0" sourceLinked="0"/>
        <c:majorTickMark val="out"/>
        <c:minorTickMark val="none"/>
        <c:tickLblPos val="nextTo"/>
        <c:crossAx val="741706304"/>
        <c:crosses val="max"/>
        <c:crossBetween val="midCat"/>
      </c:valAx>
      <c:valAx>
        <c:axId val="741706304"/>
        <c:scaling>
          <c:orientation val="minMax"/>
          <c:max val="3000"/>
          <c:min val="-150"/>
        </c:scaling>
        <c:delete val="0"/>
        <c:axPos val="l"/>
        <c:majorGridlines>
          <c:spPr>
            <a:ln>
              <a:noFill/>
            </a:ln>
          </c:spPr>
        </c:majorGridlines>
        <c:numFmt formatCode="0.0E+0" sourceLinked="0"/>
        <c:majorTickMark val="out"/>
        <c:minorTickMark val="none"/>
        <c:tickLblPos val="nextTo"/>
        <c:crossAx val="7417057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Resumo!$E$4</c:f>
              <c:strCache>
                <c:ptCount val="1"/>
                <c:pt idx="0">
                  <c:v> MIN MX</c:v>
                </c:pt>
              </c:strCache>
            </c:strRef>
          </c:tx>
          <c:spPr>
            <a:ln>
              <a:solidFill>
                <a:srgbClr val="00B0F0"/>
              </a:solidFill>
            </a:ln>
          </c:spPr>
          <c:marker>
            <c:symbol val="circle"/>
            <c:size val="10"/>
            <c:spPr>
              <a:solidFill>
                <a:schemeClr val="tx2">
                  <a:lumMod val="20000"/>
                  <a:lumOff val="80000"/>
                  <a:alpha val="75000"/>
                </a:schemeClr>
              </a:solidFill>
              <a:ln>
                <a:solidFill>
                  <a:srgbClr val="0000FF"/>
                </a:solidFill>
              </a:ln>
            </c:spPr>
          </c:marker>
          <c:xVal>
            <c:numRef>
              <c:f>Resumo!$B$5:$B$933</c:f>
              <c:numCache>
                <c:formatCode>0.000</c:formatCode>
                <c:ptCount val="929"/>
                <c:pt idx="0">
                  <c:v>0.02</c:v>
                </c:pt>
                <c:pt idx="1">
                  <c:v>2.5000000000000001E-2</c:v>
                </c:pt>
                <c:pt idx="2">
                  <c:v>0.03</c:v>
                </c:pt>
                <c:pt idx="3">
                  <c:v>3.5000000000000003E-2</c:v>
                </c:pt>
                <c:pt idx="4">
                  <c:v>0.04</c:v>
                </c:pt>
                <c:pt idx="5">
                  <c:v>4.4999999999999998E-2</c:v>
                </c:pt>
                <c:pt idx="6">
                  <c:v>0.05</c:v>
                </c:pt>
                <c:pt idx="7">
                  <c:v>5.5E-2</c:v>
                </c:pt>
                <c:pt idx="8">
                  <c:v>0.06</c:v>
                </c:pt>
                <c:pt idx="9">
                  <c:v>6.5000000000000002E-2</c:v>
                </c:pt>
                <c:pt idx="10">
                  <c:v>7.0000000000000007E-2</c:v>
                </c:pt>
                <c:pt idx="11">
                  <c:v>7.4999999999999997E-2</c:v>
                </c:pt>
                <c:pt idx="12">
                  <c:v>0.08</c:v>
                </c:pt>
                <c:pt idx="13">
                  <c:v>8.5000000000000006E-2</c:v>
                </c:pt>
                <c:pt idx="14">
                  <c:v>0.09</c:v>
                </c:pt>
                <c:pt idx="15">
                  <c:v>9.5000000000000001E-2</c:v>
                </c:pt>
                <c:pt idx="16">
                  <c:v>0.1</c:v>
                </c:pt>
                <c:pt idx="17">
                  <c:v>0.105</c:v>
                </c:pt>
                <c:pt idx="18">
                  <c:v>0.11</c:v>
                </c:pt>
                <c:pt idx="19">
                  <c:v>0.115</c:v>
                </c:pt>
                <c:pt idx="20">
                  <c:v>0.12</c:v>
                </c:pt>
                <c:pt idx="21">
                  <c:v>0.125</c:v>
                </c:pt>
                <c:pt idx="22">
                  <c:v>0.13</c:v>
                </c:pt>
                <c:pt idx="23">
                  <c:v>0.13500000000000001</c:v>
                </c:pt>
                <c:pt idx="24">
                  <c:v>0.14000000000000001</c:v>
                </c:pt>
                <c:pt idx="25">
                  <c:v>0.14499999999999999</c:v>
                </c:pt>
                <c:pt idx="26">
                  <c:v>0.15</c:v>
                </c:pt>
                <c:pt idx="27">
                  <c:v>0.155</c:v>
                </c:pt>
                <c:pt idx="28">
                  <c:v>0.16</c:v>
                </c:pt>
                <c:pt idx="29">
                  <c:v>0.16500000000000001</c:v>
                </c:pt>
                <c:pt idx="30">
                  <c:v>0.17</c:v>
                </c:pt>
                <c:pt idx="31">
                  <c:v>0.17499999999999999</c:v>
                </c:pt>
                <c:pt idx="32">
                  <c:v>0.18</c:v>
                </c:pt>
                <c:pt idx="33">
                  <c:v>0.185</c:v>
                </c:pt>
                <c:pt idx="34">
                  <c:v>0.19</c:v>
                </c:pt>
                <c:pt idx="35">
                  <c:v>0.19500000000000001</c:v>
                </c:pt>
                <c:pt idx="36">
                  <c:v>0.2</c:v>
                </c:pt>
                <c:pt idx="37">
                  <c:v>0.21</c:v>
                </c:pt>
                <c:pt idx="38">
                  <c:v>0.22</c:v>
                </c:pt>
                <c:pt idx="39" formatCode="General">
                  <c:v>0.23</c:v>
                </c:pt>
                <c:pt idx="40" formatCode="General">
                  <c:v>0.23499999999999999</c:v>
                </c:pt>
                <c:pt idx="41" formatCode="General">
                  <c:v>0.24</c:v>
                </c:pt>
                <c:pt idx="42" formatCode="General">
                  <c:v>0.25</c:v>
                </c:pt>
                <c:pt idx="43" formatCode="General">
                  <c:v>0.26500000000000001</c:v>
                </c:pt>
                <c:pt idx="44" formatCode="General">
                  <c:v>0.27</c:v>
                </c:pt>
                <c:pt idx="45" formatCode="General">
                  <c:v>0.28000000000000003</c:v>
                </c:pt>
                <c:pt idx="46" formatCode="General">
                  <c:v>0.29499999999999998</c:v>
                </c:pt>
                <c:pt idx="47" formatCode="General">
                  <c:v>0.315</c:v>
                </c:pt>
                <c:pt idx="48" formatCode="General">
                  <c:v>0.32</c:v>
                </c:pt>
                <c:pt idx="49" formatCode="General">
                  <c:v>0.33500000000000002</c:v>
                </c:pt>
                <c:pt idx="50" formatCode="General">
                  <c:v>0.35</c:v>
                </c:pt>
                <c:pt idx="51" formatCode="General">
                  <c:v>0.36</c:v>
                </c:pt>
                <c:pt idx="52" formatCode="General">
                  <c:v>0.38500000000000001</c:v>
                </c:pt>
                <c:pt idx="53" formatCode="General">
                  <c:v>0.39</c:v>
                </c:pt>
                <c:pt idx="54" formatCode="General">
                  <c:v>0.42</c:v>
                </c:pt>
                <c:pt idx="55" formatCode="General">
                  <c:v>0.44</c:v>
                </c:pt>
                <c:pt idx="56" formatCode="General">
                  <c:v>0.45500000000000002</c:v>
                </c:pt>
                <c:pt idx="57" formatCode="General">
                  <c:v>0.5</c:v>
                </c:pt>
                <c:pt idx="58" formatCode="General">
                  <c:v>0.56000000000000005</c:v>
                </c:pt>
                <c:pt idx="59" formatCode="General">
                  <c:v>0.58499999999999996</c:v>
                </c:pt>
                <c:pt idx="60" formatCode="General">
                  <c:v>0.625</c:v>
                </c:pt>
                <c:pt idx="61" formatCode="General">
                  <c:v>0.7</c:v>
                </c:pt>
                <c:pt idx="62" formatCode="General">
                  <c:v>0.71499999999999997</c:v>
                </c:pt>
                <c:pt idx="63" formatCode="General">
                  <c:v>0.83499999999999996</c:v>
                </c:pt>
                <c:pt idx="64" formatCode="General">
                  <c:v>0.875</c:v>
                </c:pt>
                <c:pt idx="65" formatCode="General">
                  <c:v>1</c:v>
                </c:pt>
              </c:numCache>
            </c:numRef>
          </c:xVal>
          <c:yVal>
            <c:numRef>
              <c:f>Resumo!$E$5:$E$933</c:f>
              <c:numCache>
                <c:formatCode>0.000E+00</c:formatCode>
                <c:ptCount val="929"/>
                <c:pt idx="0">
                  <c:v>-8525</c:v>
                </c:pt>
                <c:pt idx="1">
                  <c:v>-8524</c:v>
                </c:pt>
                <c:pt idx="2">
                  <c:v>-8523</c:v>
                </c:pt>
                <c:pt idx="3">
                  <c:v>-8522</c:v>
                </c:pt>
                <c:pt idx="4">
                  <c:v>-8520</c:v>
                </c:pt>
                <c:pt idx="5">
                  <c:v>-8518</c:v>
                </c:pt>
                <c:pt idx="6">
                  <c:v>-8516</c:v>
                </c:pt>
                <c:pt idx="7">
                  <c:v>-8514</c:v>
                </c:pt>
                <c:pt idx="8">
                  <c:v>-8515</c:v>
                </c:pt>
                <c:pt idx="9">
                  <c:v>-8511</c:v>
                </c:pt>
                <c:pt idx="10">
                  <c:v>-8509</c:v>
                </c:pt>
                <c:pt idx="11">
                  <c:v>-8510</c:v>
                </c:pt>
                <c:pt idx="12">
                  <c:v>-8505</c:v>
                </c:pt>
                <c:pt idx="13">
                  <c:v>-8501</c:v>
                </c:pt>
                <c:pt idx="14">
                  <c:v>-8505</c:v>
                </c:pt>
                <c:pt idx="15">
                  <c:v>-8502</c:v>
                </c:pt>
                <c:pt idx="16">
                  <c:v>-8497</c:v>
                </c:pt>
                <c:pt idx="17">
                  <c:v>-8490</c:v>
                </c:pt>
                <c:pt idx="18">
                  <c:v>-8489</c:v>
                </c:pt>
                <c:pt idx="19">
                  <c:v>-8495</c:v>
                </c:pt>
                <c:pt idx="20">
                  <c:v>-8487</c:v>
                </c:pt>
                <c:pt idx="21">
                  <c:v>-8483</c:v>
                </c:pt>
                <c:pt idx="22">
                  <c:v>-8486</c:v>
                </c:pt>
                <c:pt idx="23">
                  <c:v>-8479</c:v>
                </c:pt>
                <c:pt idx="24">
                  <c:v>-8484</c:v>
                </c:pt>
                <c:pt idx="25">
                  <c:v>-8486</c:v>
                </c:pt>
                <c:pt idx="26">
                  <c:v>-8466</c:v>
                </c:pt>
                <c:pt idx="27">
                  <c:v>-8483</c:v>
                </c:pt>
                <c:pt idx="28">
                  <c:v>-8459</c:v>
                </c:pt>
                <c:pt idx="29">
                  <c:v>-8466</c:v>
                </c:pt>
                <c:pt idx="30">
                  <c:v>-8474</c:v>
                </c:pt>
                <c:pt idx="31">
                  <c:v>-8458</c:v>
                </c:pt>
                <c:pt idx="32">
                  <c:v>-8457</c:v>
                </c:pt>
                <c:pt idx="33">
                  <c:v>-8473</c:v>
                </c:pt>
                <c:pt idx="34">
                  <c:v>-8466</c:v>
                </c:pt>
                <c:pt idx="35">
                  <c:v>-8451</c:v>
                </c:pt>
                <c:pt idx="36">
                  <c:v>-8434</c:v>
                </c:pt>
                <c:pt idx="37">
                  <c:v>-8468</c:v>
                </c:pt>
                <c:pt idx="38">
                  <c:v>-8428</c:v>
                </c:pt>
                <c:pt idx="39">
                  <c:v>-8436</c:v>
                </c:pt>
                <c:pt idx="40">
                  <c:v>-8462</c:v>
                </c:pt>
                <c:pt idx="41">
                  <c:v>-8455</c:v>
                </c:pt>
                <c:pt idx="42">
                  <c:v>-8417</c:v>
                </c:pt>
                <c:pt idx="43">
                  <c:v>-8422</c:v>
                </c:pt>
                <c:pt idx="44">
                  <c:v>-8456</c:v>
                </c:pt>
                <c:pt idx="45">
                  <c:v>-8432</c:v>
                </c:pt>
                <c:pt idx="46">
                  <c:v>-8407</c:v>
                </c:pt>
                <c:pt idx="47">
                  <c:v>-8367</c:v>
                </c:pt>
                <c:pt idx="48">
                  <c:v>-8415</c:v>
                </c:pt>
                <c:pt idx="49">
                  <c:v>-8446</c:v>
                </c:pt>
                <c:pt idx="50">
                  <c:v>-8382</c:v>
                </c:pt>
                <c:pt idx="51">
                  <c:v>-8354</c:v>
                </c:pt>
                <c:pt idx="52">
                  <c:v>-8361</c:v>
                </c:pt>
                <c:pt idx="53">
                  <c:v>-8432</c:v>
                </c:pt>
                <c:pt idx="54">
                  <c:v>-8424</c:v>
                </c:pt>
                <c:pt idx="55">
                  <c:v>-8326</c:v>
                </c:pt>
                <c:pt idx="56">
                  <c:v>-8290</c:v>
                </c:pt>
                <c:pt idx="57">
                  <c:v>-8437</c:v>
                </c:pt>
                <c:pt idx="58">
                  <c:v>-8306</c:v>
                </c:pt>
                <c:pt idx="59">
                  <c:v>-8132</c:v>
                </c:pt>
                <c:pt idx="60">
                  <c:v>-8232</c:v>
                </c:pt>
                <c:pt idx="61">
                  <c:v>-8464</c:v>
                </c:pt>
                <c:pt idx="62">
                  <c:v>-8285</c:v>
                </c:pt>
                <c:pt idx="63">
                  <c:v>-8372</c:v>
                </c:pt>
                <c:pt idx="64">
                  <c:v>-7956</c:v>
                </c:pt>
                <c:pt idx="65">
                  <c:v>-7769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Resumo!$AB$5:$AE$5</c:f>
              <c:strCache>
                <c:ptCount val="1"/>
                <c:pt idx="0">
                  <c:v>MALHA GROSSA</c:v>
                </c:pt>
              </c:strCache>
            </c:strRef>
          </c:tx>
          <c:marker>
            <c:symbol val="none"/>
          </c:marker>
          <c:xVal>
            <c:numRef>
              <c:f>Resumo!$AC$7:$AC$8</c:f>
              <c:numCache>
                <c:formatCode>0.000</c:formatCode>
                <c:ptCount val="2"/>
                <c:pt idx="0">
                  <c:v>0.155</c:v>
                </c:pt>
                <c:pt idx="1">
                  <c:v>0.155</c:v>
                </c:pt>
              </c:numCache>
            </c:numRef>
          </c:xVal>
          <c:yVal>
            <c:numRef>
              <c:f>Resumo!$AE$7:$AE$8</c:f>
              <c:numCache>
                <c:formatCode>0.0</c:formatCode>
                <c:ptCount val="2"/>
                <c:pt idx="0">
                  <c:v>-8525</c:v>
                </c:pt>
                <c:pt idx="1">
                  <c:v>14530</c:v>
                </c:pt>
              </c:numCache>
            </c:numRef>
          </c:yVal>
          <c:smooth val="1"/>
        </c:ser>
        <c:ser>
          <c:idx val="2"/>
          <c:order val="2"/>
          <c:tx>
            <c:strRef>
              <c:f>Resumo!$AB$11:$AE$11</c:f>
              <c:strCache>
                <c:ptCount val="1"/>
                <c:pt idx="0">
                  <c:v>MALHA FINA</c:v>
                </c:pt>
              </c:strCache>
            </c:strRef>
          </c:tx>
          <c:marker>
            <c:symbol val="none"/>
          </c:marker>
          <c:xVal>
            <c:numRef>
              <c:f>Resumo!$AC$13:$AC$14</c:f>
              <c:numCache>
                <c:formatCode>0.000</c:formatCode>
                <c:ptCount val="2"/>
                <c:pt idx="0">
                  <c:v>0.08</c:v>
                </c:pt>
                <c:pt idx="1">
                  <c:v>0.08</c:v>
                </c:pt>
              </c:numCache>
            </c:numRef>
          </c:xVal>
          <c:yVal>
            <c:numRef>
              <c:f>Resumo!$AE$13:$AE$14</c:f>
              <c:numCache>
                <c:formatCode>0.0</c:formatCode>
                <c:ptCount val="2"/>
                <c:pt idx="0">
                  <c:v>-8525</c:v>
                </c:pt>
                <c:pt idx="1">
                  <c:v>14530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41710224"/>
        <c:axId val="741710784"/>
      </c:scatterChart>
      <c:valAx>
        <c:axId val="741710224"/>
        <c:scaling>
          <c:orientation val="minMax"/>
          <c:max val="1"/>
          <c:min val="0"/>
        </c:scaling>
        <c:delete val="0"/>
        <c:axPos val="t"/>
        <c:majorGridlines>
          <c:spPr>
            <a:ln>
              <a:noFill/>
            </a:ln>
          </c:spPr>
        </c:majorGridlines>
        <c:numFmt formatCode="#,##0.00" sourceLinked="0"/>
        <c:majorTickMark val="out"/>
        <c:minorTickMark val="none"/>
        <c:tickLblPos val="nextTo"/>
        <c:crossAx val="741710784"/>
        <c:crosses val="max"/>
        <c:crossBetween val="midCat"/>
      </c:valAx>
      <c:valAx>
        <c:axId val="741710784"/>
        <c:scaling>
          <c:orientation val="minMax"/>
          <c:max val="-7700"/>
          <c:min val="-8600"/>
        </c:scaling>
        <c:delete val="0"/>
        <c:axPos val="l"/>
        <c:majorGridlines>
          <c:spPr>
            <a:ln>
              <a:noFill/>
            </a:ln>
          </c:spPr>
        </c:majorGridlines>
        <c:numFmt formatCode="0.0E+0" sourceLinked="0"/>
        <c:majorTickMark val="out"/>
        <c:minorTickMark val="none"/>
        <c:tickLblPos val="nextTo"/>
        <c:crossAx val="7417102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Resumo!$E$4</c:f>
              <c:strCache>
                <c:ptCount val="1"/>
                <c:pt idx="0">
                  <c:v> MIN MX</c:v>
                </c:pt>
              </c:strCache>
            </c:strRef>
          </c:tx>
          <c:spPr>
            <a:ln>
              <a:solidFill>
                <a:srgbClr val="00B0F0"/>
              </a:solidFill>
            </a:ln>
          </c:spPr>
          <c:marker>
            <c:symbol val="circle"/>
            <c:size val="10"/>
            <c:spPr>
              <a:solidFill>
                <a:schemeClr val="tx2">
                  <a:lumMod val="20000"/>
                  <a:lumOff val="80000"/>
                  <a:alpha val="75000"/>
                </a:schemeClr>
              </a:solidFill>
              <a:ln>
                <a:solidFill>
                  <a:srgbClr val="0000FF"/>
                </a:solidFill>
              </a:ln>
            </c:spPr>
          </c:marker>
          <c:xVal>
            <c:numRef>
              <c:f>Resumo!$C$5:$C$933</c:f>
              <c:numCache>
                <c:formatCode>#,##0</c:formatCode>
                <c:ptCount val="929"/>
                <c:pt idx="0">
                  <c:v>43750</c:v>
                </c:pt>
                <c:pt idx="1">
                  <c:v>28000</c:v>
                </c:pt>
                <c:pt idx="2">
                  <c:v>19539</c:v>
                </c:pt>
                <c:pt idx="3">
                  <c:v>14300</c:v>
                </c:pt>
                <c:pt idx="4">
                  <c:v>11000</c:v>
                </c:pt>
                <c:pt idx="5">
                  <c:v>8736</c:v>
                </c:pt>
                <c:pt idx="6">
                  <c:v>7000</c:v>
                </c:pt>
                <c:pt idx="7">
                  <c:v>5824</c:v>
                </c:pt>
                <c:pt idx="8">
                  <c:v>4956</c:v>
                </c:pt>
                <c:pt idx="9">
                  <c:v>4158</c:v>
                </c:pt>
                <c:pt idx="10">
                  <c:v>3600</c:v>
                </c:pt>
                <c:pt idx="11">
                  <c:v>3149</c:v>
                </c:pt>
                <c:pt idx="12">
                  <c:v>2772</c:v>
                </c:pt>
                <c:pt idx="13">
                  <c:v>2478</c:v>
                </c:pt>
                <c:pt idx="14">
                  <c:v>2184</c:v>
                </c:pt>
                <c:pt idx="15">
                  <c:v>1961</c:v>
                </c:pt>
                <c:pt idx="16">
                  <c:v>1750</c:v>
                </c:pt>
                <c:pt idx="17">
                  <c:v>1632</c:v>
                </c:pt>
                <c:pt idx="18">
                  <c:v>1472</c:v>
                </c:pt>
                <c:pt idx="19">
                  <c:v>1364</c:v>
                </c:pt>
                <c:pt idx="20">
                  <c:v>1260</c:v>
                </c:pt>
                <c:pt idx="21">
                  <c:v>1120</c:v>
                </c:pt>
                <c:pt idx="22">
                  <c:v>1053</c:v>
                </c:pt>
                <c:pt idx="23">
                  <c:v>988</c:v>
                </c:pt>
                <c:pt idx="24">
                  <c:v>900</c:v>
                </c:pt>
                <c:pt idx="25">
                  <c:v>875</c:v>
                </c:pt>
                <c:pt idx="26">
                  <c:v>816</c:v>
                </c:pt>
                <c:pt idx="27">
                  <c:v>759</c:v>
                </c:pt>
                <c:pt idx="28">
                  <c:v>704</c:v>
                </c:pt>
                <c:pt idx="29">
                  <c:v>682</c:v>
                </c:pt>
                <c:pt idx="30">
                  <c:v>630</c:v>
                </c:pt>
                <c:pt idx="31">
                  <c:v>580</c:v>
                </c:pt>
                <c:pt idx="32">
                  <c:v>560</c:v>
                </c:pt>
                <c:pt idx="33">
                  <c:v>532</c:v>
                </c:pt>
                <c:pt idx="34">
                  <c:v>513</c:v>
                </c:pt>
                <c:pt idx="35">
                  <c:v>468</c:v>
                </c:pt>
                <c:pt idx="36">
                  <c:v>450</c:v>
                </c:pt>
                <c:pt idx="37">
                  <c:v>408</c:v>
                </c:pt>
                <c:pt idx="38">
                  <c:v>368</c:v>
                </c:pt>
                <c:pt idx="39" formatCode="General">
                  <c:v>352</c:v>
                </c:pt>
                <c:pt idx="40" formatCode="General">
                  <c:v>330</c:v>
                </c:pt>
                <c:pt idx="41" formatCode="General">
                  <c:v>315</c:v>
                </c:pt>
                <c:pt idx="42" formatCode="General">
                  <c:v>280</c:v>
                </c:pt>
                <c:pt idx="43" formatCode="General">
                  <c:v>266</c:v>
                </c:pt>
                <c:pt idx="44" formatCode="General">
                  <c:v>247</c:v>
                </c:pt>
                <c:pt idx="45" formatCode="General">
                  <c:v>234</c:v>
                </c:pt>
                <c:pt idx="46" formatCode="General">
                  <c:v>204</c:v>
                </c:pt>
                <c:pt idx="47" formatCode="General">
                  <c:v>192</c:v>
                </c:pt>
                <c:pt idx="48" formatCode="General">
                  <c:v>176</c:v>
                </c:pt>
                <c:pt idx="49" formatCode="General">
                  <c:v>165</c:v>
                </c:pt>
                <c:pt idx="50" formatCode="General">
                  <c:v>150</c:v>
                </c:pt>
                <c:pt idx="51" formatCode="General">
                  <c:v>140</c:v>
                </c:pt>
                <c:pt idx="52" formatCode="General">
                  <c:v>130</c:v>
                </c:pt>
                <c:pt idx="53" formatCode="General">
                  <c:v>117</c:v>
                </c:pt>
                <c:pt idx="54" formatCode="General">
                  <c:v>108</c:v>
                </c:pt>
                <c:pt idx="55" formatCode="General">
                  <c:v>96</c:v>
                </c:pt>
                <c:pt idx="56" formatCode="General">
                  <c:v>88</c:v>
                </c:pt>
                <c:pt idx="57" formatCode="General">
                  <c:v>70</c:v>
                </c:pt>
                <c:pt idx="58" formatCode="General">
                  <c:v>63</c:v>
                </c:pt>
                <c:pt idx="59" formatCode="General">
                  <c:v>54</c:v>
                </c:pt>
                <c:pt idx="60" formatCode="General">
                  <c:v>48</c:v>
                </c:pt>
                <c:pt idx="61" formatCode="General">
                  <c:v>40</c:v>
                </c:pt>
                <c:pt idx="62" formatCode="General">
                  <c:v>35</c:v>
                </c:pt>
                <c:pt idx="63" formatCode="General">
                  <c:v>30</c:v>
                </c:pt>
                <c:pt idx="64" formatCode="General">
                  <c:v>24</c:v>
                </c:pt>
                <c:pt idx="65" formatCode="General">
                  <c:v>20</c:v>
                </c:pt>
              </c:numCache>
            </c:numRef>
          </c:xVal>
          <c:yVal>
            <c:numRef>
              <c:f>Resumo!$E$5:$E$933</c:f>
              <c:numCache>
                <c:formatCode>0.000E+00</c:formatCode>
                <c:ptCount val="929"/>
                <c:pt idx="0">
                  <c:v>-8525</c:v>
                </c:pt>
                <c:pt idx="1">
                  <c:v>-8524</c:v>
                </c:pt>
                <c:pt idx="2">
                  <c:v>-8523</c:v>
                </c:pt>
                <c:pt idx="3">
                  <c:v>-8522</c:v>
                </c:pt>
                <c:pt idx="4">
                  <c:v>-8520</c:v>
                </c:pt>
                <c:pt idx="5">
                  <c:v>-8518</c:v>
                </c:pt>
                <c:pt idx="6">
                  <c:v>-8516</c:v>
                </c:pt>
                <c:pt idx="7">
                  <c:v>-8514</c:v>
                </c:pt>
                <c:pt idx="8">
                  <c:v>-8515</c:v>
                </c:pt>
                <c:pt idx="9">
                  <c:v>-8511</c:v>
                </c:pt>
                <c:pt idx="10">
                  <c:v>-8509</c:v>
                </c:pt>
                <c:pt idx="11">
                  <c:v>-8510</c:v>
                </c:pt>
                <c:pt idx="12">
                  <c:v>-8505</c:v>
                </c:pt>
                <c:pt idx="13">
                  <c:v>-8501</c:v>
                </c:pt>
                <c:pt idx="14">
                  <c:v>-8505</c:v>
                </c:pt>
                <c:pt idx="15">
                  <c:v>-8502</c:v>
                </c:pt>
                <c:pt idx="16">
                  <c:v>-8497</c:v>
                </c:pt>
                <c:pt idx="17">
                  <c:v>-8490</c:v>
                </c:pt>
                <c:pt idx="18">
                  <c:v>-8489</c:v>
                </c:pt>
                <c:pt idx="19">
                  <c:v>-8495</c:v>
                </c:pt>
                <c:pt idx="20">
                  <c:v>-8487</c:v>
                </c:pt>
                <c:pt idx="21">
                  <c:v>-8483</c:v>
                </c:pt>
                <c:pt idx="22">
                  <c:v>-8486</c:v>
                </c:pt>
                <c:pt idx="23">
                  <c:v>-8479</c:v>
                </c:pt>
                <c:pt idx="24">
                  <c:v>-8484</c:v>
                </c:pt>
                <c:pt idx="25">
                  <c:v>-8486</c:v>
                </c:pt>
                <c:pt idx="26">
                  <c:v>-8466</c:v>
                </c:pt>
                <c:pt idx="27">
                  <c:v>-8483</c:v>
                </c:pt>
                <c:pt idx="28">
                  <c:v>-8459</c:v>
                </c:pt>
                <c:pt idx="29">
                  <c:v>-8466</c:v>
                </c:pt>
                <c:pt idx="30">
                  <c:v>-8474</c:v>
                </c:pt>
                <c:pt idx="31">
                  <c:v>-8458</c:v>
                </c:pt>
                <c:pt idx="32">
                  <c:v>-8457</c:v>
                </c:pt>
                <c:pt idx="33">
                  <c:v>-8473</c:v>
                </c:pt>
                <c:pt idx="34">
                  <c:v>-8466</c:v>
                </c:pt>
                <c:pt idx="35">
                  <c:v>-8451</c:v>
                </c:pt>
                <c:pt idx="36">
                  <c:v>-8434</c:v>
                </c:pt>
                <c:pt idx="37">
                  <c:v>-8468</c:v>
                </c:pt>
                <c:pt idx="38">
                  <c:v>-8428</c:v>
                </c:pt>
                <c:pt idx="39">
                  <c:v>-8436</c:v>
                </c:pt>
                <c:pt idx="40">
                  <c:v>-8462</c:v>
                </c:pt>
                <c:pt idx="41">
                  <c:v>-8455</c:v>
                </c:pt>
                <c:pt idx="42">
                  <c:v>-8417</c:v>
                </c:pt>
                <c:pt idx="43">
                  <c:v>-8422</c:v>
                </c:pt>
                <c:pt idx="44">
                  <c:v>-8456</c:v>
                </c:pt>
                <c:pt idx="45">
                  <c:v>-8432</c:v>
                </c:pt>
                <c:pt idx="46">
                  <c:v>-8407</c:v>
                </c:pt>
                <c:pt idx="47">
                  <c:v>-8367</c:v>
                </c:pt>
                <c:pt idx="48">
                  <c:v>-8415</c:v>
                </c:pt>
                <c:pt idx="49">
                  <c:v>-8446</c:v>
                </c:pt>
                <c:pt idx="50">
                  <c:v>-8382</c:v>
                </c:pt>
                <c:pt idx="51">
                  <c:v>-8354</c:v>
                </c:pt>
                <c:pt idx="52">
                  <c:v>-8361</c:v>
                </c:pt>
                <c:pt idx="53">
                  <c:v>-8432</c:v>
                </c:pt>
                <c:pt idx="54">
                  <c:v>-8424</c:v>
                </c:pt>
                <c:pt idx="55">
                  <c:v>-8326</c:v>
                </c:pt>
                <c:pt idx="56">
                  <c:v>-8290</c:v>
                </c:pt>
                <c:pt idx="57">
                  <c:v>-8437</c:v>
                </c:pt>
                <c:pt idx="58">
                  <c:v>-8306</c:v>
                </c:pt>
                <c:pt idx="59">
                  <c:v>-8132</c:v>
                </c:pt>
                <c:pt idx="60">
                  <c:v>-8232</c:v>
                </c:pt>
                <c:pt idx="61">
                  <c:v>-8464</c:v>
                </c:pt>
                <c:pt idx="62">
                  <c:v>-8285</c:v>
                </c:pt>
                <c:pt idx="63">
                  <c:v>-8372</c:v>
                </c:pt>
                <c:pt idx="64">
                  <c:v>-7956</c:v>
                </c:pt>
                <c:pt idx="65">
                  <c:v>-7769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Resumo!$AB$5:$AE$5</c:f>
              <c:strCache>
                <c:ptCount val="1"/>
                <c:pt idx="0">
                  <c:v>MALHA GROSSA</c:v>
                </c:pt>
              </c:strCache>
            </c:strRef>
          </c:tx>
          <c:marker>
            <c:symbol val="none"/>
          </c:marker>
          <c:xVal>
            <c:numRef>
              <c:f>Resumo!$AD$7:$AD$8</c:f>
              <c:numCache>
                <c:formatCode>#,##0</c:formatCode>
                <c:ptCount val="2"/>
                <c:pt idx="0">
                  <c:v>759</c:v>
                </c:pt>
                <c:pt idx="1">
                  <c:v>759</c:v>
                </c:pt>
              </c:numCache>
            </c:numRef>
          </c:xVal>
          <c:yVal>
            <c:numRef>
              <c:f>Resumo!$AE$7:$AE$8</c:f>
              <c:numCache>
                <c:formatCode>0.0</c:formatCode>
                <c:ptCount val="2"/>
                <c:pt idx="0">
                  <c:v>-8525</c:v>
                </c:pt>
                <c:pt idx="1">
                  <c:v>14530</c:v>
                </c:pt>
              </c:numCache>
            </c:numRef>
          </c:yVal>
          <c:smooth val="1"/>
        </c:ser>
        <c:ser>
          <c:idx val="2"/>
          <c:order val="2"/>
          <c:tx>
            <c:strRef>
              <c:f>Resumo!$AB$11:$AE$11</c:f>
              <c:strCache>
                <c:ptCount val="1"/>
                <c:pt idx="0">
                  <c:v>MALHA FINA</c:v>
                </c:pt>
              </c:strCache>
            </c:strRef>
          </c:tx>
          <c:marker>
            <c:symbol val="none"/>
          </c:marker>
          <c:xVal>
            <c:numRef>
              <c:f>Resumo!$AD$13:$AD$14</c:f>
              <c:numCache>
                <c:formatCode>#,##0</c:formatCode>
                <c:ptCount val="2"/>
                <c:pt idx="0">
                  <c:v>2772</c:v>
                </c:pt>
                <c:pt idx="1">
                  <c:v>2772</c:v>
                </c:pt>
              </c:numCache>
            </c:numRef>
          </c:xVal>
          <c:yVal>
            <c:numRef>
              <c:f>Resumo!$AE$13:$AE$14</c:f>
              <c:numCache>
                <c:formatCode>0.0</c:formatCode>
                <c:ptCount val="2"/>
                <c:pt idx="0">
                  <c:v>-8525</c:v>
                </c:pt>
                <c:pt idx="1">
                  <c:v>14530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41714704"/>
        <c:axId val="741715264"/>
      </c:scatterChart>
      <c:valAx>
        <c:axId val="741714704"/>
        <c:scaling>
          <c:orientation val="minMax"/>
          <c:max val="43750"/>
          <c:min val="0"/>
        </c:scaling>
        <c:delete val="0"/>
        <c:axPos val="t"/>
        <c:majorGridlines>
          <c:spPr>
            <a:ln>
              <a:noFill/>
            </a:ln>
          </c:spPr>
        </c:majorGridlines>
        <c:numFmt formatCode="0E+0" sourceLinked="0"/>
        <c:majorTickMark val="out"/>
        <c:minorTickMark val="none"/>
        <c:tickLblPos val="nextTo"/>
        <c:crossAx val="741715264"/>
        <c:crosses val="max"/>
        <c:crossBetween val="midCat"/>
      </c:valAx>
      <c:valAx>
        <c:axId val="741715264"/>
        <c:scaling>
          <c:orientation val="minMax"/>
          <c:max val="-7700"/>
          <c:min val="-8600"/>
        </c:scaling>
        <c:delete val="0"/>
        <c:axPos val="l"/>
        <c:majorGridlines>
          <c:spPr>
            <a:ln>
              <a:noFill/>
            </a:ln>
          </c:spPr>
        </c:majorGridlines>
        <c:numFmt formatCode="0.0E+0" sourceLinked="0"/>
        <c:majorTickMark val="out"/>
        <c:minorTickMark val="none"/>
        <c:tickLblPos val="nextTo"/>
        <c:crossAx val="741714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Resumo!$F$4</c:f>
              <c:strCache>
                <c:ptCount val="1"/>
                <c:pt idx="0">
                  <c:v> MAX MY</c:v>
                </c:pt>
              </c:strCache>
            </c:strRef>
          </c:tx>
          <c:spPr>
            <a:ln>
              <a:solidFill>
                <a:srgbClr val="00B0F0"/>
              </a:solidFill>
            </a:ln>
          </c:spPr>
          <c:marker>
            <c:symbol val="circle"/>
            <c:size val="10"/>
            <c:spPr>
              <a:solidFill>
                <a:schemeClr val="tx2">
                  <a:lumMod val="20000"/>
                  <a:lumOff val="80000"/>
                  <a:alpha val="75000"/>
                </a:schemeClr>
              </a:solidFill>
              <a:ln>
                <a:solidFill>
                  <a:srgbClr val="0000FF"/>
                </a:solidFill>
              </a:ln>
            </c:spPr>
          </c:marker>
          <c:xVal>
            <c:numRef>
              <c:f>Resumo!$B$5:$B$933</c:f>
              <c:numCache>
                <c:formatCode>0.000</c:formatCode>
                <c:ptCount val="929"/>
                <c:pt idx="0">
                  <c:v>0.02</c:v>
                </c:pt>
                <c:pt idx="1">
                  <c:v>2.5000000000000001E-2</c:v>
                </c:pt>
                <c:pt idx="2">
                  <c:v>0.03</c:v>
                </c:pt>
                <c:pt idx="3">
                  <c:v>3.5000000000000003E-2</c:v>
                </c:pt>
                <c:pt idx="4">
                  <c:v>0.04</c:v>
                </c:pt>
                <c:pt idx="5">
                  <c:v>4.4999999999999998E-2</c:v>
                </c:pt>
                <c:pt idx="6">
                  <c:v>0.05</c:v>
                </c:pt>
                <c:pt idx="7">
                  <c:v>5.5E-2</c:v>
                </c:pt>
                <c:pt idx="8">
                  <c:v>0.06</c:v>
                </c:pt>
                <c:pt idx="9">
                  <c:v>6.5000000000000002E-2</c:v>
                </c:pt>
                <c:pt idx="10">
                  <c:v>7.0000000000000007E-2</c:v>
                </c:pt>
                <c:pt idx="11">
                  <c:v>7.4999999999999997E-2</c:v>
                </c:pt>
                <c:pt idx="12">
                  <c:v>0.08</c:v>
                </c:pt>
                <c:pt idx="13">
                  <c:v>8.5000000000000006E-2</c:v>
                </c:pt>
                <c:pt idx="14">
                  <c:v>0.09</c:v>
                </c:pt>
                <c:pt idx="15">
                  <c:v>9.5000000000000001E-2</c:v>
                </c:pt>
                <c:pt idx="16">
                  <c:v>0.1</c:v>
                </c:pt>
                <c:pt idx="17">
                  <c:v>0.105</c:v>
                </c:pt>
                <c:pt idx="18">
                  <c:v>0.11</c:v>
                </c:pt>
                <c:pt idx="19">
                  <c:v>0.115</c:v>
                </c:pt>
                <c:pt idx="20">
                  <c:v>0.12</c:v>
                </c:pt>
                <c:pt idx="21">
                  <c:v>0.125</c:v>
                </c:pt>
                <c:pt idx="22">
                  <c:v>0.13</c:v>
                </c:pt>
                <c:pt idx="23">
                  <c:v>0.13500000000000001</c:v>
                </c:pt>
                <c:pt idx="24">
                  <c:v>0.14000000000000001</c:v>
                </c:pt>
                <c:pt idx="25">
                  <c:v>0.14499999999999999</c:v>
                </c:pt>
                <c:pt idx="26">
                  <c:v>0.15</c:v>
                </c:pt>
                <c:pt idx="27">
                  <c:v>0.155</c:v>
                </c:pt>
                <c:pt idx="28">
                  <c:v>0.16</c:v>
                </c:pt>
                <c:pt idx="29">
                  <c:v>0.16500000000000001</c:v>
                </c:pt>
                <c:pt idx="30">
                  <c:v>0.17</c:v>
                </c:pt>
                <c:pt idx="31">
                  <c:v>0.17499999999999999</c:v>
                </c:pt>
                <c:pt idx="32">
                  <c:v>0.18</c:v>
                </c:pt>
                <c:pt idx="33">
                  <c:v>0.185</c:v>
                </c:pt>
                <c:pt idx="34">
                  <c:v>0.19</c:v>
                </c:pt>
                <c:pt idx="35">
                  <c:v>0.19500000000000001</c:v>
                </c:pt>
                <c:pt idx="36">
                  <c:v>0.2</c:v>
                </c:pt>
                <c:pt idx="37">
                  <c:v>0.21</c:v>
                </c:pt>
                <c:pt idx="38">
                  <c:v>0.22</c:v>
                </c:pt>
                <c:pt idx="39" formatCode="General">
                  <c:v>0.23</c:v>
                </c:pt>
                <c:pt idx="40" formatCode="General">
                  <c:v>0.23499999999999999</c:v>
                </c:pt>
                <c:pt idx="41" formatCode="General">
                  <c:v>0.24</c:v>
                </c:pt>
                <c:pt idx="42" formatCode="General">
                  <c:v>0.25</c:v>
                </c:pt>
                <c:pt idx="43" formatCode="General">
                  <c:v>0.26500000000000001</c:v>
                </c:pt>
                <c:pt idx="44" formatCode="General">
                  <c:v>0.27</c:v>
                </c:pt>
                <c:pt idx="45" formatCode="General">
                  <c:v>0.28000000000000003</c:v>
                </c:pt>
                <c:pt idx="46" formatCode="General">
                  <c:v>0.29499999999999998</c:v>
                </c:pt>
                <c:pt idx="47" formatCode="General">
                  <c:v>0.315</c:v>
                </c:pt>
                <c:pt idx="48" formatCode="General">
                  <c:v>0.32</c:v>
                </c:pt>
                <c:pt idx="49" formatCode="General">
                  <c:v>0.33500000000000002</c:v>
                </c:pt>
                <c:pt idx="50" formatCode="General">
                  <c:v>0.35</c:v>
                </c:pt>
                <c:pt idx="51" formatCode="General">
                  <c:v>0.36</c:v>
                </c:pt>
                <c:pt idx="52" formatCode="General">
                  <c:v>0.38500000000000001</c:v>
                </c:pt>
                <c:pt idx="53" formatCode="General">
                  <c:v>0.39</c:v>
                </c:pt>
                <c:pt idx="54" formatCode="General">
                  <c:v>0.42</c:v>
                </c:pt>
                <c:pt idx="55" formatCode="General">
                  <c:v>0.44</c:v>
                </c:pt>
                <c:pt idx="56" formatCode="General">
                  <c:v>0.45500000000000002</c:v>
                </c:pt>
                <c:pt idx="57" formatCode="General">
                  <c:v>0.5</c:v>
                </c:pt>
                <c:pt idx="58" formatCode="General">
                  <c:v>0.56000000000000005</c:v>
                </c:pt>
                <c:pt idx="59" formatCode="General">
                  <c:v>0.58499999999999996</c:v>
                </c:pt>
                <c:pt idx="60" formatCode="General">
                  <c:v>0.625</c:v>
                </c:pt>
                <c:pt idx="61" formatCode="General">
                  <c:v>0.7</c:v>
                </c:pt>
                <c:pt idx="62" formatCode="General">
                  <c:v>0.71499999999999997</c:v>
                </c:pt>
                <c:pt idx="63" formatCode="General">
                  <c:v>0.83499999999999996</c:v>
                </c:pt>
                <c:pt idx="64" formatCode="General">
                  <c:v>0.875</c:v>
                </c:pt>
                <c:pt idx="65" formatCode="General">
                  <c:v>1</c:v>
                </c:pt>
              </c:numCache>
            </c:numRef>
          </c:xVal>
          <c:yVal>
            <c:numRef>
              <c:f>Resumo!$F$5:$F$933</c:f>
              <c:numCache>
                <c:formatCode>0.000E+00</c:formatCode>
                <c:ptCount val="929"/>
                <c:pt idx="0">
                  <c:v>14530</c:v>
                </c:pt>
                <c:pt idx="1">
                  <c:v>14470</c:v>
                </c:pt>
                <c:pt idx="2">
                  <c:v>14400</c:v>
                </c:pt>
                <c:pt idx="3">
                  <c:v>14340</c:v>
                </c:pt>
                <c:pt idx="4">
                  <c:v>14270</c:v>
                </c:pt>
                <c:pt idx="5">
                  <c:v>14210</c:v>
                </c:pt>
                <c:pt idx="6">
                  <c:v>14140</c:v>
                </c:pt>
                <c:pt idx="7">
                  <c:v>14080</c:v>
                </c:pt>
                <c:pt idx="8">
                  <c:v>14020</c:v>
                </c:pt>
                <c:pt idx="9">
                  <c:v>13950</c:v>
                </c:pt>
                <c:pt idx="10">
                  <c:v>13890</c:v>
                </c:pt>
                <c:pt idx="11">
                  <c:v>13830</c:v>
                </c:pt>
                <c:pt idx="12">
                  <c:v>13760</c:v>
                </c:pt>
                <c:pt idx="13">
                  <c:v>13700</c:v>
                </c:pt>
                <c:pt idx="14">
                  <c:v>13650</c:v>
                </c:pt>
                <c:pt idx="15">
                  <c:v>13580</c:v>
                </c:pt>
                <c:pt idx="16">
                  <c:v>13510</c:v>
                </c:pt>
                <c:pt idx="17">
                  <c:v>13450</c:v>
                </c:pt>
                <c:pt idx="18">
                  <c:v>13390</c:v>
                </c:pt>
                <c:pt idx="19">
                  <c:v>13340</c:v>
                </c:pt>
                <c:pt idx="20">
                  <c:v>13260</c:v>
                </c:pt>
                <c:pt idx="21">
                  <c:v>13190</c:v>
                </c:pt>
                <c:pt idx="22">
                  <c:v>13170</c:v>
                </c:pt>
                <c:pt idx="23">
                  <c:v>13110</c:v>
                </c:pt>
                <c:pt idx="24">
                  <c:v>13040</c:v>
                </c:pt>
                <c:pt idx="25">
                  <c:v>12990</c:v>
                </c:pt>
                <c:pt idx="26">
                  <c:v>12920</c:v>
                </c:pt>
                <c:pt idx="27">
                  <c:v>12890</c:v>
                </c:pt>
                <c:pt idx="28">
                  <c:v>12810</c:v>
                </c:pt>
                <c:pt idx="29">
                  <c:v>12750</c:v>
                </c:pt>
                <c:pt idx="30">
                  <c:v>12710</c:v>
                </c:pt>
                <c:pt idx="31">
                  <c:v>12610</c:v>
                </c:pt>
                <c:pt idx="32">
                  <c:v>12550</c:v>
                </c:pt>
                <c:pt idx="33">
                  <c:v>12570</c:v>
                </c:pt>
                <c:pt idx="34">
                  <c:v>12500</c:v>
                </c:pt>
                <c:pt idx="35">
                  <c:v>12380</c:v>
                </c:pt>
                <c:pt idx="36">
                  <c:v>12300</c:v>
                </c:pt>
                <c:pt idx="37">
                  <c:v>12240</c:v>
                </c:pt>
                <c:pt idx="38">
                  <c:v>12090</c:v>
                </c:pt>
                <c:pt idx="39">
                  <c:v>11990</c:v>
                </c:pt>
                <c:pt idx="40">
                  <c:v>12030</c:v>
                </c:pt>
                <c:pt idx="41">
                  <c:v>11920</c:v>
                </c:pt>
                <c:pt idx="42">
                  <c:v>11720</c:v>
                </c:pt>
                <c:pt idx="43">
                  <c:v>11590</c:v>
                </c:pt>
                <c:pt idx="44">
                  <c:v>11640</c:v>
                </c:pt>
                <c:pt idx="45">
                  <c:v>11500</c:v>
                </c:pt>
                <c:pt idx="46">
                  <c:v>11250</c:v>
                </c:pt>
                <c:pt idx="47">
                  <c:v>11070</c:v>
                </c:pt>
                <c:pt idx="48">
                  <c:v>11140</c:v>
                </c:pt>
                <c:pt idx="49">
                  <c:v>10940</c:v>
                </c:pt>
                <c:pt idx="50">
                  <c:v>10810</c:v>
                </c:pt>
                <c:pt idx="51">
                  <c:v>10590</c:v>
                </c:pt>
                <c:pt idx="52">
                  <c:v>10350</c:v>
                </c:pt>
                <c:pt idx="53">
                  <c:v>10440</c:v>
                </c:pt>
                <c:pt idx="54">
                  <c:v>10160</c:v>
                </c:pt>
                <c:pt idx="55">
                  <c:v>9955</c:v>
                </c:pt>
                <c:pt idx="56">
                  <c:v>9646</c:v>
                </c:pt>
                <c:pt idx="57">
                  <c:v>9405</c:v>
                </c:pt>
                <c:pt idx="58">
                  <c:v>8986</c:v>
                </c:pt>
                <c:pt idx="59">
                  <c:v>8639</c:v>
                </c:pt>
                <c:pt idx="60">
                  <c:v>8162</c:v>
                </c:pt>
                <c:pt idx="61">
                  <c:v>8316</c:v>
                </c:pt>
                <c:pt idx="62">
                  <c:v>7736</c:v>
                </c:pt>
                <c:pt idx="63">
                  <c:v>7035</c:v>
                </c:pt>
                <c:pt idx="64">
                  <c:v>6291</c:v>
                </c:pt>
                <c:pt idx="65">
                  <c:v>5507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Resumo!$AB$5:$AE$5</c:f>
              <c:strCache>
                <c:ptCount val="1"/>
                <c:pt idx="0">
                  <c:v>MALHA GROSSA</c:v>
                </c:pt>
              </c:strCache>
            </c:strRef>
          </c:tx>
          <c:marker>
            <c:symbol val="none"/>
          </c:marker>
          <c:xVal>
            <c:numRef>
              <c:f>Resumo!$AC$7:$AC$8</c:f>
              <c:numCache>
                <c:formatCode>0.000</c:formatCode>
                <c:ptCount val="2"/>
                <c:pt idx="0">
                  <c:v>0.155</c:v>
                </c:pt>
                <c:pt idx="1">
                  <c:v>0.155</c:v>
                </c:pt>
              </c:numCache>
            </c:numRef>
          </c:xVal>
          <c:yVal>
            <c:numRef>
              <c:f>Resumo!$AE$7:$AE$8</c:f>
              <c:numCache>
                <c:formatCode>0.0</c:formatCode>
                <c:ptCount val="2"/>
                <c:pt idx="0">
                  <c:v>-8525</c:v>
                </c:pt>
                <c:pt idx="1">
                  <c:v>14530</c:v>
                </c:pt>
              </c:numCache>
            </c:numRef>
          </c:yVal>
          <c:smooth val="1"/>
        </c:ser>
        <c:ser>
          <c:idx val="2"/>
          <c:order val="2"/>
          <c:tx>
            <c:strRef>
              <c:f>Resumo!$AB$11:$AE$11</c:f>
              <c:strCache>
                <c:ptCount val="1"/>
                <c:pt idx="0">
                  <c:v>MALHA FINA</c:v>
                </c:pt>
              </c:strCache>
            </c:strRef>
          </c:tx>
          <c:marker>
            <c:symbol val="none"/>
          </c:marker>
          <c:xVal>
            <c:numRef>
              <c:f>Resumo!$AC$13:$AC$14</c:f>
              <c:numCache>
                <c:formatCode>0.000</c:formatCode>
                <c:ptCount val="2"/>
                <c:pt idx="0">
                  <c:v>0.08</c:v>
                </c:pt>
                <c:pt idx="1">
                  <c:v>0.08</c:v>
                </c:pt>
              </c:numCache>
            </c:numRef>
          </c:xVal>
          <c:yVal>
            <c:numRef>
              <c:f>Resumo!$AE$13:$AE$14</c:f>
              <c:numCache>
                <c:formatCode>0.0</c:formatCode>
                <c:ptCount val="2"/>
                <c:pt idx="0">
                  <c:v>-8525</c:v>
                </c:pt>
                <c:pt idx="1">
                  <c:v>14530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41719184"/>
        <c:axId val="741719744"/>
      </c:scatterChart>
      <c:valAx>
        <c:axId val="741719184"/>
        <c:scaling>
          <c:orientation val="minMax"/>
          <c:max val="1"/>
          <c:min val="0"/>
        </c:scaling>
        <c:delete val="0"/>
        <c:axPos val="t"/>
        <c:majorGridlines>
          <c:spPr>
            <a:ln>
              <a:noFill/>
            </a:ln>
          </c:spPr>
        </c:majorGridlines>
        <c:numFmt formatCode="#,##0.00" sourceLinked="0"/>
        <c:majorTickMark val="out"/>
        <c:minorTickMark val="none"/>
        <c:tickLblPos val="nextTo"/>
        <c:crossAx val="741719744"/>
        <c:crosses val="max"/>
        <c:crossBetween val="midCat"/>
      </c:valAx>
      <c:valAx>
        <c:axId val="741719744"/>
        <c:scaling>
          <c:orientation val="minMax"/>
          <c:max val="15000"/>
          <c:min val="5500"/>
        </c:scaling>
        <c:delete val="0"/>
        <c:axPos val="l"/>
        <c:majorGridlines>
          <c:spPr>
            <a:ln>
              <a:noFill/>
            </a:ln>
          </c:spPr>
        </c:majorGridlines>
        <c:numFmt formatCode="0.0E+0" sourceLinked="0"/>
        <c:majorTickMark val="out"/>
        <c:minorTickMark val="none"/>
        <c:tickLblPos val="nextTo"/>
        <c:crossAx val="7417191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Resumo!$F$4</c:f>
              <c:strCache>
                <c:ptCount val="1"/>
                <c:pt idx="0">
                  <c:v> MAX MY</c:v>
                </c:pt>
              </c:strCache>
            </c:strRef>
          </c:tx>
          <c:spPr>
            <a:ln>
              <a:solidFill>
                <a:srgbClr val="00B0F0"/>
              </a:solidFill>
            </a:ln>
          </c:spPr>
          <c:marker>
            <c:symbol val="circle"/>
            <c:size val="10"/>
            <c:spPr>
              <a:solidFill>
                <a:schemeClr val="tx2">
                  <a:lumMod val="20000"/>
                  <a:lumOff val="80000"/>
                  <a:alpha val="75000"/>
                </a:schemeClr>
              </a:solidFill>
              <a:ln>
                <a:solidFill>
                  <a:srgbClr val="0000FF"/>
                </a:solidFill>
              </a:ln>
            </c:spPr>
          </c:marker>
          <c:xVal>
            <c:numRef>
              <c:f>Resumo!$C$5:$C$933</c:f>
              <c:numCache>
                <c:formatCode>#,##0</c:formatCode>
                <c:ptCount val="929"/>
                <c:pt idx="0">
                  <c:v>43750</c:v>
                </c:pt>
                <c:pt idx="1">
                  <c:v>28000</c:v>
                </c:pt>
                <c:pt idx="2">
                  <c:v>19539</c:v>
                </c:pt>
                <c:pt idx="3">
                  <c:v>14300</c:v>
                </c:pt>
                <c:pt idx="4">
                  <c:v>11000</c:v>
                </c:pt>
                <c:pt idx="5">
                  <c:v>8736</c:v>
                </c:pt>
                <c:pt idx="6">
                  <c:v>7000</c:v>
                </c:pt>
                <c:pt idx="7">
                  <c:v>5824</c:v>
                </c:pt>
                <c:pt idx="8">
                  <c:v>4956</c:v>
                </c:pt>
                <c:pt idx="9">
                  <c:v>4158</c:v>
                </c:pt>
                <c:pt idx="10">
                  <c:v>3600</c:v>
                </c:pt>
                <c:pt idx="11">
                  <c:v>3149</c:v>
                </c:pt>
                <c:pt idx="12">
                  <c:v>2772</c:v>
                </c:pt>
                <c:pt idx="13">
                  <c:v>2478</c:v>
                </c:pt>
                <c:pt idx="14">
                  <c:v>2184</c:v>
                </c:pt>
                <c:pt idx="15">
                  <c:v>1961</c:v>
                </c:pt>
                <c:pt idx="16">
                  <c:v>1750</c:v>
                </c:pt>
                <c:pt idx="17">
                  <c:v>1632</c:v>
                </c:pt>
                <c:pt idx="18">
                  <c:v>1472</c:v>
                </c:pt>
                <c:pt idx="19">
                  <c:v>1364</c:v>
                </c:pt>
                <c:pt idx="20">
                  <c:v>1260</c:v>
                </c:pt>
                <c:pt idx="21">
                  <c:v>1120</c:v>
                </c:pt>
                <c:pt idx="22">
                  <c:v>1053</c:v>
                </c:pt>
                <c:pt idx="23">
                  <c:v>988</c:v>
                </c:pt>
                <c:pt idx="24">
                  <c:v>900</c:v>
                </c:pt>
                <c:pt idx="25">
                  <c:v>875</c:v>
                </c:pt>
                <c:pt idx="26">
                  <c:v>816</c:v>
                </c:pt>
                <c:pt idx="27">
                  <c:v>759</c:v>
                </c:pt>
                <c:pt idx="28">
                  <c:v>704</c:v>
                </c:pt>
                <c:pt idx="29">
                  <c:v>682</c:v>
                </c:pt>
                <c:pt idx="30">
                  <c:v>630</c:v>
                </c:pt>
                <c:pt idx="31">
                  <c:v>580</c:v>
                </c:pt>
                <c:pt idx="32">
                  <c:v>560</c:v>
                </c:pt>
                <c:pt idx="33">
                  <c:v>532</c:v>
                </c:pt>
                <c:pt idx="34">
                  <c:v>513</c:v>
                </c:pt>
                <c:pt idx="35">
                  <c:v>468</c:v>
                </c:pt>
                <c:pt idx="36">
                  <c:v>450</c:v>
                </c:pt>
                <c:pt idx="37">
                  <c:v>408</c:v>
                </c:pt>
                <c:pt idx="38">
                  <c:v>368</c:v>
                </c:pt>
                <c:pt idx="39" formatCode="General">
                  <c:v>352</c:v>
                </c:pt>
                <c:pt idx="40" formatCode="General">
                  <c:v>330</c:v>
                </c:pt>
                <c:pt idx="41" formatCode="General">
                  <c:v>315</c:v>
                </c:pt>
                <c:pt idx="42" formatCode="General">
                  <c:v>280</c:v>
                </c:pt>
                <c:pt idx="43" formatCode="General">
                  <c:v>266</c:v>
                </c:pt>
                <c:pt idx="44" formatCode="General">
                  <c:v>247</c:v>
                </c:pt>
                <c:pt idx="45" formatCode="General">
                  <c:v>234</c:v>
                </c:pt>
                <c:pt idx="46" formatCode="General">
                  <c:v>204</c:v>
                </c:pt>
                <c:pt idx="47" formatCode="General">
                  <c:v>192</c:v>
                </c:pt>
                <c:pt idx="48" formatCode="General">
                  <c:v>176</c:v>
                </c:pt>
                <c:pt idx="49" formatCode="General">
                  <c:v>165</c:v>
                </c:pt>
                <c:pt idx="50" formatCode="General">
                  <c:v>150</c:v>
                </c:pt>
                <c:pt idx="51" formatCode="General">
                  <c:v>140</c:v>
                </c:pt>
                <c:pt idx="52" formatCode="General">
                  <c:v>130</c:v>
                </c:pt>
                <c:pt idx="53" formatCode="General">
                  <c:v>117</c:v>
                </c:pt>
                <c:pt idx="54" formatCode="General">
                  <c:v>108</c:v>
                </c:pt>
                <c:pt idx="55" formatCode="General">
                  <c:v>96</c:v>
                </c:pt>
                <c:pt idx="56" formatCode="General">
                  <c:v>88</c:v>
                </c:pt>
                <c:pt idx="57" formatCode="General">
                  <c:v>70</c:v>
                </c:pt>
                <c:pt idx="58" formatCode="General">
                  <c:v>63</c:v>
                </c:pt>
                <c:pt idx="59" formatCode="General">
                  <c:v>54</c:v>
                </c:pt>
                <c:pt idx="60" formatCode="General">
                  <c:v>48</c:v>
                </c:pt>
                <c:pt idx="61" formatCode="General">
                  <c:v>40</c:v>
                </c:pt>
                <c:pt idx="62" formatCode="General">
                  <c:v>35</c:v>
                </c:pt>
                <c:pt idx="63" formatCode="General">
                  <c:v>30</c:v>
                </c:pt>
                <c:pt idx="64" formatCode="General">
                  <c:v>24</c:v>
                </c:pt>
                <c:pt idx="65" formatCode="General">
                  <c:v>20</c:v>
                </c:pt>
              </c:numCache>
            </c:numRef>
          </c:xVal>
          <c:yVal>
            <c:numRef>
              <c:f>Resumo!$F$5:$F$933</c:f>
              <c:numCache>
                <c:formatCode>0.000E+00</c:formatCode>
                <c:ptCount val="929"/>
                <c:pt idx="0">
                  <c:v>14530</c:v>
                </c:pt>
                <c:pt idx="1">
                  <c:v>14470</c:v>
                </c:pt>
                <c:pt idx="2">
                  <c:v>14400</c:v>
                </c:pt>
                <c:pt idx="3">
                  <c:v>14340</c:v>
                </c:pt>
                <c:pt idx="4">
                  <c:v>14270</c:v>
                </c:pt>
                <c:pt idx="5">
                  <c:v>14210</c:v>
                </c:pt>
                <c:pt idx="6">
                  <c:v>14140</c:v>
                </c:pt>
                <c:pt idx="7">
                  <c:v>14080</c:v>
                </c:pt>
                <c:pt idx="8">
                  <c:v>14020</c:v>
                </c:pt>
                <c:pt idx="9">
                  <c:v>13950</c:v>
                </c:pt>
                <c:pt idx="10">
                  <c:v>13890</c:v>
                </c:pt>
                <c:pt idx="11">
                  <c:v>13830</c:v>
                </c:pt>
                <c:pt idx="12">
                  <c:v>13760</c:v>
                </c:pt>
                <c:pt idx="13">
                  <c:v>13700</c:v>
                </c:pt>
                <c:pt idx="14">
                  <c:v>13650</c:v>
                </c:pt>
                <c:pt idx="15">
                  <c:v>13580</c:v>
                </c:pt>
                <c:pt idx="16">
                  <c:v>13510</c:v>
                </c:pt>
                <c:pt idx="17">
                  <c:v>13450</c:v>
                </c:pt>
                <c:pt idx="18">
                  <c:v>13390</c:v>
                </c:pt>
                <c:pt idx="19">
                  <c:v>13340</c:v>
                </c:pt>
                <c:pt idx="20">
                  <c:v>13260</c:v>
                </c:pt>
                <c:pt idx="21">
                  <c:v>13190</c:v>
                </c:pt>
                <c:pt idx="22">
                  <c:v>13170</c:v>
                </c:pt>
                <c:pt idx="23">
                  <c:v>13110</c:v>
                </c:pt>
                <c:pt idx="24">
                  <c:v>13040</c:v>
                </c:pt>
                <c:pt idx="25">
                  <c:v>12990</c:v>
                </c:pt>
                <c:pt idx="26">
                  <c:v>12920</c:v>
                </c:pt>
                <c:pt idx="27">
                  <c:v>12890</c:v>
                </c:pt>
                <c:pt idx="28">
                  <c:v>12810</c:v>
                </c:pt>
                <c:pt idx="29">
                  <c:v>12750</c:v>
                </c:pt>
                <c:pt idx="30">
                  <c:v>12710</c:v>
                </c:pt>
                <c:pt idx="31">
                  <c:v>12610</c:v>
                </c:pt>
                <c:pt idx="32">
                  <c:v>12550</c:v>
                </c:pt>
                <c:pt idx="33">
                  <c:v>12570</c:v>
                </c:pt>
                <c:pt idx="34">
                  <c:v>12500</c:v>
                </c:pt>
                <c:pt idx="35">
                  <c:v>12380</c:v>
                </c:pt>
                <c:pt idx="36">
                  <c:v>12300</c:v>
                </c:pt>
                <c:pt idx="37">
                  <c:v>12240</c:v>
                </c:pt>
                <c:pt idx="38">
                  <c:v>12090</c:v>
                </c:pt>
                <c:pt idx="39">
                  <c:v>11990</c:v>
                </c:pt>
                <c:pt idx="40">
                  <c:v>12030</c:v>
                </c:pt>
                <c:pt idx="41">
                  <c:v>11920</c:v>
                </c:pt>
                <c:pt idx="42">
                  <c:v>11720</c:v>
                </c:pt>
                <c:pt idx="43">
                  <c:v>11590</c:v>
                </c:pt>
                <c:pt idx="44">
                  <c:v>11640</c:v>
                </c:pt>
                <c:pt idx="45">
                  <c:v>11500</c:v>
                </c:pt>
                <c:pt idx="46">
                  <c:v>11250</c:v>
                </c:pt>
                <c:pt idx="47">
                  <c:v>11070</c:v>
                </c:pt>
                <c:pt idx="48">
                  <c:v>11140</c:v>
                </c:pt>
                <c:pt idx="49">
                  <c:v>10940</c:v>
                </c:pt>
                <c:pt idx="50">
                  <c:v>10810</c:v>
                </c:pt>
                <c:pt idx="51">
                  <c:v>10590</c:v>
                </c:pt>
                <c:pt idx="52">
                  <c:v>10350</c:v>
                </c:pt>
                <c:pt idx="53">
                  <c:v>10440</c:v>
                </c:pt>
                <c:pt idx="54">
                  <c:v>10160</c:v>
                </c:pt>
                <c:pt idx="55">
                  <c:v>9955</c:v>
                </c:pt>
                <c:pt idx="56">
                  <c:v>9646</c:v>
                </c:pt>
                <c:pt idx="57">
                  <c:v>9405</c:v>
                </c:pt>
                <c:pt idx="58">
                  <c:v>8986</c:v>
                </c:pt>
                <c:pt idx="59">
                  <c:v>8639</c:v>
                </c:pt>
                <c:pt idx="60">
                  <c:v>8162</c:v>
                </c:pt>
                <c:pt idx="61">
                  <c:v>8316</c:v>
                </c:pt>
                <c:pt idx="62">
                  <c:v>7736</c:v>
                </c:pt>
                <c:pt idx="63">
                  <c:v>7035</c:v>
                </c:pt>
                <c:pt idx="64">
                  <c:v>6291</c:v>
                </c:pt>
                <c:pt idx="65">
                  <c:v>5507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Resumo!$AB$5:$AE$5</c:f>
              <c:strCache>
                <c:ptCount val="1"/>
                <c:pt idx="0">
                  <c:v>MALHA GROSSA</c:v>
                </c:pt>
              </c:strCache>
            </c:strRef>
          </c:tx>
          <c:marker>
            <c:symbol val="none"/>
          </c:marker>
          <c:xVal>
            <c:numRef>
              <c:f>Resumo!$AD$7:$AD$8</c:f>
              <c:numCache>
                <c:formatCode>#,##0</c:formatCode>
                <c:ptCount val="2"/>
                <c:pt idx="0">
                  <c:v>759</c:v>
                </c:pt>
                <c:pt idx="1">
                  <c:v>759</c:v>
                </c:pt>
              </c:numCache>
            </c:numRef>
          </c:xVal>
          <c:yVal>
            <c:numRef>
              <c:f>Resumo!$AE$7:$AE$8</c:f>
              <c:numCache>
                <c:formatCode>0.0</c:formatCode>
                <c:ptCount val="2"/>
                <c:pt idx="0">
                  <c:v>-8525</c:v>
                </c:pt>
                <c:pt idx="1">
                  <c:v>14530</c:v>
                </c:pt>
              </c:numCache>
            </c:numRef>
          </c:yVal>
          <c:smooth val="1"/>
        </c:ser>
        <c:ser>
          <c:idx val="2"/>
          <c:order val="2"/>
          <c:tx>
            <c:strRef>
              <c:f>Resumo!$AB$11:$AE$11</c:f>
              <c:strCache>
                <c:ptCount val="1"/>
                <c:pt idx="0">
                  <c:v>MALHA FINA</c:v>
                </c:pt>
              </c:strCache>
            </c:strRef>
          </c:tx>
          <c:marker>
            <c:symbol val="none"/>
          </c:marker>
          <c:xVal>
            <c:numRef>
              <c:f>Resumo!$AD$13:$AD$14</c:f>
              <c:numCache>
                <c:formatCode>#,##0</c:formatCode>
                <c:ptCount val="2"/>
                <c:pt idx="0">
                  <c:v>2772</c:v>
                </c:pt>
                <c:pt idx="1">
                  <c:v>2772</c:v>
                </c:pt>
              </c:numCache>
            </c:numRef>
          </c:xVal>
          <c:yVal>
            <c:numRef>
              <c:f>Resumo!$AE$13:$AE$14</c:f>
              <c:numCache>
                <c:formatCode>0.0</c:formatCode>
                <c:ptCount val="2"/>
                <c:pt idx="0">
                  <c:v>-8525</c:v>
                </c:pt>
                <c:pt idx="1">
                  <c:v>14530</c:v>
                </c:pt>
              </c:numCache>
            </c:numRef>
          </c:yVal>
          <c:smooth val="1"/>
        </c:ser>
        <c:ser>
          <c:idx val="3"/>
          <c:order val="3"/>
          <c:tx>
            <c:v>FREQ2</c:v>
          </c:tx>
          <c:xVal>
            <c:numRef>
              <c:f>Resumo!$C$5:$C$44</c:f>
              <c:numCache>
                <c:formatCode>#,##0</c:formatCode>
                <c:ptCount val="40"/>
                <c:pt idx="0">
                  <c:v>43750</c:v>
                </c:pt>
                <c:pt idx="1">
                  <c:v>28000</c:v>
                </c:pt>
                <c:pt idx="2">
                  <c:v>19539</c:v>
                </c:pt>
                <c:pt idx="3">
                  <c:v>14300</c:v>
                </c:pt>
                <c:pt idx="4">
                  <c:v>11000</c:v>
                </c:pt>
                <c:pt idx="5">
                  <c:v>8736</c:v>
                </c:pt>
                <c:pt idx="6">
                  <c:v>7000</c:v>
                </c:pt>
                <c:pt idx="7">
                  <c:v>5824</c:v>
                </c:pt>
                <c:pt idx="8">
                  <c:v>4956</c:v>
                </c:pt>
                <c:pt idx="9">
                  <c:v>4158</c:v>
                </c:pt>
                <c:pt idx="10">
                  <c:v>3600</c:v>
                </c:pt>
                <c:pt idx="11">
                  <c:v>3149</c:v>
                </c:pt>
                <c:pt idx="12">
                  <c:v>2772</c:v>
                </c:pt>
                <c:pt idx="13">
                  <c:v>2478</c:v>
                </c:pt>
                <c:pt idx="14">
                  <c:v>2184</c:v>
                </c:pt>
                <c:pt idx="15">
                  <c:v>1961</c:v>
                </c:pt>
                <c:pt idx="16">
                  <c:v>1750</c:v>
                </c:pt>
                <c:pt idx="17">
                  <c:v>1632</c:v>
                </c:pt>
                <c:pt idx="18">
                  <c:v>1472</c:v>
                </c:pt>
                <c:pt idx="19">
                  <c:v>1364</c:v>
                </c:pt>
                <c:pt idx="20">
                  <c:v>1260</c:v>
                </c:pt>
                <c:pt idx="21">
                  <c:v>1120</c:v>
                </c:pt>
                <c:pt idx="22">
                  <c:v>1053</c:v>
                </c:pt>
                <c:pt idx="23">
                  <c:v>988</c:v>
                </c:pt>
                <c:pt idx="24">
                  <c:v>900</c:v>
                </c:pt>
                <c:pt idx="25">
                  <c:v>875</c:v>
                </c:pt>
                <c:pt idx="26">
                  <c:v>816</c:v>
                </c:pt>
                <c:pt idx="27">
                  <c:v>759</c:v>
                </c:pt>
                <c:pt idx="28">
                  <c:v>704</c:v>
                </c:pt>
                <c:pt idx="29">
                  <c:v>682</c:v>
                </c:pt>
                <c:pt idx="30">
                  <c:v>630</c:v>
                </c:pt>
                <c:pt idx="31">
                  <c:v>580</c:v>
                </c:pt>
                <c:pt idx="32">
                  <c:v>560</c:v>
                </c:pt>
                <c:pt idx="33">
                  <c:v>532</c:v>
                </c:pt>
                <c:pt idx="34">
                  <c:v>513</c:v>
                </c:pt>
                <c:pt idx="35">
                  <c:v>468</c:v>
                </c:pt>
                <c:pt idx="36">
                  <c:v>450</c:v>
                </c:pt>
                <c:pt idx="37">
                  <c:v>408</c:v>
                </c:pt>
                <c:pt idx="38">
                  <c:v>368</c:v>
                </c:pt>
                <c:pt idx="39" formatCode="General">
                  <c:v>352</c:v>
                </c:pt>
              </c:numCache>
            </c:numRef>
          </c:xVal>
          <c:yVal>
            <c:numRef>
              <c:f>Resumo!$G$5:$G$44</c:f>
              <c:numCache>
                <c:formatCode>0.000E+00</c:formatCode>
                <c:ptCount val="40"/>
                <c:pt idx="0">
                  <c:v>-5890</c:v>
                </c:pt>
                <c:pt idx="1">
                  <c:v>-5889</c:v>
                </c:pt>
                <c:pt idx="2">
                  <c:v>-5889</c:v>
                </c:pt>
                <c:pt idx="3">
                  <c:v>-5887</c:v>
                </c:pt>
                <c:pt idx="4">
                  <c:v>-5886</c:v>
                </c:pt>
                <c:pt idx="5">
                  <c:v>-5884</c:v>
                </c:pt>
                <c:pt idx="6">
                  <c:v>-5882</c:v>
                </c:pt>
                <c:pt idx="7">
                  <c:v>-5881</c:v>
                </c:pt>
                <c:pt idx="8">
                  <c:v>-5881</c:v>
                </c:pt>
                <c:pt idx="9">
                  <c:v>-5877</c:v>
                </c:pt>
                <c:pt idx="10">
                  <c:v>-5875</c:v>
                </c:pt>
                <c:pt idx="11">
                  <c:v>-5875</c:v>
                </c:pt>
                <c:pt idx="12">
                  <c:v>-5871</c:v>
                </c:pt>
                <c:pt idx="13">
                  <c:v>-5869</c:v>
                </c:pt>
                <c:pt idx="14">
                  <c:v>-5871</c:v>
                </c:pt>
                <c:pt idx="15">
                  <c:v>-5869</c:v>
                </c:pt>
                <c:pt idx="16">
                  <c:v>-5867</c:v>
                </c:pt>
                <c:pt idx="17">
                  <c:v>-5861</c:v>
                </c:pt>
                <c:pt idx="18">
                  <c:v>-5857</c:v>
                </c:pt>
                <c:pt idx="19">
                  <c:v>-5862</c:v>
                </c:pt>
                <c:pt idx="20">
                  <c:v>-5854</c:v>
                </c:pt>
                <c:pt idx="21">
                  <c:v>-5850</c:v>
                </c:pt>
                <c:pt idx="22">
                  <c:v>-5856</c:v>
                </c:pt>
                <c:pt idx="23">
                  <c:v>-5845</c:v>
                </c:pt>
                <c:pt idx="24">
                  <c:v>-5851</c:v>
                </c:pt>
                <c:pt idx="25">
                  <c:v>-5853</c:v>
                </c:pt>
                <c:pt idx="26">
                  <c:v>-5840</c:v>
                </c:pt>
                <c:pt idx="27">
                  <c:v>-5847</c:v>
                </c:pt>
                <c:pt idx="28">
                  <c:v>-5834</c:v>
                </c:pt>
                <c:pt idx="29">
                  <c:v>-5832</c:v>
                </c:pt>
                <c:pt idx="30">
                  <c:v>-5844</c:v>
                </c:pt>
                <c:pt idx="31">
                  <c:v>-5826</c:v>
                </c:pt>
                <c:pt idx="32">
                  <c:v>-5823</c:v>
                </c:pt>
                <c:pt idx="33">
                  <c:v>-5835</c:v>
                </c:pt>
                <c:pt idx="34">
                  <c:v>-5840</c:v>
                </c:pt>
                <c:pt idx="35">
                  <c:v>-5814</c:v>
                </c:pt>
                <c:pt idx="36">
                  <c:v>-5816</c:v>
                </c:pt>
                <c:pt idx="37">
                  <c:v>-5833</c:v>
                </c:pt>
                <c:pt idx="38">
                  <c:v>-5798</c:v>
                </c:pt>
                <c:pt idx="39">
                  <c:v>-5806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41724224"/>
        <c:axId val="741724784"/>
      </c:scatterChart>
      <c:valAx>
        <c:axId val="741724224"/>
        <c:scaling>
          <c:orientation val="minMax"/>
          <c:max val="43750"/>
          <c:min val="0"/>
        </c:scaling>
        <c:delete val="0"/>
        <c:axPos val="t"/>
        <c:majorGridlines>
          <c:spPr>
            <a:ln>
              <a:noFill/>
            </a:ln>
          </c:spPr>
        </c:majorGridlines>
        <c:numFmt formatCode="0E+0" sourceLinked="0"/>
        <c:majorTickMark val="out"/>
        <c:minorTickMark val="none"/>
        <c:tickLblPos val="nextTo"/>
        <c:crossAx val="741724784"/>
        <c:crosses val="max"/>
        <c:crossBetween val="midCat"/>
      </c:valAx>
      <c:valAx>
        <c:axId val="741724784"/>
        <c:scaling>
          <c:orientation val="minMax"/>
          <c:max val="15000"/>
          <c:min val="5500"/>
        </c:scaling>
        <c:delete val="0"/>
        <c:axPos val="l"/>
        <c:majorGridlines>
          <c:spPr>
            <a:ln>
              <a:noFill/>
            </a:ln>
          </c:spPr>
        </c:majorGridlines>
        <c:numFmt formatCode="0.0E+0" sourceLinked="0"/>
        <c:majorTickMark val="out"/>
        <c:minorTickMark val="none"/>
        <c:tickLblPos val="nextTo"/>
        <c:crossAx val="7417242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Resumo!$G$4</c:f>
              <c:strCache>
                <c:ptCount val="1"/>
                <c:pt idx="0">
                  <c:v> MIN MY</c:v>
                </c:pt>
              </c:strCache>
            </c:strRef>
          </c:tx>
          <c:spPr>
            <a:ln>
              <a:solidFill>
                <a:srgbClr val="00B0F0"/>
              </a:solidFill>
            </a:ln>
          </c:spPr>
          <c:marker>
            <c:symbol val="circle"/>
            <c:size val="10"/>
            <c:spPr>
              <a:solidFill>
                <a:schemeClr val="tx2">
                  <a:lumMod val="20000"/>
                  <a:lumOff val="80000"/>
                  <a:alpha val="75000"/>
                </a:schemeClr>
              </a:solidFill>
              <a:ln>
                <a:solidFill>
                  <a:srgbClr val="0000FF"/>
                </a:solidFill>
              </a:ln>
            </c:spPr>
          </c:marker>
          <c:xVal>
            <c:numRef>
              <c:f>Resumo!$B$5:$B$933</c:f>
              <c:numCache>
                <c:formatCode>0.000</c:formatCode>
                <c:ptCount val="929"/>
                <c:pt idx="0">
                  <c:v>0.02</c:v>
                </c:pt>
                <c:pt idx="1">
                  <c:v>2.5000000000000001E-2</c:v>
                </c:pt>
                <c:pt idx="2">
                  <c:v>0.03</c:v>
                </c:pt>
                <c:pt idx="3">
                  <c:v>3.5000000000000003E-2</c:v>
                </c:pt>
                <c:pt idx="4">
                  <c:v>0.04</c:v>
                </c:pt>
                <c:pt idx="5">
                  <c:v>4.4999999999999998E-2</c:v>
                </c:pt>
                <c:pt idx="6">
                  <c:v>0.05</c:v>
                </c:pt>
                <c:pt idx="7">
                  <c:v>5.5E-2</c:v>
                </c:pt>
                <c:pt idx="8">
                  <c:v>0.06</c:v>
                </c:pt>
                <c:pt idx="9">
                  <c:v>6.5000000000000002E-2</c:v>
                </c:pt>
                <c:pt idx="10">
                  <c:v>7.0000000000000007E-2</c:v>
                </c:pt>
                <c:pt idx="11">
                  <c:v>7.4999999999999997E-2</c:v>
                </c:pt>
                <c:pt idx="12">
                  <c:v>0.08</c:v>
                </c:pt>
                <c:pt idx="13">
                  <c:v>8.5000000000000006E-2</c:v>
                </c:pt>
                <c:pt idx="14">
                  <c:v>0.09</c:v>
                </c:pt>
                <c:pt idx="15">
                  <c:v>9.5000000000000001E-2</c:v>
                </c:pt>
                <c:pt idx="16">
                  <c:v>0.1</c:v>
                </c:pt>
                <c:pt idx="17">
                  <c:v>0.105</c:v>
                </c:pt>
                <c:pt idx="18">
                  <c:v>0.11</c:v>
                </c:pt>
                <c:pt idx="19">
                  <c:v>0.115</c:v>
                </c:pt>
                <c:pt idx="20">
                  <c:v>0.12</c:v>
                </c:pt>
                <c:pt idx="21">
                  <c:v>0.125</c:v>
                </c:pt>
                <c:pt idx="22">
                  <c:v>0.13</c:v>
                </c:pt>
                <c:pt idx="23">
                  <c:v>0.13500000000000001</c:v>
                </c:pt>
                <c:pt idx="24">
                  <c:v>0.14000000000000001</c:v>
                </c:pt>
                <c:pt idx="25">
                  <c:v>0.14499999999999999</c:v>
                </c:pt>
                <c:pt idx="26">
                  <c:v>0.15</c:v>
                </c:pt>
                <c:pt idx="27">
                  <c:v>0.155</c:v>
                </c:pt>
                <c:pt idx="28">
                  <c:v>0.16</c:v>
                </c:pt>
                <c:pt idx="29">
                  <c:v>0.16500000000000001</c:v>
                </c:pt>
                <c:pt idx="30">
                  <c:v>0.17</c:v>
                </c:pt>
                <c:pt idx="31">
                  <c:v>0.17499999999999999</c:v>
                </c:pt>
                <c:pt idx="32">
                  <c:v>0.18</c:v>
                </c:pt>
                <c:pt idx="33">
                  <c:v>0.185</c:v>
                </c:pt>
                <c:pt idx="34">
                  <c:v>0.19</c:v>
                </c:pt>
                <c:pt idx="35">
                  <c:v>0.19500000000000001</c:v>
                </c:pt>
                <c:pt idx="36">
                  <c:v>0.2</c:v>
                </c:pt>
                <c:pt idx="37">
                  <c:v>0.21</c:v>
                </c:pt>
                <c:pt idx="38">
                  <c:v>0.22</c:v>
                </c:pt>
                <c:pt idx="39" formatCode="General">
                  <c:v>0.23</c:v>
                </c:pt>
                <c:pt idx="40" formatCode="General">
                  <c:v>0.23499999999999999</c:v>
                </c:pt>
                <c:pt idx="41" formatCode="General">
                  <c:v>0.24</c:v>
                </c:pt>
                <c:pt idx="42" formatCode="General">
                  <c:v>0.25</c:v>
                </c:pt>
                <c:pt idx="43" formatCode="General">
                  <c:v>0.26500000000000001</c:v>
                </c:pt>
                <c:pt idx="44" formatCode="General">
                  <c:v>0.27</c:v>
                </c:pt>
                <c:pt idx="45" formatCode="General">
                  <c:v>0.28000000000000003</c:v>
                </c:pt>
                <c:pt idx="46" formatCode="General">
                  <c:v>0.29499999999999998</c:v>
                </c:pt>
                <c:pt idx="47" formatCode="General">
                  <c:v>0.315</c:v>
                </c:pt>
                <c:pt idx="48" formatCode="General">
                  <c:v>0.32</c:v>
                </c:pt>
                <c:pt idx="49" formatCode="General">
                  <c:v>0.33500000000000002</c:v>
                </c:pt>
                <c:pt idx="50" formatCode="General">
                  <c:v>0.35</c:v>
                </c:pt>
                <c:pt idx="51" formatCode="General">
                  <c:v>0.36</c:v>
                </c:pt>
                <c:pt idx="52" formatCode="General">
                  <c:v>0.38500000000000001</c:v>
                </c:pt>
                <c:pt idx="53" formatCode="General">
                  <c:v>0.39</c:v>
                </c:pt>
                <c:pt idx="54" formatCode="General">
                  <c:v>0.42</c:v>
                </c:pt>
                <c:pt idx="55" formatCode="General">
                  <c:v>0.44</c:v>
                </c:pt>
                <c:pt idx="56" formatCode="General">
                  <c:v>0.45500000000000002</c:v>
                </c:pt>
                <c:pt idx="57" formatCode="General">
                  <c:v>0.5</c:v>
                </c:pt>
                <c:pt idx="58" formatCode="General">
                  <c:v>0.56000000000000005</c:v>
                </c:pt>
                <c:pt idx="59" formatCode="General">
                  <c:v>0.58499999999999996</c:v>
                </c:pt>
                <c:pt idx="60" formatCode="General">
                  <c:v>0.625</c:v>
                </c:pt>
                <c:pt idx="61" formatCode="General">
                  <c:v>0.7</c:v>
                </c:pt>
                <c:pt idx="62" formatCode="General">
                  <c:v>0.71499999999999997</c:v>
                </c:pt>
                <c:pt idx="63" formatCode="General">
                  <c:v>0.83499999999999996</c:v>
                </c:pt>
                <c:pt idx="64" formatCode="General">
                  <c:v>0.875</c:v>
                </c:pt>
                <c:pt idx="65" formatCode="General">
                  <c:v>1</c:v>
                </c:pt>
              </c:numCache>
            </c:numRef>
          </c:xVal>
          <c:yVal>
            <c:numRef>
              <c:f>Resumo!$G$5:$G$933</c:f>
              <c:numCache>
                <c:formatCode>0.000E+00</c:formatCode>
                <c:ptCount val="929"/>
                <c:pt idx="0">
                  <c:v>-5890</c:v>
                </c:pt>
                <c:pt idx="1">
                  <c:v>-5889</c:v>
                </c:pt>
                <c:pt idx="2">
                  <c:v>-5889</c:v>
                </c:pt>
                <c:pt idx="3">
                  <c:v>-5887</c:v>
                </c:pt>
                <c:pt idx="4">
                  <c:v>-5886</c:v>
                </c:pt>
                <c:pt idx="5">
                  <c:v>-5884</c:v>
                </c:pt>
                <c:pt idx="6">
                  <c:v>-5882</c:v>
                </c:pt>
                <c:pt idx="7">
                  <c:v>-5881</c:v>
                </c:pt>
                <c:pt idx="8">
                  <c:v>-5881</c:v>
                </c:pt>
                <c:pt idx="9">
                  <c:v>-5877</c:v>
                </c:pt>
                <c:pt idx="10">
                  <c:v>-5875</c:v>
                </c:pt>
                <c:pt idx="11">
                  <c:v>-5875</c:v>
                </c:pt>
                <c:pt idx="12">
                  <c:v>-5871</c:v>
                </c:pt>
                <c:pt idx="13">
                  <c:v>-5869</c:v>
                </c:pt>
                <c:pt idx="14">
                  <c:v>-5871</c:v>
                </c:pt>
                <c:pt idx="15">
                  <c:v>-5869</c:v>
                </c:pt>
                <c:pt idx="16">
                  <c:v>-5867</c:v>
                </c:pt>
                <c:pt idx="17">
                  <c:v>-5861</c:v>
                </c:pt>
                <c:pt idx="18">
                  <c:v>-5857</c:v>
                </c:pt>
                <c:pt idx="19">
                  <c:v>-5862</c:v>
                </c:pt>
                <c:pt idx="20">
                  <c:v>-5854</c:v>
                </c:pt>
                <c:pt idx="21">
                  <c:v>-5850</c:v>
                </c:pt>
                <c:pt idx="22">
                  <c:v>-5856</c:v>
                </c:pt>
                <c:pt idx="23">
                  <c:v>-5845</c:v>
                </c:pt>
                <c:pt idx="24">
                  <c:v>-5851</c:v>
                </c:pt>
                <c:pt idx="25">
                  <c:v>-5853</c:v>
                </c:pt>
                <c:pt idx="26">
                  <c:v>-5840</c:v>
                </c:pt>
                <c:pt idx="27">
                  <c:v>-5847</c:v>
                </c:pt>
                <c:pt idx="28">
                  <c:v>-5834</c:v>
                </c:pt>
                <c:pt idx="29">
                  <c:v>-5832</c:v>
                </c:pt>
                <c:pt idx="30">
                  <c:v>-5844</c:v>
                </c:pt>
                <c:pt idx="31">
                  <c:v>-5826</c:v>
                </c:pt>
                <c:pt idx="32">
                  <c:v>-5823</c:v>
                </c:pt>
                <c:pt idx="33">
                  <c:v>-5835</c:v>
                </c:pt>
                <c:pt idx="34">
                  <c:v>-5840</c:v>
                </c:pt>
                <c:pt idx="35">
                  <c:v>-5814</c:v>
                </c:pt>
                <c:pt idx="36">
                  <c:v>-5816</c:v>
                </c:pt>
                <c:pt idx="37">
                  <c:v>-5833</c:v>
                </c:pt>
                <c:pt idx="38">
                  <c:v>-5798</c:v>
                </c:pt>
                <c:pt idx="39">
                  <c:v>-5806</c:v>
                </c:pt>
                <c:pt idx="40">
                  <c:v>-5825</c:v>
                </c:pt>
                <c:pt idx="41">
                  <c:v>-5824</c:v>
                </c:pt>
                <c:pt idx="42">
                  <c:v>-5785</c:v>
                </c:pt>
                <c:pt idx="43">
                  <c:v>-5791</c:v>
                </c:pt>
                <c:pt idx="44">
                  <c:v>-5816</c:v>
                </c:pt>
                <c:pt idx="45">
                  <c:v>-5809</c:v>
                </c:pt>
                <c:pt idx="46">
                  <c:v>-5766</c:v>
                </c:pt>
                <c:pt idx="47">
                  <c:v>-5769</c:v>
                </c:pt>
                <c:pt idx="48">
                  <c:v>-5801</c:v>
                </c:pt>
                <c:pt idx="49">
                  <c:v>-5797</c:v>
                </c:pt>
                <c:pt idx="50">
                  <c:v>-5719</c:v>
                </c:pt>
                <c:pt idx="51">
                  <c:v>-5736</c:v>
                </c:pt>
                <c:pt idx="52">
                  <c:v>-5730</c:v>
                </c:pt>
                <c:pt idx="53">
                  <c:v>-5774</c:v>
                </c:pt>
                <c:pt idx="54">
                  <c:v>-5790</c:v>
                </c:pt>
                <c:pt idx="55">
                  <c:v>-5665</c:v>
                </c:pt>
                <c:pt idx="56">
                  <c:v>-5679</c:v>
                </c:pt>
                <c:pt idx="57">
                  <c:v>-5727</c:v>
                </c:pt>
                <c:pt idx="58">
                  <c:v>-5782</c:v>
                </c:pt>
                <c:pt idx="59">
                  <c:v>-5550</c:v>
                </c:pt>
                <c:pt idx="60">
                  <c:v>-5560</c:v>
                </c:pt>
                <c:pt idx="61">
                  <c:v>-5645</c:v>
                </c:pt>
                <c:pt idx="62">
                  <c:v>-5689</c:v>
                </c:pt>
                <c:pt idx="63">
                  <c:v>-5788</c:v>
                </c:pt>
                <c:pt idx="64">
                  <c:v>-5210</c:v>
                </c:pt>
                <c:pt idx="65">
                  <c:v>-5252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Resumo!$AB$5:$AE$5</c:f>
              <c:strCache>
                <c:ptCount val="1"/>
                <c:pt idx="0">
                  <c:v>MALHA GROSSA</c:v>
                </c:pt>
              </c:strCache>
            </c:strRef>
          </c:tx>
          <c:marker>
            <c:symbol val="none"/>
          </c:marker>
          <c:xVal>
            <c:numRef>
              <c:f>Resumo!$AC$7:$AC$8</c:f>
              <c:numCache>
                <c:formatCode>0.000</c:formatCode>
                <c:ptCount val="2"/>
                <c:pt idx="0">
                  <c:v>0.155</c:v>
                </c:pt>
                <c:pt idx="1">
                  <c:v>0.155</c:v>
                </c:pt>
              </c:numCache>
            </c:numRef>
          </c:xVal>
          <c:yVal>
            <c:numRef>
              <c:f>Resumo!$AE$7:$AE$8</c:f>
              <c:numCache>
                <c:formatCode>0.0</c:formatCode>
                <c:ptCount val="2"/>
                <c:pt idx="0">
                  <c:v>-8525</c:v>
                </c:pt>
                <c:pt idx="1">
                  <c:v>14530</c:v>
                </c:pt>
              </c:numCache>
            </c:numRef>
          </c:yVal>
          <c:smooth val="1"/>
        </c:ser>
        <c:ser>
          <c:idx val="2"/>
          <c:order val="2"/>
          <c:tx>
            <c:strRef>
              <c:f>Resumo!$AB$11:$AE$11</c:f>
              <c:strCache>
                <c:ptCount val="1"/>
                <c:pt idx="0">
                  <c:v>MALHA FINA</c:v>
                </c:pt>
              </c:strCache>
            </c:strRef>
          </c:tx>
          <c:marker>
            <c:symbol val="none"/>
          </c:marker>
          <c:xVal>
            <c:numRef>
              <c:f>Resumo!$AC$13:$AC$14</c:f>
              <c:numCache>
                <c:formatCode>0.000</c:formatCode>
                <c:ptCount val="2"/>
                <c:pt idx="0">
                  <c:v>0.08</c:v>
                </c:pt>
                <c:pt idx="1">
                  <c:v>0.08</c:v>
                </c:pt>
              </c:numCache>
            </c:numRef>
          </c:xVal>
          <c:yVal>
            <c:numRef>
              <c:f>Resumo!$AE$13:$AE$14</c:f>
              <c:numCache>
                <c:formatCode>0.0</c:formatCode>
                <c:ptCount val="2"/>
                <c:pt idx="0">
                  <c:v>-8525</c:v>
                </c:pt>
                <c:pt idx="1">
                  <c:v>14530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42998208"/>
        <c:axId val="742998768"/>
      </c:scatterChart>
      <c:valAx>
        <c:axId val="742998208"/>
        <c:scaling>
          <c:orientation val="minMax"/>
          <c:max val="1"/>
          <c:min val="0"/>
        </c:scaling>
        <c:delete val="0"/>
        <c:axPos val="t"/>
        <c:majorGridlines>
          <c:spPr>
            <a:ln>
              <a:noFill/>
            </a:ln>
          </c:spPr>
        </c:majorGridlines>
        <c:numFmt formatCode="#,##0.00" sourceLinked="0"/>
        <c:majorTickMark val="out"/>
        <c:minorTickMark val="none"/>
        <c:tickLblPos val="nextTo"/>
        <c:crossAx val="742998768"/>
        <c:crosses val="max"/>
        <c:crossBetween val="midCat"/>
      </c:valAx>
      <c:valAx>
        <c:axId val="742998768"/>
        <c:scaling>
          <c:orientation val="minMax"/>
          <c:max val="-5150"/>
          <c:min val="-5900"/>
        </c:scaling>
        <c:delete val="0"/>
        <c:axPos val="l"/>
        <c:majorGridlines>
          <c:spPr>
            <a:ln>
              <a:noFill/>
            </a:ln>
          </c:spPr>
        </c:majorGridlines>
        <c:numFmt formatCode="0.0E+0" sourceLinked="0"/>
        <c:majorTickMark val="out"/>
        <c:minorTickMark val="none"/>
        <c:tickLblPos val="nextTo"/>
        <c:crossAx val="7429982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Resumo!$G$4</c:f>
              <c:strCache>
                <c:ptCount val="1"/>
                <c:pt idx="0">
                  <c:v> MIN MY</c:v>
                </c:pt>
              </c:strCache>
            </c:strRef>
          </c:tx>
          <c:spPr>
            <a:ln>
              <a:solidFill>
                <a:srgbClr val="00B0F0"/>
              </a:solidFill>
            </a:ln>
          </c:spPr>
          <c:marker>
            <c:symbol val="circle"/>
            <c:size val="10"/>
            <c:spPr>
              <a:solidFill>
                <a:schemeClr val="tx2">
                  <a:lumMod val="20000"/>
                  <a:lumOff val="80000"/>
                  <a:alpha val="75000"/>
                </a:schemeClr>
              </a:solidFill>
              <a:ln>
                <a:solidFill>
                  <a:srgbClr val="0000FF"/>
                </a:solidFill>
              </a:ln>
            </c:spPr>
          </c:marker>
          <c:dPt>
            <c:idx val="7"/>
            <c:bubble3D val="0"/>
          </c:dPt>
          <c:xVal>
            <c:numRef>
              <c:f>Resumo!$C$5:$C$933</c:f>
              <c:numCache>
                <c:formatCode>#,##0</c:formatCode>
                <c:ptCount val="929"/>
                <c:pt idx="0">
                  <c:v>43750</c:v>
                </c:pt>
                <c:pt idx="1">
                  <c:v>28000</c:v>
                </c:pt>
                <c:pt idx="2">
                  <c:v>19539</c:v>
                </c:pt>
                <c:pt idx="3">
                  <c:v>14300</c:v>
                </c:pt>
                <c:pt idx="4">
                  <c:v>11000</c:v>
                </c:pt>
                <c:pt idx="5">
                  <c:v>8736</c:v>
                </c:pt>
                <c:pt idx="6">
                  <c:v>7000</c:v>
                </c:pt>
                <c:pt idx="7">
                  <c:v>5824</c:v>
                </c:pt>
                <c:pt idx="8">
                  <c:v>4956</c:v>
                </c:pt>
                <c:pt idx="9">
                  <c:v>4158</c:v>
                </c:pt>
                <c:pt idx="10">
                  <c:v>3600</c:v>
                </c:pt>
                <c:pt idx="11">
                  <c:v>3149</c:v>
                </c:pt>
                <c:pt idx="12">
                  <c:v>2772</c:v>
                </c:pt>
                <c:pt idx="13">
                  <c:v>2478</c:v>
                </c:pt>
                <c:pt idx="14">
                  <c:v>2184</c:v>
                </c:pt>
                <c:pt idx="15">
                  <c:v>1961</c:v>
                </c:pt>
                <c:pt idx="16">
                  <c:v>1750</c:v>
                </c:pt>
                <c:pt idx="17">
                  <c:v>1632</c:v>
                </c:pt>
                <c:pt idx="18">
                  <c:v>1472</c:v>
                </c:pt>
                <c:pt idx="19">
                  <c:v>1364</c:v>
                </c:pt>
                <c:pt idx="20">
                  <c:v>1260</c:v>
                </c:pt>
                <c:pt idx="21">
                  <c:v>1120</c:v>
                </c:pt>
                <c:pt idx="22">
                  <c:v>1053</c:v>
                </c:pt>
                <c:pt idx="23">
                  <c:v>988</c:v>
                </c:pt>
                <c:pt idx="24">
                  <c:v>900</c:v>
                </c:pt>
                <c:pt idx="25">
                  <c:v>875</c:v>
                </c:pt>
                <c:pt idx="26">
                  <c:v>816</c:v>
                </c:pt>
                <c:pt idx="27">
                  <c:v>759</c:v>
                </c:pt>
                <c:pt idx="28">
                  <c:v>704</c:v>
                </c:pt>
                <c:pt idx="29">
                  <c:v>682</c:v>
                </c:pt>
                <c:pt idx="30">
                  <c:v>630</c:v>
                </c:pt>
                <c:pt idx="31">
                  <c:v>580</c:v>
                </c:pt>
                <c:pt idx="32">
                  <c:v>560</c:v>
                </c:pt>
                <c:pt idx="33">
                  <c:v>532</c:v>
                </c:pt>
                <c:pt idx="34">
                  <c:v>513</c:v>
                </c:pt>
                <c:pt idx="35">
                  <c:v>468</c:v>
                </c:pt>
                <c:pt idx="36">
                  <c:v>450</c:v>
                </c:pt>
                <c:pt idx="37">
                  <c:v>408</c:v>
                </c:pt>
                <c:pt idx="38">
                  <c:v>368</c:v>
                </c:pt>
                <c:pt idx="39" formatCode="General">
                  <c:v>352</c:v>
                </c:pt>
                <c:pt idx="40" formatCode="General">
                  <c:v>330</c:v>
                </c:pt>
                <c:pt idx="41" formatCode="General">
                  <c:v>315</c:v>
                </c:pt>
                <c:pt idx="42" formatCode="General">
                  <c:v>280</c:v>
                </c:pt>
                <c:pt idx="43" formatCode="General">
                  <c:v>266</c:v>
                </c:pt>
                <c:pt idx="44" formatCode="General">
                  <c:v>247</c:v>
                </c:pt>
                <c:pt idx="45" formatCode="General">
                  <c:v>234</c:v>
                </c:pt>
                <c:pt idx="46" formatCode="General">
                  <c:v>204</c:v>
                </c:pt>
                <c:pt idx="47" formatCode="General">
                  <c:v>192</c:v>
                </c:pt>
                <c:pt idx="48" formatCode="General">
                  <c:v>176</c:v>
                </c:pt>
                <c:pt idx="49" formatCode="General">
                  <c:v>165</c:v>
                </c:pt>
                <c:pt idx="50" formatCode="General">
                  <c:v>150</c:v>
                </c:pt>
                <c:pt idx="51" formatCode="General">
                  <c:v>140</c:v>
                </c:pt>
                <c:pt idx="52" formatCode="General">
                  <c:v>130</c:v>
                </c:pt>
                <c:pt idx="53" formatCode="General">
                  <c:v>117</c:v>
                </c:pt>
                <c:pt idx="54" formatCode="General">
                  <c:v>108</c:v>
                </c:pt>
                <c:pt idx="55" formatCode="General">
                  <c:v>96</c:v>
                </c:pt>
                <c:pt idx="56" formatCode="General">
                  <c:v>88</c:v>
                </c:pt>
                <c:pt idx="57" formatCode="General">
                  <c:v>70</c:v>
                </c:pt>
                <c:pt idx="58" formatCode="General">
                  <c:v>63</c:v>
                </c:pt>
                <c:pt idx="59" formatCode="General">
                  <c:v>54</c:v>
                </c:pt>
                <c:pt idx="60" formatCode="General">
                  <c:v>48</c:v>
                </c:pt>
                <c:pt idx="61" formatCode="General">
                  <c:v>40</c:v>
                </c:pt>
                <c:pt idx="62" formatCode="General">
                  <c:v>35</c:v>
                </c:pt>
                <c:pt idx="63" formatCode="General">
                  <c:v>30</c:v>
                </c:pt>
                <c:pt idx="64" formatCode="General">
                  <c:v>24</c:v>
                </c:pt>
                <c:pt idx="65" formatCode="General">
                  <c:v>20</c:v>
                </c:pt>
              </c:numCache>
            </c:numRef>
          </c:xVal>
          <c:yVal>
            <c:numRef>
              <c:f>Resumo!$G$5:$G$933</c:f>
              <c:numCache>
                <c:formatCode>0.000E+00</c:formatCode>
                <c:ptCount val="929"/>
                <c:pt idx="0">
                  <c:v>-5890</c:v>
                </c:pt>
                <c:pt idx="1">
                  <c:v>-5889</c:v>
                </c:pt>
                <c:pt idx="2">
                  <c:v>-5889</c:v>
                </c:pt>
                <c:pt idx="3">
                  <c:v>-5887</c:v>
                </c:pt>
                <c:pt idx="4">
                  <c:v>-5886</c:v>
                </c:pt>
                <c:pt idx="5">
                  <c:v>-5884</c:v>
                </c:pt>
                <c:pt idx="6">
                  <c:v>-5882</c:v>
                </c:pt>
                <c:pt idx="7">
                  <c:v>-5881</c:v>
                </c:pt>
                <c:pt idx="8">
                  <c:v>-5881</c:v>
                </c:pt>
                <c:pt idx="9">
                  <c:v>-5877</c:v>
                </c:pt>
                <c:pt idx="10">
                  <c:v>-5875</c:v>
                </c:pt>
                <c:pt idx="11">
                  <c:v>-5875</c:v>
                </c:pt>
                <c:pt idx="12">
                  <c:v>-5871</c:v>
                </c:pt>
                <c:pt idx="13">
                  <c:v>-5869</c:v>
                </c:pt>
                <c:pt idx="14">
                  <c:v>-5871</c:v>
                </c:pt>
                <c:pt idx="15">
                  <c:v>-5869</c:v>
                </c:pt>
                <c:pt idx="16">
                  <c:v>-5867</c:v>
                </c:pt>
                <c:pt idx="17">
                  <c:v>-5861</c:v>
                </c:pt>
                <c:pt idx="18">
                  <c:v>-5857</c:v>
                </c:pt>
                <c:pt idx="19">
                  <c:v>-5862</c:v>
                </c:pt>
                <c:pt idx="20">
                  <c:v>-5854</c:v>
                </c:pt>
                <c:pt idx="21">
                  <c:v>-5850</c:v>
                </c:pt>
                <c:pt idx="22">
                  <c:v>-5856</c:v>
                </c:pt>
                <c:pt idx="23">
                  <c:v>-5845</c:v>
                </c:pt>
                <c:pt idx="24">
                  <c:v>-5851</c:v>
                </c:pt>
                <c:pt idx="25">
                  <c:v>-5853</c:v>
                </c:pt>
                <c:pt idx="26">
                  <c:v>-5840</c:v>
                </c:pt>
                <c:pt idx="27">
                  <c:v>-5847</c:v>
                </c:pt>
                <c:pt idx="28">
                  <c:v>-5834</c:v>
                </c:pt>
                <c:pt idx="29">
                  <c:v>-5832</c:v>
                </c:pt>
                <c:pt idx="30">
                  <c:v>-5844</c:v>
                </c:pt>
                <c:pt idx="31">
                  <c:v>-5826</c:v>
                </c:pt>
                <c:pt idx="32">
                  <c:v>-5823</c:v>
                </c:pt>
                <c:pt idx="33">
                  <c:v>-5835</c:v>
                </c:pt>
                <c:pt idx="34">
                  <c:v>-5840</c:v>
                </c:pt>
                <c:pt idx="35">
                  <c:v>-5814</c:v>
                </c:pt>
                <c:pt idx="36">
                  <c:v>-5816</c:v>
                </c:pt>
                <c:pt idx="37">
                  <c:v>-5833</c:v>
                </c:pt>
                <c:pt idx="38">
                  <c:v>-5798</c:v>
                </c:pt>
                <c:pt idx="39">
                  <c:v>-5806</c:v>
                </c:pt>
                <c:pt idx="40">
                  <c:v>-5825</c:v>
                </c:pt>
                <c:pt idx="41">
                  <c:v>-5824</c:v>
                </c:pt>
                <c:pt idx="42">
                  <c:v>-5785</c:v>
                </c:pt>
                <c:pt idx="43">
                  <c:v>-5791</c:v>
                </c:pt>
                <c:pt idx="44">
                  <c:v>-5816</c:v>
                </c:pt>
                <c:pt idx="45">
                  <c:v>-5809</c:v>
                </c:pt>
                <c:pt idx="46">
                  <c:v>-5766</c:v>
                </c:pt>
                <c:pt idx="47">
                  <c:v>-5769</c:v>
                </c:pt>
                <c:pt idx="48">
                  <c:v>-5801</c:v>
                </c:pt>
                <c:pt idx="49">
                  <c:v>-5797</c:v>
                </c:pt>
                <c:pt idx="50">
                  <c:v>-5719</c:v>
                </c:pt>
                <c:pt idx="51">
                  <c:v>-5736</c:v>
                </c:pt>
                <c:pt idx="52">
                  <c:v>-5730</c:v>
                </c:pt>
                <c:pt idx="53">
                  <c:v>-5774</c:v>
                </c:pt>
                <c:pt idx="54">
                  <c:v>-5790</c:v>
                </c:pt>
                <c:pt idx="55">
                  <c:v>-5665</c:v>
                </c:pt>
                <c:pt idx="56">
                  <c:v>-5679</c:v>
                </c:pt>
                <c:pt idx="57">
                  <c:v>-5727</c:v>
                </c:pt>
                <c:pt idx="58">
                  <c:v>-5782</c:v>
                </c:pt>
                <c:pt idx="59">
                  <c:v>-5550</c:v>
                </c:pt>
                <c:pt idx="60">
                  <c:v>-5560</c:v>
                </c:pt>
                <c:pt idx="61">
                  <c:v>-5645</c:v>
                </c:pt>
                <c:pt idx="62">
                  <c:v>-5689</c:v>
                </c:pt>
                <c:pt idx="63">
                  <c:v>-5788</c:v>
                </c:pt>
                <c:pt idx="64">
                  <c:v>-5210</c:v>
                </c:pt>
                <c:pt idx="65">
                  <c:v>-5252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Resumo!$AB$5:$AE$5</c:f>
              <c:strCache>
                <c:ptCount val="1"/>
                <c:pt idx="0">
                  <c:v>MALHA GROSSA</c:v>
                </c:pt>
              </c:strCache>
            </c:strRef>
          </c:tx>
          <c:marker>
            <c:symbol val="none"/>
          </c:marker>
          <c:xVal>
            <c:numRef>
              <c:f>Resumo!$AD$7:$AD$8</c:f>
              <c:numCache>
                <c:formatCode>#,##0</c:formatCode>
                <c:ptCount val="2"/>
                <c:pt idx="0">
                  <c:v>759</c:v>
                </c:pt>
                <c:pt idx="1">
                  <c:v>759</c:v>
                </c:pt>
              </c:numCache>
            </c:numRef>
          </c:xVal>
          <c:yVal>
            <c:numRef>
              <c:f>Resumo!$AE$7:$AE$8</c:f>
              <c:numCache>
                <c:formatCode>0.0</c:formatCode>
                <c:ptCount val="2"/>
                <c:pt idx="0">
                  <c:v>-8525</c:v>
                </c:pt>
                <c:pt idx="1">
                  <c:v>14530</c:v>
                </c:pt>
              </c:numCache>
            </c:numRef>
          </c:yVal>
          <c:smooth val="1"/>
        </c:ser>
        <c:ser>
          <c:idx val="2"/>
          <c:order val="2"/>
          <c:tx>
            <c:strRef>
              <c:f>Resumo!$AB$11:$AE$11</c:f>
              <c:strCache>
                <c:ptCount val="1"/>
                <c:pt idx="0">
                  <c:v>MALHA FINA</c:v>
                </c:pt>
              </c:strCache>
            </c:strRef>
          </c:tx>
          <c:marker>
            <c:symbol val="none"/>
          </c:marker>
          <c:xVal>
            <c:numRef>
              <c:f>Resumo!$AD$13:$AD$14</c:f>
              <c:numCache>
                <c:formatCode>#,##0</c:formatCode>
                <c:ptCount val="2"/>
                <c:pt idx="0">
                  <c:v>2772</c:v>
                </c:pt>
                <c:pt idx="1">
                  <c:v>2772</c:v>
                </c:pt>
              </c:numCache>
            </c:numRef>
          </c:xVal>
          <c:yVal>
            <c:numRef>
              <c:f>Resumo!$AE$13:$AE$14</c:f>
              <c:numCache>
                <c:formatCode>0.0</c:formatCode>
                <c:ptCount val="2"/>
                <c:pt idx="0">
                  <c:v>-8525</c:v>
                </c:pt>
                <c:pt idx="1">
                  <c:v>14530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43002688"/>
        <c:axId val="743003248"/>
      </c:scatterChart>
      <c:valAx>
        <c:axId val="743002688"/>
        <c:scaling>
          <c:orientation val="minMax"/>
          <c:max val="43750"/>
          <c:min val="0"/>
        </c:scaling>
        <c:delete val="0"/>
        <c:axPos val="t"/>
        <c:majorGridlines>
          <c:spPr>
            <a:ln>
              <a:noFill/>
            </a:ln>
          </c:spPr>
        </c:majorGridlines>
        <c:numFmt formatCode="0E+0" sourceLinked="0"/>
        <c:majorTickMark val="out"/>
        <c:minorTickMark val="none"/>
        <c:tickLblPos val="nextTo"/>
        <c:crossAx val="743003248"/>
        <c:crosses val="max"/>
        <c:crossBetween val="midCat"/>
      </c:valAx>
      <c:valAx>
        <c:axId val="743003248"/>
        <c:scaling>
          <c:orientation val="minMax"/>
          <c:max val="-5150"/>
          <c:min val="-5900"/>
        </c:scaling>
        <c:delete val="0"/>
        <c:axPos val="l"/>
        <c:majorGridlines>
          <c:spPr>
            <a:ln>
              <a:noFill/>
            </a:ln>
          </c:spPr>
        </c:majorGridlines>
        <c:numFmt formatCode="0.0E+0" sourceLinked="0"/>
        <c:majorTickMark val="out"/>
        <c:minorTickMark val="none"/>
        <c:tickLblPos val="nextTo"/>
        <c:crossAx val="7430026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Resumo!$H$4</c:f>
              <c:strCache>
                <c:ptCount val="1"/>
                <c:pt idx="0">
                  <c:v> MAX UY</c:v>
                </c:pt>
              </c:strCache>
            </c:strRef>
          </c:tx>
          <c:spPr>
            <a:ln>
              <a:solidFill>
                <a:srgbClr val="00B0F0"/>
              </a:solidFill>
            </a:ln>
          </c:spPr>
          <c:marker>
            <c:symbol val="circle"/>
            <c:size val="10"/>
            <c:spPr>
              <a:solidFill>
                <a:schemeClr val="tx2">
                  <a:lumMod val="20000"/>
                  <a:lumOff val="80000"/>
                  <a:alpha val="75000"/>
                </a:schemeClr>
              </a:solidFill>
              <a:ln>
                <a:solidFill>
                  <a:srgbClr val="0000FF"/>
                </a:solidFill>
              </a:ln>
            </c:spPr>
          </c:marker>
          <c:xVal>
            <c:numRef>
              <c:f>Resumo!$B$5:$B$933</c:f>
              <c:numCache>
                <c:formatCode>0.000</c:formatCode>
                <c:ptCount val="929"/>
                <c:pt idx="0">
                  <c:v>0.02</c:v>
                </c:pt>
                <c:pt idx="1">
                  <c:v>2.5000000000000001E-2</c:v>
                </c:pt>
                <c:pt idx="2">
                  <c:v>0.03</c:v>
                </c:pt>
                <c:pt idx="3">
                  <c:v>3.5000000000000003E-2</c:v>
                </c:pt>
                <c:pt idx="4">
                  <c:v>0.04</c:v>
                </c:pt>
                <c:pt idx="5">
                  <c:v>4.4999999999999998E-2</c:v>
                </c:pt>
                <c:pt idx="6">
                  <c:v>0.05</c:v>
                </c:pt>
                <c:pt idx="7">
                  <c:v>5.5E-2</c:v>
                </c:pt>
                <c:pt idx="8">
                  <c:v>0.06</c:v>
                </c:pt>
                <c:pt idx="9">
                  <c:v>6.5000000000000002E-2</c:v>
                </c:pt>
                <c:pt idx="10">
                  <c:v>7.0000000000000007E-2</c:v>
                </c:pt>
                <c:pt idx="11">
                  <c:v>7.4999999999999997E-2</c:v>
                </c:pt>
                <c:pt idx="12">
                  <c:v>0.08</c:v>
                </c:pt>
                <c:pt idx="13">
                  <c:v>8.5000000000000006E-2</c:v>
                </c:pt>
                <c:pt idx="14">
                  <c:v>0.09</c:v>
                </c:pt>
                <c:pt idx="15">
                  <c:v>9.5000000000000001E-2</c:v>
                </c:pt>
                <c:pt idx="16">
                  <c:v>0.1</c:v>
                </c:pt>
                <c:pt idx="17">
                  <c:v>0.105</c:v>
                </c:pt>
                <c:pt idx="18">
                  <c:v>0.11</c:v>
                </c:pt>
                <c:pt idx="19">
                  <c:v>0.115</c:v>
                </c:pt>
                <c:pt idx="20">
                  <c:v>0.12</c:v>
                </c:pt>
                <c:pt idx="21">
                  <c:v>0.125</c:v>
                </c:pt>
                <c:pt idx="22">
                  <c:v>0.13</c:v>
                </c:pt>
                <c:pt idx="23">
                  <c:v>0.13500000000000001</c:v>
                </c:pt>
                <c:pt idx="24">
                  <c:v>0.14000000000000001</c:v>
                </c:pt>
                <c:pt idx="25">
                  <c:v>0.14499999999999999</c:v>
                </c:pt>
                <c:pt idx="26">
                  <c:v>0.15</c:v>
                </c:pt>
                <c:pt idx="27">
                  <c:v>0.155</c:v>
                </c:pt>
                <c:pt idx="28">
                  <c:v>0.16</c:v>
                </c:pt>
                <c:pt idx="29">
                  <c:v>0.16500000000000001</c:v>
                </c:pt>
                <c:pt idx="30">
                  <c:v>0.17</c:v>
                </c:pt>
                <c:pt idx="31">
                  <c:v>0.17499999999999999</c:v>
                </c:pt>
                <c:pt idx="32">
                  <c:v>0.18</c:v>
                </c:pt>
                <c:pt idx="33">
                  <c:v>0.185</c:v>
                </c:pt>
                <c:pt idx="34">
                  <c:v>0.19</c:v>
                </c:pt>
                <c:pt idx="35">
                  <c:v>0.19500000000000001</c:v>
                </c:pt>
                <c:pt idx="36">
                  <c:v>0.2</c:v>
                </c:pt>
                <c:pt idx="37">
                  <c:v>0.21</c:v>
                </c:pt>
                <c:pt idx="38">
                  <c:v>0.22</c:v>
                </c:pt>
                <c:pt idx="39" formatCode="General">
                  <c:v>0.23</c:v>
                </c:pt>
                <c:pt idx="40" formatCode="General">
                  <c:v>0.23499999999999999</c:v>
                </c:pt>
                <c:pt idx="41" formatCode="General">
                  <c:v>0.24</c:v>
                </c:pt>
                <c:pt idx="42" formatCode="General">
                  <c:v>0.25</c:v>
                </c:pt>
                <c:pt idx="43" formatCode="General">
                  <c:v>0.26500000000000001</c:v>
                </c:pt>
                <c:pt idx="44" formatCode="General">
                  <c:v>0.27</c:v>
                </c:pt>
                <c:pt idx="45" formatCode="General">
                  <c:v>0.28000000000000003</c:v>
                </c:pt>
                <c:pt idx="46" formatCode="General">
                  <c:v>0.29499999999999998</c:v>
                </c:pt>
                <c:pt idx="47" formatCode="General">
                  <c:v>0.315</c:v>
                </c:pt>
                <c:pt idx="48" formatCode="General">
                  <c:v>0.32</c:v>
                </c:pt>
                <c:pt idx="49" formatCode="General">
                  <c:v>0.33500000000000002</c:v>
                </c:pt>
                <c:pt idx="50" formatCode="General">
                  <c:v>0.35</c:v>
                </c:pt>
                <c:pt idx="51" formatCode="General">
                  <c:v>0.36</c:v>
                </c:pt>
                <c:pt idx="52" formatCode="General">
                  <c:v>0.38500000000000001</c:v>
                </c:pt>
                <c:pt idx="53" formatCode="General">
                  <c:v>0.39</c:v>
                </c:pt>
                <c:pt idx="54" formatCode="General">
                  <c:v>0.42</c:v>
                </c:pt>
                <c:pt idx="55" formatCode="General">
                  <c:v>0.44</c:v>
                </c:pt>
                <c:pt idx="56" formatCode="General">
                  <c:v>0.45500000000000002</c:v>
                </c:pt>
                <c:pt idx="57" formatCode="General">
                  <c:v>0.5</c:v>
                </c:pt>
                <c:pt idx="58" formatCode="General">
                  <c:v>0.56000000000000005</c:v>
                </c:pt>
                <c:pt idx="59" formatCode="General">
                  <c:v>0.58499999999999996</c:v>
                </c:pt>
                <c:pt idx="60" formatCode="General">
                  <c:v>0.625</c:v>
                </c:pt>
                <c:pt idx="61" formatCode="General">
                  <c:v>0.7</c:v>
                </c:pt>
                <c:pt idx="62" formatCode="General">
                  <c:v>0.71499999999999997</c:v>
                </c:pt>
                <c:pt idx="63" formatCode="General">
                  <c:v>0.83499999999999996</c:v>
                </c:pt>
                <c:pt idx="64" formatCode="General">
                  <c:v>0.875</c:v>
                </c:pt>
                <c:pt idx="65" formatCode="General">
                  <c:v>1</c:v>
                </c:pt>
              </c:numCache>
            </c:numRef>
          </c:xVal>
          <c:yVal>
            <c:numRef>
              <c:f>Resumo!$H$5:$H$933</c:f>
              <c:numCache>
                <c:formatCode>0.000E+00</c:formatCode>
                <c:ptCount val="929"/>
                <c:pt idx="0">
                  <c:v>-2.8540000000000002E-3</c:v>
                </c:pt>
                <c:pt idx="1">
                  <c:v>-2.8530000000000001E-3</c:v>
                </c:pt>
                <c:pt idx="2">
                  <c:v>-2.8530000000000001E-3</c:v>
                </c:pt>
                <c:pt idx="3">
                  <c:v>-2.8519999999999999E-3</c:v>
                </c:pt>
                <c:pt idx="4">
                  <c:v>-2.8509999999999998E-3</c:v>
                </c:pt>
                <c:pt idx="5">
                  <c:v>-2.8500000000000001E-3</c:v>
                </c:pt>
                <c:pt idx="6">
                  <c:v>-2.849E-3</c:v>
                </c:pt>
                <c:pt idx="7">
                  <c:v>-2.8479999999999998E-3</c:v>
                </c:pt>
                <c:pt idx="8">
                  <c:v>-2.8479999999999998E-3</c:v>
                </c:pt>
                <c:pt idx="9">
                  <c:v>-2.8449999999999999E-3</c:v>
                </c:pt>
                <c:pt idx="10">
                  <c:v>-2.8440000000000002E-3</c:v>
                </c:pt>
                <c:pt idx="11">
                  <c:v>-2.8449999999999999E-3</c:v>
                </c:pt>
                <c:pt idx="12">
                  <c:v>-2.8410000000000002E-3</c:v>
                </c:pt>
                <c:pt idx="13">
                  <c:v>-2.8400000000000001E-3</c:v>
                </c:pt>
                <c:pt idx="14">
                  <c:v>-2.8410000000000002E-3</c:v>
                </c:pt>
                <c:pt idx="15">
                  <c:v>-2.8400000000000001E-3</c:v>
                </c:pt>
                <c:pt idx="16">
                  <c:v>-2.8379999999999998E-3</c:v>
                </c:pt>
                <c:pt idx="17">
                  <c:v>-2.8340000000000001E-3</c:v>
                </c:pt>
                <c:pt idx="18">
                  <c:v>-2.833E-3</c:v>
                </c:pt>
                <c:pt idx="19">
                  <c:v>-2.8349999999999998E-3</c:v>
                </c:pt>
                <c:pt idx="20">
                  <c:v>-2.8300000000000001E-3</c:v>
                </c:pt>
                <c:pt idx="21">
                  <c:v>-2.8270000000000001E-3</c:v>
                </c:pt>
                <c:pt idx="22">
                  <c:v>-2.8300000000000001E-3</c:v>
                </c:pt>
                <c:pt idx="23">
                  <c:v>-2.8240000000000001E-3</c:v>
                </c:pt>
                <c:pt idx="24">
                  <c:v>-2.826E-3</c:v>
                </c:pt>
                <c:pt idx="25">
                  <c:v>-2.8279999999999998E-3</c:v>
                </c:pt>
                <c:pt idx="26">
                  <c:v>-2.8180000000000002E-3</c:v>
                </c:pt>
                <c:pt idx="27">
                  <c:v>-2.8249999999999998E-3</c:v>
                </c:pt>
                <c:pt idx="28">
                  <c:v>-2.8149999999999998E-3</c:v>
                </c:pt>
                <c:pt idx="29">
                  <c:v>-2.8149999999999998E-3</c:v>
                </c:pt>
                <c:pt idx="30">
                  <c:v>-2.82E-3</c:v>
                </c:pt>
                <c:pt idx="31">
                  <c:v>-2.8080000000000002E-3</c:v>
                </c:pt>
                <c:pt idx="32">
                  <c:v>-2.81E-3</c:v>
                </c:pt>
                <c:pt idx="33">
                  <c:v>-2.8159999999999999E-3</c:v>
                </c:pt>
                <c:pt idx="34">
                  <c:v>-2.8119999999999998E-3</c:v>
                </c:pt>
                <c:pt idx="35">
                  <c:v>-2.8029999999999999E-3</c:v>
                </c:pt>
                <c:pt idx="36">
                  <c:v>-2.7980000000000001E-3</c:v>
                </c:pt>
                <c:pt idx="37">
                  <c:v>-2.8089999999999999E-3</c:v>
                </c:pt>
                <c:pt idx="38">
                  <c:v>-2.7910000000000001E-3</c:v>
                </c:pt>
                <c:pt idx="39">
                  <c:v>-2.7910000000000001E-3</c:v>
                </c:pt>
                <c:pt idx="40">
                  <c:v>-2.8010000000000001E-3</c:v>
                </c:pt>
                <c:pt idx="41">
                  <c:v>-2.8010000000000001E-3</c:v>
                </c:pt>
                <c:pt idx="42">
                  <c:v>-2.7759999999999998E-3</c:v>
                </c:pt>
                <c:pt idx="43">
                  <c:v>-2.7789999999999998E-3</c:v>
                </c:pt>
                <c:pt idx="44">
                  <c:v>-2.7920000000000002E-3</c:v>
                </c:pt>
                <c:pt idx="45">
                  <c:v>-2.7799999999999999E-3</c:v>
                </c:pt>
                <c:pt idx="46">
                  <c:v>-2.7620000000000001E-3</c:v>
                </c:pt>
                <c:pt idx="47">
                  <c:v>-2.751E-3</c:v>
                </c:pt>
                <c:pt idx="48">
                  <c:v>-2.7669999999999999E-3</c:v>
                </c:pt>
                <c:pt idx="49">
                  <c:v>-2.7729999999999999E-3</c:v>
                </c:pt>
                <c:pt idx="50">
                  <c:v>-2.7330000000000002E-3</c:v>
                </c:pt>
                <c:pt idx="51">
                  <c:v>-2.7260000000000001E-3</c:v>
                </c:pt>
                <c:pt idx="52">
                  <c:v>-2.7239999999999999E-3</c:v>
                </c:pt>
                <c:pt idx="53">
                  <c:v>-2.745E-3</c:v>
                </c:pt>
                <c:pt idx="54">
                  <c:v>-2.745E-3</c:v>
                </c:pt>
                <c:pt idx="55">
                  <c:v>-2.6809999999999998E-3</c:v>
                </c:pt>
                <c:pt idx="56">
                  <c:v>-2.663E-3</c:v>
                </c:pt>
                <c:pt idx="57">
                  <c:v>-2.7039999999999998E-3</c:v>
                </c:pt>
                <c:pt idx="58">
                  <c:v>-2.6540000000000001E-3</c:v>
                </c:pt>
                <c:pt idx="59">
                  <c:v>-2.5370000000000002E-3</c:v>
                </c:pt>
                <c:pt idx="60">
                  <c:v>-2.5699999999999998E-3</c:v>
                </c:pt>
                <c:pt idx="61">
                  <c:v>-2.6059999999999998E-3</c:v>
                </c:pt>
                <c:pt idx="62">
                  <c:v>-2.5500000000000002E-3</c:v>
                </c:pt>
                <c:pt idx="63">
                  <c:v>-2.565E-3</c:v>
                </c:pt>
                <c:pt idx="64">
                  <c:v>-2.284E-3</c:v>
                </c:pt>
                <c:pt idx="65">
                  <c:v>-2.2209999999999999E-3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Resumo!$AB$5:$AE$5</c:f>
              <c:strCache>
                <c:ptCount val="1"/>
                <c:pt idx="0">
                  <c:v>MALHA GROSSA</c:v>
                </c:pt>
              </c:strCache>
            </c:strRef>
          </c:tx>
          <c:marker>
            <c:symbol val="none"/>
          </c:marker>
          <c:xVal>
            <c:numRef>
              <c:f>Resumo!$AC$7:$AC$8</c:f>
              <c:numCache>
                <c:formatCode>0.000</c:formatCode>
                <c:ptCount val="2"/>
                <c:pt idx="0">
                  <c:v>0.155</c:v>
                </c:pt>
                <c:pt idx="1">
                  <c:v>0.155</c:v>
                </c:pt>
              </c:numCache>
            </c:numRef>
          </c:xVal>
          <c:yVal>
            <c:numRef>
              <c:f>Resumo!$AE$7:$AE$8</c:f>
              <c:numCache>
                <c:formatCode>0.0</c:formatCode>
                <c:ptCount val="2"/>
                <c:pt idx="0">
                  <c:v>-8525</c:v>
                </c:pt>
                <c:pt idx="1">
                  <c:v>14530</c:v>
                </c:pt>
              </c:numCache>
            </c:numRef>
          </c:yVal>
          <c:smooth val="1"/>
        </c:ser>
        <c:ser>
          <c:idx val="2"/>
          <c:order val="2"/>
          <c:tx>
            <c:strRef>
              <c:f>Resumo!$AB$11:$AE$11</c:f>
              <c:strCache>
                <c:ptCount val="1"/>
                <c:pt idx="0">
                  <c:v>MALHA FINA</c:v>
                </c:pt>
              </c:strCache>
            </c:strRef>
          </c:tx>
          <c:marker>
            <c:symbol val="none"/>
          </c:marker>
          <c:xVal>
            <c:numRef>
              <c:f>Resumo!$AC$13:$AC$14</c:f>
              <c:numCache>
                <c:formatCode>0.000</c:formatCode>
                <c:ptCount val="2"/>
                <c:pt idx="0">
                  <c:v>0.08</c:v>
                </c:pt>
                <c:pt idx="1">
                  <c:v>0.08</c:v>
                </c:pt>
              </c:numCache>
            </c:numRef>
          </c:xVal>
          <c:yVal>
            <c:numRef>
              <c:f>Resumo!$AE$13:$AE$14</c:f>
              <c:numCache>
                <c:formatCode>0.0</c:formatCode>
                <c:ptCount val="2"/>
                <c:pt idx="0">
                  <c:v>-8525</c:v>
                </c:pt>
                <c:pt idx="1">
                  <c:v>14530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43007168"/>
        <c:axId val="743007728"/>
      </c:scatterChart>
      <c:valAx>
        <c:axId val="743007168"/>
        <c:scaling>
          <c:orientation val="minMax"/>
          <c:max val="1"/>
          <c:min val="0"/>
        </c:scaling>
        <c:delete val="0"/>
        <c:axPos val="t"/>
        <c:majorGridlines>
          <c:spPr>
            <a:ln>
              <a:noFill/>
            </a:ln>
          </c:spPr>
        </c:majorGridlines>
        <c:numFmt formatCode="#,##0.00" sourceLinked="0"/>
        <c:majorTickMark val="out"/>
        <c:minorTickMark val="none"/>
        <c:tickLblPos val="nextTo"/>
        <c:crossAx val="743007728"/>
        <c:crosses val="max"/>
        <c:crossBetween val="midCat"/>
      </c:valAx>
      <c:valAx>
        <c:axId val="743007728"/>
        <c:scaling>
          <c:orientation val="minMax"/>
          <c:max val="-2.1500000000000004E-3"/>
          <c:min val="-2.9000000000000007E-3"/>
        </c:scaling>
        <c:delete val="0"/>
        <c:axPos val="l"/>
        <c:majorGridlines>
          <c:spPr>
            <a:ln>
              <a:noFill/>
            </a:ln>
          </c:spPr>
        </c:majorGridlines>
        <c:numFmt formatCode="0.0E+0" sourceLinked="0"/>
        <c:majorTickMark val="out"/>
        <c:minorTickMark val="none"/>
        <c:tickLblPos val="nextTo"/>
        <c:crossAx val="7430071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Resumo!$G$4</c:f>
              <c:strCache>
                <c:ptCount val="1"/>
                <c:pt idx="0">
                  <c:v> MIN MY</c:v>
                </c:pt>
              </c:strCache>
            </c:strRef>
          </c:tx>
          <c:spPr>
            <a:ln>
              <a:solidFill>
                <a:srgbClr val="00B0F0"/>
              </a:solidFill>
            </a:ln>
          </c:spPr>
          <c:marker>
            <c:symbol val="circle"/>
            <c:size val="10"/>
            <c:spPr>
              <a:solidFill>
                <a:schemeClr val="tx2">
                  <a:lumMod val="20000"/>
                  <a:lumOff val="80000"/>
                  <a:alpha val="75000"/>
                </a:schemeClr>
              </a:solidFill>
              <a:ln>
                <a:solidFill>
                  <a:srgbClr val="0000FF"/>
                </a:solidFill>
              </a:ln>
            </c:spPr>
          </c:marker>
          <c:dPt>
            <c:idx val="7"/>
            <c:bubble3D val="0"/>
          </c:dPt>
          <c:xVal>
            <c:numRef>
              <c:f>Resumo!$C$5:$C$933</c:f>
              <c:numCache>
                <c:formatCode>#,##0</c:formatCode>
                <c:ptCount val="929"/>
                <c:pt idx="0">
                  <c:v>43750</c:v>
                </c:pt>
                <c:pt idx="1">
                  <c:v>28000</c:v>
                </c:pt>
                <c:pt idx="2">
                  <c:v>19539</c:v>
                </c:pt>
                <c:pt idx="3">
                  <c:v>14300</c:v>
                </c:pt>
                <c:pt idx="4">
                  <c:v>11000</c:v>
                </c:pt>
                <c:pt idx="5">
                  <c:v>8736</c:v>
                </c:pt>
                <c:pt idx="6">
                  <c:v>7000</c:v>
                </c:pt>
                <c:pt idx="7">
                  <c:v>5824</c:v>
                </c:pt>
                <c:pt idx="8">
                  <c:v>4956</c:v>
                </c:pt>
                <c:pt idx="9">
                  <c:v>4158</c:v>
                </c:pt>
                <c:pt idx="10">
                  <c:v>3600</c:v>
                </c:pt>
                <c:pt idx="11">
                  <c:v>3149</c:v>
                </c:pt>
                <c:pt idx="12">
                  <c:v>2772</c:v>
                </c:pt>
                <c:pt idx="13">
                  <c:v>2478</c:v>
                </c:pt>
                <c:pt idx="14">
                  <c:v>2184</c:v>
                </c:pt>
                <c:pt idx="15">
                  <c:v>1961</c:v>
                </c:pt>
                <c:pt idx="16">
                  <c:v>1750</c:v>
                </c:pt>
                <c:pt idx="17">
                  <c:v>1632</c:v>
                </c:pt>
                <c:pt idx="18">
                  <c:v>1472</c:v>
                </c:pt>
                <c:pt idx="19">
                  <c:v>1364</c:v>
                </c:pt>
                <c:pt idx="20">
                  <c:v>1260</c:v>
                </c:pt>
                <c:pt idx="21">
                  <c:v>1120</c:v>
                </c:pt>
                <c:pt idx="22">
                  <c:v>1053</c:v>
                </c:pt>
                <c:pt idx="23">
                  <c:v>988</c:v>
                </c:pt>
                <c:pt idx="24">
                  <c:v>900</c:v>
                </c:pt>
                <c:pt idx="25">
                  <c:v>875</c:v>
                </c:pt>
                <c:pt idx="26">
                  <c:v>816</c:v>
                </c:pt>
                <c:pt idx="27">
                  <c:v>759</c:v>
                </c:pt>
                <c:pt idx="28">
                  <c:v>704</c:v>
                </c:pt>
                <c:pt idx="29">
                  <c:v>682</c:v>
                </c:pt>
                <c:pt idx="30">
                  <c:v>630</c:v>
                </c:pt>
                <c:pt idx="31">
                  <c:v>580</c:v>
                </c:pt>
                <c:pt idx="32">
                  <c:v>560</c:v>
                </c:pt>
                <c:pt idx="33">
                  <c:v>532</c:v>
                </c:pt>
                <c:pt idx="34">
                  <c:v>513</c:v>
                </c:pt>
                <c:pt idx="35">
                  <c:v>468</c:v>
                </c:pt>
                <c:pt idx="36">
                  <c:v>450</c:v>
                </c:pt>
                <c:pt idx="37">
                  <c:v>408</c:v>
                </c:pt>
                <c:pt idx="38">
                  <c:v>368</c:v>
                </c:pt>
                <c:pt idx="39" formatCode="General">
                  <c:v>352</c:v>
                </c:pt>
                <c:pt idx="40" formatCode="General">
                  <c:v>330</c:v>
                </c:pt>
                <c:pt idx="41" formatCode="General">
                  <c:v>315</c:v>
                </c:pt>
                <c:pt idx="42" formatCode="General">
                  <c:v>280</c:v>
                </c:pt>
                <c:pt idx="43" formatCode="General">
                  <c:v>266</c:v>
                </c:pt>
                <c:pt idx="44" formatCode="General">
                  <c:v>247</c:v>
                </c:pt>
                <c:pt idx="45" formatCode="General">
                  <c:v>234</c:v>
                </c:pt>
                <c:pt idx="46" formatCode="General">
                  <c:v>204</c:v>
                </c:pt>
                <c:pt idx="47" formatCode="General">
                  <c:v>192</c:v>
                </c:pt>
                <c:pt idx="48" formatCode="General">
                  <c:v>176</c:v>
                </c:pt>
                <c:pt idx="49" formatCode="General">
                  <c:v>165</c:v>
                </c:pt>
                <c:pt idx="50" formatCode="General">
                  <c:v>150</c:v>
                </c:pt>
                <c:pt idx="51" formatCode="General">
                  <c:v>140</c:v>
                </c:pt>
                <c:pt idx="52" formatCode="General">
                  <c:v>130</c:v>
                </c:pt>
                <c:pt idx="53" formatCode="General">
                  <c:v>117</c:v>
                </c:pt>
                <c:pt idx="54" formatCode="General">
                  <c:v>108</c:v>
                </c:pt>
                <c:pt idx="55" formatCode="General">
                  <c:v>96</c:v>
                </c:pt>
                <c:pt idx="56" formatCode="General">
                  <c:v>88</c:v>
                </c:pt>
                <c:pt idx="57" formatCode="General">
                  <c:v>70</c:v>
                </c:pt>
                <c:pt idx="58" formatCode="General">
                  <c:v>63</c:v>
                </c:pt>
                <c:pt idx="59" formatCode="General">
                  <c:v>54</c:v>
                </c:pt>
                <c:pt idx="60" formatCode="General">
                  <c:v>48</c:v>
                </c:pt>
                <c:pt idx="61" formatCode="General">
                  <c:v>40</c:v>
                </c:pt>
                <c:pt idx="62" formatCode="General">
                  <c:v>35</c:v>
                </c:pt>
                <c:pt idx="63" formatCode="General">
                  <c:v>30</c:v>
                </c:pt>
                <c:pt idx="64" formatCode="General">
                  <c:v>24</c:v>
                </c:pt>
                <c:pt idx="65" formatCode="General">
                  <c:v>20</c:v>
                </c:pt>
              </c:numCache>
            </c:numRef>
          </c:xVal>
          <c:yVal>
            <c:numRef>
              <c:f>Resumo!$H$5:$H$933</c:f>
              <c:numCache>
                <c:formatCode>0.000E+00</c:formatCode>
                <c:ptCount val="929"/>
                <c:pt idx="0">
                  <c:v>-2.8540000000000002E-3</c:v>
                </c:pt>
                <c:pt idx="1">
                  <c:v>-2.8530000000000001E-3</c:v>
                </c:pt>
                <c:pt idx="2">
                  <c:v>-2.8530000000000001E-3</c:v>
                </c:pt>
                <c:pt idx="3">
                  <c:v>-2.8519999999999999E-3</c:v>
                </c:pt>
                <c:pt idx="4">
                  <c:v>-2.8509999999999998E-3</c:v>
                </c:pt>
                <c:pt idx="5">
                  <c:v>-2.8500000000000001E-3</c:v>
                </c:pt>
                <c:pt idx="6">
                  <c:v>-2.849E-3</c:v>
                </c:pt>
                <c:pt idx="7">
                  <c:v>-2.8479999999999998E-3</c:v>
                </c:pt>
                <c:pt idx="8">
                  <c:v>-2.8479999999999998E-3</c:v>
                </c:pt>
                <c:pt idx="9">
                  <c:v>-2.8449999999999999E-3</c:v>
                </c:pt>
                <c:pt idx="10">
                  <c:v>-2.8440000000000002E-3</c:v>
                </c:pt>
                <c:pt idx="11">
                  <c:v>-2.8449999999999999E-3</c:v>
                </c:pt>
                <c:pt idx="12">
                  <c:v>-2.8410000000000002E-3</c:v>
                </c:pt>
                <c:pt idx="13">
                  <c:v>-2.8400000000000001E-3</c:v>
                </c:pt>
                <c:pt idx="14">
                  <c:v>-2.8410000000000002E-3</c:v>
                </c:pt>
                <c:pt idx="15">
                  <c:v>-2.8400000000000001E-3</c:v>
                </c:pt>
                <c:pt idx="16">
                  <c:v>-2.8379999999999998E-3</c:v>
                </c:pt>
                <c:pt idx="17">
                  <c:v>-2.8340000000000001E-3</c:v>
                </c:pt>
                <c:pt idx="18">
                  <c:v>-2.833E-3</c:v>
                </c:pt>
                <c:pt idx="19">
                  <c:v>-2.8349999999999998E-3</c:v>
                </c:pt>
                <c:pt idx="20">
                  <c:v>-2.8300000000000001E-3</c:v>
                </c:pt>
                <c:pt idx="21">
                  <c:v>-2.8270000000000001E-3</c:v>
                </c:pt>
                <c:pt idx="22">
                  <c:v>-2.8300000000000001E-3</c:v>
                </c:pt>
                <c:pt idx="23">
                  <c:v>-2.8240000000000001E-3</c:v>
                </c:pt>
                <c:pt idx="24">
                  <c:v>-2.826E-3</c:v>
                </c:pt>
                <c:pt idx="25">
                  <c:v>-2.8279999999999998E-3</c:v>
                </c:pt>
                <c:pt idx="26">
                  <c:v>-2.8180000000000002E-3</c:v>
                </c:pt>
                <c:pt idx="27">
                  <c:v>-2.8249999999999998E-3</c:v>
                </c:pt>
                <c:pt idx="28">
                  <c:v>-2.8149999999999998E-3</c:v>
                </c:pt>
                <c:pt idx="29">
                  <c:v>-2.8149999999999998E-3</c:v>
                </c:pt>
                <c:pt idx="30">
                  <c:v>-2.82E-3</c:v>
                </c:pt>
                <c:pt idx="31">
                  <c:v>-2.8080000000000002E-3</c:v>
                </c:pt>
                <c:pt idx="32">
                  <c:v>-2.81E-3</c:v>
                </c:pt>
                <c:pt idx="33">
                  <c:v>-2.8159999999999999E-3</c:v>
                </c:pt>
                <c:pt idx="34">
                  <c:v>-2.8119999999999998E-3</c:v>
                </c:pt>
                <c:pt idx="35">
                  <c:v>-2.8029999999999999E-3</c:v>
                </c:pt>
                <c:pt idx="36">
                  <c:v>-2.7980000000000001E-3</c:v>
                </c:pt>
                <c:pt idx="37">
                  <c:v>-2.8089999999999999E-3</c:v>
                </c:pt>
                <c:pt idx="38">
                  <c:v>-2.7910000000000001E-3</c:v>
                </c:pt>
                <c:pt idx="39">
                  <c:v>-2.7910000000000001E-3</c:v>
                </c:pt>
                <c:pt idx="40">
                  <c:v>-2.8010000000000001E-3</c:v>
                </c:pt>
                <c:pt idx="41">
                  <c:v>-2.8010000000000001E-3</c:v>
                </c:pt>
                <c:pt idx="42">
                  <c:v>-2.7759999999999998E-3</c:v>
                </c:pt>
                <c:pt idx="43">
                  <c:v>-2.7789999999999998E-3</c:v>
                </c:pt>
                <c:pt idx="44">
                  <c:v>-2.7920000000000002E-3</c:v>
                </c:pt>
                <c:pt idx="45">
                  <c:v>-2.7799999999999999E-3</c:v>
                </c:pt>
                <c:pt idx="46">
                  <c:v>-2.7620000000000001E-3</c:v>
                </c:pt>
                <c:pt idx="47">
                  <c:v>-2.751E-3</c:v>
                </c:pt>
                <c:pt idx="48">
                  <c:v>-2.7669999999999999E-3</c:v>
                </c:pt>
                <c:pt idx="49">
                  <c:v>-2.7729999999999999E-3</c:v>
                </c:pt>
                <c:pt idx="50">
                  <c:v>-2.7330000000000002E-3</c:v>
                </c:pt>
                <c:pt idx="51">
                  <c:v>-2.7260000000000001E-3</c:v>
                </c:pt>
                <c:pt idx="52">
                  <c:v>-2.7239999999999999E-3</c:v>
                </c:pt>
                <c:pt idx="53">
                  <c:v>-2.745E-3</c:v>
                </c:pt>
                <c:pt idx="54">
                  <c:v>-2.745E-3</c:v>
                </c:pt>
                <c:pt idx="55">
                  <c:v>-2.6809999999999998E-3</c:v>
                </c:pt>
                <c:pt idx="56">
                  <c:v>-2.663E-3</c:v>
                </c:pt>
                <c:pt idx="57">
                  <c:v>-2.7039999999999998E-3</c:v>
                </c:pt>
                <c:pt idx="58">
                  <c:v>-2.6540000000000001E-3</c:v>
                </c:pt>
                <c:pt idx="59">
                  <c:v>-2.5370000000000002E-3</c:v>
                </c:pt>
                <c:pt idx="60">
                  <c:v>-2.5699999999999998E-3</c:v>
                </c:pt>
                <c:pt idx="61">
                  <c:v>-2.6059999999999998E-3</c:v>
                </c:pt>
                <c:pt idx="62">
                  <c:v>-2.5500000000000002E-3</c:v>
                </c:pt>
                <c:pt idx="63">
                  <c:v>-2.565E-3</c:v>
                </c:pt>
                <c:pt idx="64">
                  <c:v>-2.284E-3</c:v>
                </c:pt>
                <c:pt idx="65">
                  <c:v>-2.2209999999999999E-3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Resumo!$AB$5:$AE$5</c:f>
              <c:strCache>
                <c:ptCount val="1"/>
                <c:pt idx="0">
                  <c:v>MALHA GROSSA</c:v>
                </c:pt>
              </c:strCache>
            </c:strRef>
          </c:tx>
          <c:marker>
            <c:symbol val="none"/>
          </c:marker>
          <c:xVal>
            <c:numRef>
              <c:f>Resumo!$AD$7:$AD$8</c:f>
              <c:numCache>
                <c:formatCode>#,##0</c:formatCode>
                <c:ptCount val="2"/>
                <c:pt idx="0">
                  <c:v>759</c:v>
                </c:pt>
                <c:pt idx="1">
                  <c:v>759</c:v>
                </c:pt>
              </c:numCache>
            </c:numRef>
          </c:xVal>
          <c:yVal>
            <c:numRef>
              <c:f>Resumo!$AE$7:$AE$8</c:f>
              <c:numCache>
                <c:formatCode>0.0</c:formatCode>
                <c:ptCount val="2"/>
                <c:pt idx="0">
                  <c:v>-8525</c:v>
                </c:pt>
                <c:pt idx="1">
                  <c:v>14530</c:v>
                </c:pt>
              </c:numCache>
            </c:numRef>
          </c:yVal>
          <c:smooth val="1"/>
        </c:ser>
        <c:ser>
          <c:idx val="2"/>
          <c:order val="2"/>
          <c:tx>
            <c:strRef>
              <c:f>Resumo!$AB$11:$AE$11</c:f>
              <c:strCache>
                <c:ptCount val="1"/>
                <c:pt idx="0">
                  <c:v>MALHA FINA</c:v>
                </c:pt>
              </c:strCache>
            </c:strRef>
          </c:tx>
          <c:marker>
            <c:symbol val="none"/>
          </c:marker>
          <c:xVal>
            <c:numRef>
              <c:f>Resumo!$AD$13:$AD$14</c:f>
              <c:numCache>
                <c:formatCode>#,##0</c:formatCode>
                <c:ptCount val="2"/>
                <c:pt idx="0">
                  <c:v>2772</c:v>
                </c:pt>
                <c:pt idx="1">
                  <c:v>2772</c:v>
                </c:pt>
              </c:numCache>
            </c:numRef>
          </c:xVal>
          <c:yVal>
            <c:numRef>
              <c:f>Resumo!$AE$13:$AE$14</c:f>
              <c:numCache>
                <c:formatCode>0.0</c:formatCode>
                <c:ptCount val="2"/>
                <c:pt idx="0">
                  <c:v>-8525</c:v>
                </c:pt>
                <c:pt idx="1">
                  <c:v>14530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43011648"/>
        <c:axId val="743012208"/>
      </c:scatterChart>
      <c:valAx>
        <c:axId val="743011648"/>
        <c:scaling>
          <c:orientation val="minMax"/>
          <c:max val="43750"/>
          <c:min val="0"/>
        </c:scaling>
        <c:delete val="0"/>
        <c:axPos val="t"/>
        <c:majorGridlines>
          <c:spPr>
            <a:ln>
              <a:noFill/>
            </a:ln>
          </c:spPr>
        </c:majorGridlines>
        <c:numFmt formatCode="0E+0" sourceLinked="0"/>
        <c:majorTickMark val="out"/>
        <c:minorTickMark val="none"/>
        <c:tickLblPos val="nextTo"/>
        <c:crossAx val="743012208"/>
        <c:crosses val="max"/>
        <c:crossBetween val="midCat"/>
      </c:valAx>
      <c:valAx>
        <c:axId val="743012208"/>
        <c:scaling>
          <c:orientation val="minMax"/>
          <c:max val="-2.1500000000000004E-3"/>
          <c:min val="-2.9000000000000007E-3"/>
        </c:scaling>
        <c:delete val="0"/>
        <c:axPos val="l"/>
        <c:majorGridlines>
          <c:spPr>
            <a:ln>
              <a:noFill/>
            </a:ln>
          </c:spPr>
        </c:majorGridlines>
        <c:numFmt formatCode="0.0E+0" sourceLinked="0"/>
        <c:majorTickMark val="out"/>
        <c:minorTickMark val="none"/>
        <c:tickLblPos val="nextTo"/>
        <c:crossAx val="7430116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Resumo!$D$4</c:f>
              <c:strCache>
                <c:ptCount val="1"/>
                <c:pt idx="0">
                  <c:v> MAX MX</c:v>
                </c:pt>
              </c:strCache>
            </c:strRef>
          </c:tx>
          <c:spPr>
            <a:ln w="19050">
              <a:solidFill>
                <a:srgbClr val="00B0F0"/>
              </a:solidFill>
            </a:ln>
          </c:spPr>
          <c:marker>
            <c:symbol val="circle"/>
            <c:size val="5"/>
            <c:spPr>
              <a:solidFill>
                <a:schemeClr val="tx2">
                  <a:lumMod val="20000"/>
                  <a:lumOff val="80000"/>
                  <a:alpha val="75000"/>
                </a:schemeClr>
              </a:solidFill>
              <a:ln>
                <a:solidFill>
                  <a:srgbClr val="0000FF"/>
                </a:solidFill>
              </a:ln>
            </c:spPr>
          </c:marker>
          <c:xVal>
            <c:numRef>
              <c:f>Resumo!$C$5:$C$933</c:f>
              <c:numCache>
                <c:formatCode>#,##0</c:formatCode>
                <c:ptCount val="929"/>
                <c:pt idx="0">
                  <c:v>43750</c:v>
                </c:pt>
                <c:pt idx="1">
                  <c:v>28000</c:v>
                </c:pt>
                <c:pt idx="2">
                  <c:v>19539</c:v>
                </c:pt>
                <c:pt idx="3">
                  <c:v>14300</c:v>
                </c:pt>
                <c:pt idx="4">
                  <c:v>11000</c:v>
                </c:pt>
                <c:pt idx="5">
                  <c:v>8736</c:v>
                </c:pt>
                <c:pt idx="6">
                  <c:v>7000</c:v>
                </c:pt>
                <c:pt idx="7">
                  <c:v>5824</c:v>
                </c:pt>
                <c:pt idx="8">
                  <c:v>4956</c:v>
                </c:pt>
                <c:pt idx="9">
                  <c:v>4158</c:v>
                </c:pt>
                <c:pt idx="10">
                  <c:v>3600</c:v>
                </c:pt>
                <c:pt idx="11">
                  <c:v>3149</c:v>
                </c:pt>
                <c:pt idx="12">
                  <c:v>2772</c:v>
                </c:pt>
                <c:pt idx="13">
                  <c:v>2478</c:v>
                </c:pt>
                <c:pt idx="14">
                  <c:v>2184</c:v>
                </c:pt>
                <c:pt idx="15">
                  <c:v>1961</c:v>
                </c:pt>
                <c:pt idx="16">
                  <c:v>1750</c:v>
                </c:pt>
                <c:pt idx="17">
                  <c:v>1632</c:v>
                </c:pt>
                <c:pt idx="18">
                  <c:v>1472</c:v>
                </c:pt>
                <c:pt idx="19">
                  <c:v>1364</c:v>
                </c:pt>
                <c:pt idx="20">
                  <c:v>1260</c:v>
                </c:pt>
                <c:pt idx="21">
                  <c:v>1120</c:v>
                </c:pt>
                <c:pt idx="22">
                  <c:v>1053</c:v>
                </c:pt>
                <c:pt idx="23">
                  <c:v>988</c:v>
                </c:pt>
                <c:pt idx="24">
                  <c:v>900</c:v>
                </c:pt>
                <c:pt idx="25">
                  <c:v>875</c:v>
                </c:pt>
                <c:pt idx="26">
                  <c:v>816</c:v>
                </c:pt>
                <c:pt idx="27">
                  <c:v>759</c:v>
                </c:pt>
                <c:pt idx="28">
                  <c:v>704</c:v>
                </c:pt>
                <c:pt idx="29">
                  <c:v>682</c:v>
                </c:pt>
                <c:pt idx="30">
                  <c:v>630</c:v>
                </c:pt>
                <c:pt idx="31">
                  <c:v>580</c:v>
                </c:pt>
                <c:pt idx="32">
                  <c:v>560</c:v>
                </c:pt>
                <c:pt idx="33">
                  <c:v>532</c:v>
                </c:pt>
                <c:pt idx="34">
                  <c:v>513</c:v>
                </c:pt>
                <c:pt idx="35">
                  <c:v>468</c:v>
                </c:pt>
                <c:pt idx="36">
                  <c:v>450</c:v>
                </c:pt>
                <c:pt idx="37">
                  <c:v>408</c:v>
                </c:pt>
                <c:pt idx="38">
                  <c:v>368</c:v>
                </c:pt>
                <c:pt idx="39" formatCode="General">
                  <c:v>352</c:v>
                </c:pt>
                <c:pt idx="40" formatCode="General">
                  <c:v>330</c:v>
                </c:pt>
                <c:pt idx="41" formatCode="General">
                  <c:v>315</c:v>
                </c:pt>
                <c:pt idx="42" formatCode="General">
                  <c:v>280</c:v>
                </c:pt>
                <c:pt idx="43" formatCode="General">
                  <c:v>266</c:v>
                </c:pt>
                <c:pt idx="44" formatCode="General">
                  <c:v>247</c:v>
                </c:pt>
                <c:pt idx="45" formatCode="General">
                  <c:v>234</c:v>
                </c:pt>
                <c:pt idx="46" formatCode="General">
                  <c:v>204</c:v>
                </c:pt>
                <c:pt idx="47" formatCode="General">
                  <c:v>192</c:v>
                </c:pt>
                <c:pt idx="48" formatCode="General">
                  <c:v>176</c:v>
                </c:pt>
                <c:pt idx="49" formatCode="General">
                  <c:v>165</c:v>
                </c:pt>
                <c:pt idx="50" formatCode="General">
                  <c:v>150</c:v>
                </c:pt>
                <c:pt idx="51" formatCode="General">
                  <c:v>140</c:v>
                </c:pt>
                <c:pt idx="52" formatCode="General">
                  <c:v>130</c:v>
                </c:pt>
                <c:pt idx="53" formatCode="General">
                  <c:v>117</c:v>
                </c:pt>
                <c:pt idx="54" formatCode="General">
                  <c:v>108</c:v>
                </c:pt>
                <c:pt idx="55" formatCode="General">
                  <c:v>96</c:v>
                </c:pt>
                <c:pt idx="56" formatCode="General">
                  <c:v>88</c:v>
                </c:pt>
                <c:pt idx="57" formatCode="General">
                  <c:v>70</c:v>
                </c:pt>
                <c:pt idx="58" formatCode="General">
                  <c:v>63</c:v>
                </c:pt>
                <c:pt idx="59" formatCode="General">
                  <c:v>54</c:v>
                </c:pt>
                <c:pt idx="60" formatCode="General">
                  <c:v>48</c:v>
                </c:pt>
                <c:pt idx="61" formatCode="General">
                  <c:v>40</c:v>
                </c:pt>
                <c:pt idx="62" formatCode="General">
                  <c:v>35</c:v>
                </c:pt>
                <c:pt idx="63" formatCode="General">
                  <c:v>30</c:v>
                </c:pt>
                <c:pt idx="64" formatCode="General">
                  <c:v>24</c:v>
                </c:pt>
                <c:pt idx="65" formatCode="General">
                  <c:v>20</c:v>
                </c:pt>
              </c:numCache>
            </c:numRef>
          </c:xVal>
          <c:yVal>
            <c:numRef>
              <c:f>Resumo!$D$5:$D$933</c:f>
              <c:numCache>
                <c:formatCode>0.000E+00</c:formatCode>
                <c:ptCount val="929"/>
                <c:pt idx="0">
                  <c:v>2899</c:v>
                </c:pt>
                <c:pt idx="1">
                  <c:v>2884</c:v>
                </c:pt>
                <c:pt idx="2">
                  <c:v>2870</c:v>
                </c:pt>
                <c:pt idx="3">
                  <c:v>2855</c:v>
                </c:pt>
                <c:pt idx="4">
                  <c:v>2840</c:v>
                </c:pt>
                <c:pt idx="5">
                  <c:v>2826</c:v>
                </c:pt>
                <c:pt idx="6">
                  <c:v>2810</c:v>
                </c:pt>
                <c:pt idx="7">
                  <c:v>2796</c:v>
                </c:pt>
                <c:pt idx="8">
                  <c:v>2783</c:v>
                </c:pt>
                <c:pt idx="9">
                  <c:v>2766</c:v>
                </c:pt>
                <c:pt idx="10">
                  <c:v>2753</c:v>
                </c:pt>
                <c:pt idx="11">
                  <c:v>2739</c:v>
                </c:pt>
                <c:pt idx="12">
                  <c:v>2724</c:v>
                </c:pt>
                <c:pt idx="13">
                  <c:v>2708</c:v>
                </c:pt>
                <c:pt idx="14">
                  <c:v>2696</c:v>
                </c:pt>
                <c:pt idx="15">
                  <c:v>2681</c:v>
                </c:pt>
                <c:pt idx="16">
                  <c:v>2665</c:v>
                </c:pt>
                <c:pt idx="17">
                  <c:v>2650</c:v>
                </c:pt>
                <c:pt idx="18">
                  <c:v>2636</c:v>
                </c:pt>
                <c:pt idx="19">
                  <c:v>2625</c:v>
                </c:pt>
                <c:pt idx="20">
                  <c:v>2606</c:v>
                </c:pt>
                <c:pt idx="21">
                  <c:v>2587</c:v>
                </c:pt>
                <c:pt idx="22">
                  <c:v>2581</c:v>
                </c:pt>
                <c:pt idx="23">
                  <c:v>2567</c:v>
                </c:pt>
                <c:pt idx="24">
                  <c:v>2550</c:v>
                </c:pt>
                <c:pt idx="25">
                  <c:v>2538</c:v>
                </c:pt>
                <c:pt idx="26">
                  <c:v>2521</c:v>
                </c:pt>
                <c:pt idx="27">
                  <c:v>2512</c:v>
                </c:pt>
                <c:pt idx="28">
                  <c:v>2493</c:v>
                </c:pt>
                <c:pt idx="29">
                  <c:v>2478</c:v>
                </c:pt>
                <c:pt idx="30">
                  <c:v>2467</c:v>
                </c:pt>
                <c:pt idx="31">
                  <c:v>2444</c:v>
                </c:pt>
                <c:pt idx="32">
                  <c:v>2426</c:v>
                </c:pt>
                <c:pt idx="33">
                  <c:v>2431</c:v>
                </c:pt>
                <c:pt idx="34">
                  <c:v>2412</c:v>
                </c:pt>
                <c:pt idx="35">
                  <c:v>2383</c:v>
                </c:pt>
                <c:pt idx="36">
                  <c:v>2361</c:v>
                </c:pt>
                <c:pt idx="37">
                  <c:v>2343</c:v>
                </c:pt>
                <c:pt idx="38">
                  <c:v>2306</c:v>
                </c:pt>
                <c:pt idx="39">
                  <c:v>2277</c:v>
                </c:pt>
                <c:pt idx="40">
                  <c:v>2285</c:v>
                </c:pt>
                <c:pt idx="41">
                  <c:v>2254</c:v>
                </c:pt>
                <c:pt idx="42">
                  <c:v>2205</c:v>
                </c:pt>
                <c:pt idx="43">
                  <c:v>2167</c:v>
                </c:pt>
                <c:pt idx="44">
                  <c:v>2177</c:v>
                </c:pt>
                <c:pt idx="45">
                  <c:v>2134</c:v>
                </c:pt>
                <c:pt idx="46">
                  <c:v>2068</c:v>
                </c:pt>
                <c:pt idx="47">
                  <c:v>2014</c:v>
                </c:pt>
                <c:pt idx="48">
                  <c:v>2027</c:v>
                </c:pt>
                <c:pt idx="49">
                  <c:v>1966</c:v>
                </c:pt>
                <c:pt idx="50">
                  <c:v>1938</c:v>
                </c:pt>
                <c:pt idx="51">
                  <c:v>1869</c:v>
                </c:pt>
                <c:pt idx="52">
                  <c:v>1789</c:v>
                </c:pt>
                <c:pt idx="53">
                  <c:v>1805</c:v>
                </c:pt>
                <c:pt idx="54">
                  <c:v>1711</c:v>
                </c:pt>
                <c:pt idx="55">
                  <c:v>1671</c:v>
                </c:pt>
                <c:pt idx="56">
                  <c:v>1561</c:v>
                </c:pt>
                <c:pt idx="57">
                  <c:v>1451</c:v>
                </c:pt>
                <c:pt idx="58">
                  <c:v>1289</c:v>
                </c:pt>
                <c:pt idx="59">
                  <c:v>1218</c:v>
                </c:pt>
                <c:pt idx="60">
                  <c:v>1020</c:v>
                </c:pt>
                <c:pt idx="61">
                  <c:v>1045</c:v>
                </c:pt>
                <c:pt idx="62">
                  <c:v>789.2</c:v>
                </c:pt>
                <c:pt idx="63">
                  <c:v>455.6</c:v>
                </c:pt>
                <c:pt idx="64">
                  <c:v>291.7</c:v>
                </c:pt>
                <c:pt idx="65">
                  <c:v>-131.80000000000001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Resumo!$AB$5:$AE$5</c:f>
              <c:strCache>
                <c:ptCount val="1"/>
                <c:pt idx="0">
                  <c:v>MALHA GROSSA</c:v>
                </c:pt>
              </c:strCache>
            </c:strRef>
          </c:tx>
          <c:marker>
            <c:symbol val="none"/>
          </c:marker>
          <c:xVal>
            <c:numRef>
              <c:f>Resumo!$AD$7:$AD$8</c:f>
              <c:numCache>
                <c:formatCode>#,##0</c:formatCode>
                <c:ptCount val="2"/>
                <c:pt idx="0">
                  <c:v>759</c:v>
                </c:pt>
                <c:pt idx="1">
                  <c:v>759</c:v>
                </c:pt>
              </c:numCache>
            </c:numRef>
          </c:xVal>
          <c:yVal>
            <c:numRef>
              <c:f>Resumo!$AE$7:$AE$8</c:f>
              <c:numCache>
                <c:formatCode>0.0</c:formatCode>
                <c:ptCount val="2"/>
                <c:pt idx="0">
                  <c:v>-8525</c:v>
                </c:pt>
                <c:pt idx="1">
                  <c:v>14530</c:v>
                </c:pt>
              </c:numCache>
            </c:numRef>
          </c:yVal>
          <c:smooth val="1"/>
        </c:ser>
        <c:ser>
          <c:idx val="2"/>
          <c:order val="2"/>
          <c:tx>
            <c:strRef>
              <c:f>Resumo!$AB$11:$AE$11</c:f>
              <c:strCache>
                <c:ptCount val="1"/>
                <c:pt idx="0">
                  <c:v>MALHA FINA</c:v>
                </c:pt>
              </c:strCache>
            </c:strRef>
          </c:tx>
          <c:marker>
            <c:symbol val="none"/>
          </c:marker>
          <c:xVal>
            <c:numRef>
              <c:f>Resumo!$AD$13:$AD$14</c:f>
              <c:numCache>
                <c:formatCode>#,##0</c:formatCode>
                <c:ptCount val="2"/>
                <c:pt idx="0">
                  <c:v>2772</c:v>
                </c:pt>
                <c:pt idx="1">
                  <c:v>2772</c:v>
                </c:pt>
              </c:numCache>
            </c:numRef>
          </c:xVal>
          <c:yVal>
            <c:numRef>
              <c:f>Resumo!$AE$13:$AE$14</c:f>
              <c:numCache>
                <c:formatCode>0.0</c:formatCode>
                <c:ptCount val="2"/>
                <c:pt idx="0">
                  <c:v>-8525</c:v>
                </c:pt>
                <c:pt idx="1">
                  <c:v>14530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43017248"/>
        <c:axId val="743017808"/>
      </c:scatterChart>
      <c:valAx>
        <c:axId val="743017248"/>
        <c:scaling>
          <c:orientation val="minMax"/>
          <c:max val="43750"/>
          <c:min val="0"/>
        </c:scaling>
        <c:delete val="0"/>
        <c:axPos val="t"/>
        <c:majorGridlines>
          <c:spPr>
            <a:ln>
              <a:noFill/>
            </a:ln>
          </c:spPr>
        </c:majorGridlines>
        <c:numFmt formatCode="0E+0" sourceLinked="0"/>
        <c:majorTickMark val="out"/>
        <c:minorTickMark val="none"/>
        <c:tickLblPos val="nextTo"/>
        <c:crossAx val="743017808"/>
        <c:crosses val="max"/>
        <c:crossBetween val="midCat"/>
      </c:valAx>
      <c:valAx>
        <c:axId val="743017808"/>
        <c:scaling>
          <c:orientation val="minMax"/>
          <c:max val="3000"/>
          <c:min val="-150"/>
        </c:scaling>
        <c:delete val="0"/>
        <c:axPos val="l"/>
        <c:majorGridlines>
          <c:spPr>
            <a:ln>
              <a:noFill/>
            </a:ln>
          </c:spPr>
        </c:majorGridlines>
        <c:numFmt formatCode="0.0E+0" sourceLinked="0"/>
        <c:majorTickMark val="out"/>
        <c:minorTickMark val="none"/>
        <c:tickLblPos val="nextTo"/>
        <c:crossAx val="7430172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Resumo!$E$4</c:f>
              <c:strCache>
                <c:ptCount val="1"/>
                <c:pt idx="0">
                  <c:v> MIN MX</c:v>
                </c:pt>
              </c:strCache>
            </c:strRef>
          </c:tx>
          <c:spPr>
            <a:ln w="19050">
              <a:solidFill>
                <a:srgbClr val="00B0F0"/>
              </a:solidFill>
            </a:ln>
          </c:spPr>
          <c:marker>
            <c:symbol val="circle"/>
            <c:size val="5"/>
            <c:spPr>
              <a:solidFill>
                <a:schemeClr val="tx2">
                  <a:lumMod val="20000"/>
                  <a:lumOff val="80000"/>
                  <a:alpha val="75000"/>
                </a:schemeClr>
              </a:solidFill>
              <a:ln>
                <a:solidFill>
                  <a:srgbClr val="0000FF"/>
                </a:solidFill>
              </a:ln>
            </c:spPr>
          </c:marker>
          <c:xVal>
            <c:numRef>
              <c:f>Resumo!$C$5:$C$933</c:f>
              <c:numCache>
                <c:formatCode>#,##0</c:formatCode>
                <c:ptCount val="929"/>
                <c:pt idx="0">
                  <c:v>43750</c:v>
                </c:pt>
                <c:pt idx="1">
                  <c:v>28000</c:v>
                </c:pt>
                <c:pt idx="2">
                  <c:v>19539</c:v>
                </c:pt>
                <c:pt idx="3">
                  <c:v>14300</c:v>
                </c:pt>
                <c:pt idx="4">
                  <c:v>11000</c:v>
                </c:pt>
                <c:pt idx="5">
                  <c:v>8736</c:v>
                </c:pt>
                <c:pt idx="6">
                  <c:v>7000</c:v>
                </c:pt>
                <c:pt idx="7">
                  <c:v>5824</c:v>
                </c:pt>
                <c:pt idx="8">
                  <c:v>4956</c:v>
                </c:pt>
                <c:pt idx="9">
                  <c:v>4158</c:v>
                </c:pt>
                <c:pt idx="10">
                  <c:v>3600</c:v>
                </c:pt>
                <c:pt idx="11">
                  <c:v>3149</c:v>
                </c:pt>
                <c:pt idx="12">
                  <c:v>2772</c:v>
                </c:pt>
                <c:pt idx="13">
                  <c:v>2478</c:v>
                </c:pt>
                <c:pt idx="14">
                  <c:v>2184</c:v>
                </c:pt>
                <c:pt idx="15">
                  <c:v>1961</c:v>
                </c:pt>
                <c:pt idx="16">
                  <c:v>1750</c:v>
                </c:pt>
                <c:pt idx="17">
                  <c:v>1632</c:v>
                </c:pt>
                <c:pt idx="18">
                  <c:v>1472</c:v>
                </c:pt>
                <c:pt idx="19">
                  <c:v>1364</c:v>
                </c:pt>
                <c:pt idx="20">
                  <c:v>1260</c:v>
                </c:pt>
                <c:pt idx="21">
                  <c:v>1120</c:v>
                </c:pt>
                <c:pt idx="22">
                  <c:v>1053</c:v>
                </c:pt>
                <c:pt idx="23">
                  <c:v>988</c:v>
                </c:pt>
                <c:pt idx="24">
                  <c:v>900</c:v>
                </c:pt>
                <c:pt idx="25">
                  <c:v>875</c:v>
                </c:pt>
                <c:pt idx="26">
                  <c:v>816</c:v>
                </c:pt>
                <c:pt idx="27">
                  <c:v>759</c:v>
                </c:pt>
                <c:pt idx="28">
                  <c:v>704</c:v>
                </c:pt>
                <c:pt idx="29">
                  <c:v>682</c:v>
                </c:pt>
                <c:pt idx="30">
                  <c:v>630</c:v>
                </c:pt>
                <c:pt idx="31">
                  <c:v>580</c:v>
                </c:pt>
                <c:pt idx="32">
                  <c:v>560</c:v>
                </c:pt>
                <c:pt idx="33">
                  <c:v>532</c:v>
                </c:pt>
                <c:pt idx="34">
                  <c:v>513</c:v>
                </c:pt>
                <c:pt idx="35">
                  <c:v>468</c:v>
                </c:pt>
                <c:pt idx="36">
                  <c:v>450</c:v>
                </c:pt>
                <c:pt idx="37">
                  <c:v>408</c:v>
                </c:pt>
                <c:pt idx="38">
                  <c:v>368</c:v>
                </c:pt>
                <c:pt idx="39" formatCode="General">
                  <c:v>352</c:v>
                </c:pt>
                <c:pt idx="40" formatCode="General">
                  <c:v>330</c:v>
                </c:pt>
                <c:pt idx="41" formatCode="General">
                  <c:v>315</c:v>
                </c:pt>
                <c:pt idx="42" formatCode="General">
                  <c:v>280</c:v>
                </c:pt>
                <c:pt idx="43" formatCode="General">
                  <c:v>266</c:v>
                </c:pt>
                <c:pt idx="44" formatCode="General">
                  <c:v>247</c:v>
                </c:pt>
                <c:pt idx="45" formatCode="General">
                  <c:v>234</c:v>
                </c:pt>
                <c:pt idx="46" formatCode="General">
                  <c:v>204</c:v>
                </c:pt>
                <c:pt idx="47" formatCode="General">
                  <c:v>192</c:v>
                </c:pt>
                <c:pt idx="48" formatCode="General">
                  <c:v>176</c:v>
                </c:pt>
                <c:pt idx="49" formatCode="General">
                  <c:v>165</c:v>
                </c:pt>
                <c:pt idx="50" formatCode="General">
                  <c:v>150</c:v>
                </c:pt>
                <c:pt idx="51" formatCode="General">
                  <c:v>140</c:v>
                </c:pt>
                <c:pt idx="52" formatCode="General">
                  <c:v>130</c:v>
                </c:pt>
                <c:pt idx="53" formatCode="General">
                  <c:v>117</c:v>
                </c:pt>
                <c:pt idx="54" formatCode="General">
                  <c:v>108</c:v>
                </c:pt>
                <c:pt idx="55" formatCode="General">
                  <c:v>96</c:v>
                </c:pt>
                <c:pt idx="56" formatCode="General">
                  <c:v>88</c:v>
                </c:pt>
                <c:pt idx="57" formatCode="General">
                  <c:v>70</c:v>
                </c:pt>
                <c:pt idx="58" formatCode="General">
                  <c:v>63</c:v>
                </c:pt>
                <c:pt idx="59" formatCode="General">
                  <c:v>54</c:v>
                </c:pt>
                <c:pt idx="60" formatCode="General">
                  <c:v>48</c:v>
                </c:pt>
                <c:pt idx="61" formatCode="General">
                  <c:v>40</c:v>
                </c:pt>
                <c:pt idx="62" formatCode="General">
                  <c:v>35</c:v>
                </c:pt>
                <c:pt idx="63" formatCode="General">
                  <c:v>30</c:v>
                </c:pt>
                <c:pt idx="64" formatCode="General">
                  <c:v>24</c:v>
                </c:pt>
                <c:pt idx="65" formatCode="General">
                  <c:v>20</c:v>
                </c:pt>
              </c:numCache>
            </c:numRef>
          </c:xVal>
          <c:yVal>
            <c:numRef>
              <c:f>Resumo!$E$5:$E$933</c:f>
              <c:numCache>
                <c:formatCode>0.000E+00</c:formatCode>
                <c:ptCount val="929"/>
                <c:pt idx="0">
                  <c:v>-8525</c:v>
                </c:pt>
                <c:pt idx="1">
                  <c:v>-8524</c:v>
                </c:pt>
                <c:pt idx="2">
                  <c:v>-8523</c:v>
                </c:pt>
                <c:pt idx="3">
                  <c:v>-8522</c:v>
                </c:pt>
                <c:pt idx="4">
                  <c:v>-8520</c:v>
                </c:pt>
                <c:pt idx="5">
                  <c:v>-8518</c:v>
                </c:pt>
                <c:pt idx="6">
                  <c:v>-8516</c:v>
                </c:pt>
                <c:pt idx="7">
                  <c:v>-8514</c:v>
                </c:pt>
                <c:pt idx="8">
                  <c:v>-8515</c:v>
                </c:pt>
                <c:pt idx="9">
                  <c:v>-8511</c:v>
                </c:pt>
                <c:pt idx="10">
                  <c:v>-8509</c:v>
                </c:pt>
                <c:pt idx="11">
                  <c:v>-8510</c:v>
                </c:pt>
                <c:pt idx="12">
                  <c:v>-8505</c:v>
                </c:pt>
                <c:pt idx="13">
                  <c:v>-8501</c:v>
                </c:pt>
                <c:pt idx="14">
                  <c:v>-8505</c:v>
                </c:pt>
                <c:pt idx="15">
                  <c:v>-8502</c:v>
                </c:pt>
                <c:pt idx="16">
                  <c:v>-8497</c:v>
                </c:pt>
                <c:pt idx="17">
                  <c:v>-8490</c:v>
                </c:pt>
                <c:pt idx="18">
                  <c:v>-8489</c:v>
                </c:pt>
                <c:pt idx="19">
                  <c:v>-8495</c:v>
                </c:pt>
                <c:pt idx="20">
                  <c:v>-8487</c:v>
                </c:pt>
                <c:pt idx="21">
                  <c:v>-8483</c:v>
                </c:pt>
                <c:pt idx="22">
                  <c:v>-8486</c:v>
                </c:pt>
                <c:pt idx="23">
                  <c:v>-8479</c:v>
                </c:pt>
                <c:pt idx="24">
                  <c:v>-8484</c:v>
                </c:pt>
                <c:pt idx="25">
                  <c:v>-8486</c:v>
                </c:pt>
                <c:pt idx="26">
                  <c:v>-8466</c:v>
                </c:pt>
                <c:pt idx="27">
                  <c:v>-8483</c:v>
                </c:pt>
                <c:pt idx="28">
                  <c:v>-8459</c:v>
                </c:pt>
                <c:pt idx="29">
                  <c:v>-8466</c:v>
                </c:pt>
                <c:pt idx="30">
                  <c:v>-8474</c:v>
                </c:pt>
                <c:pt idx="31">
                  <c:v>-8458</c:v>
                </c:pt>
                <c:pt idx="32">
                  <c:v>-8457</c:v>
                </c:pt>
                <c:pt idx="33">
                  <c:v>-8473</c:v>
                </c:pt>
                <c:pt idx="34">
                  <c:v>-8466</c:v>
                </c:pt>
                <c:pt idx="35">
                  <c:v>-8451</c:v>
                </c:pt>
                <c:pt idx="36">
                  <c:v>-8434</c:v>
                </c:pt>
                <c:pt idx="37">
                  <c:v>-8468</c:v>
                </c:pt>
                <c:pt idx="38">
                  <c:v>-8428</c:v>
                </c:pt>
                <c:pt idx="39">
                  <c:v>-8436</c:v>
                </c:pt>
                <c:pt idx="40">
                  <c:v>-8462</c:v>
                </c:pt>
                <c:pt idx="41">
                  <c:v>-8455</c:v>
                </c:pt>
                <c:pt idx="42">
                  <c:v>-8417</c:v>
                </c:pt>
                <c:pt idx="43">
                  <c:v>-8422</c:v>
                </c:pt>
                <c:pt idx="44">
                  <c:v>-8456</c:v>
                </c:pt>
                <c:pt idx="45">
                  <c:v>-8432</c:v>
                </c:pt>
                <c:pt idx="46">
                  <c:v>-8407</c:v>
                </c:pt>
                <c:pt idx="47">
                  <c:v>-8367</c:v>
                </c:pt>
                <c:pt idx="48">
                  <c:v>-8415</c:v>
                </c:pt>
                <c:pt idx="49">
                  <c:v>-8446</c:v>
                </c:pt>
                <c:pt idx="50">
                  <c:v>-8382</c:v>
                </c:pt>
                <c:pt idx="51">
                  <c:v>-8354</c:v>
                </c:pt>
                <c:pt idx="52">
                  <c:v>-8361</c:v>
                </c:pt>
                <c:pt idx="53">
                  <c:v>-8432</c:v>
                </c:pt>
                <c:pt idx="54">
                  <c:v>-8424</c:v>
                </c:pt>
                <c:pt idx="55">
                  <c:v>-8326</c:v>
                </c:pt>
                <c:pt idx="56">
                  <c:v>-8290</c:v>
                </c:pt>
                <c:pt idx="57">
                  <c:v>-8437</c:v>
                </c:pt>
                <c:pt idx="58">
                  <c:v>-8306</c:v>
                </c:pt>
                <c:pt idx="59">
                  <c:v>-8132</c:v>
                </c:pt>
                <c:pt idx="60">
                  <c:v>-8232</c:v>
                </c:pt>
                <c:pt idx="61">
                  <c:v>-8464</c:v>
                </c:pt>
                <c:pt idx="62">
                  <c:v>-8285</c:v>
                </c:pt>
                <c:pt idx="63">
                  <c:v>-8372</c:v>
                </c:pt>
                <c:pt idx="64">
                  <c:v>-7956</c:v>
                </c:pt>
                <c:pt idx="65">
                  <c:v>-7769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Resumo!$AB$5:$AE$5</c:f>
              <c:strCache>
                <c:ptCount val="1"/>
                <c:pt idx="0">
                  <c:v>MALHA GROSSA</c:v>
                </c:pt>
              </c:strCache>
            </c:strRef>
          </c:tx>
          <c:marker>
            <c:symbol val="none"/>
          </c:marker>
          <c:xVal>
            <c:numRef>
              <c:f>Resumo!$AD$7:$AD$8</c:f>
              <c:numCache>
                <c:formatCode>#,##0</c:formatCode>
                <c:ptCount val="2"/>
                <c:pt idx="0">
                  <c:v>759</c:v>
                </c:pt>
                <c:pt idx="1">
                  <c:v>759</c:v>
                </c:pt>
              </c:numCache>
            </c:numRef>
          </c:xVal>
          <c:yVal>
            <c:numRef>
              <c:f>Resumo!$AE$7:$AE$8</c:f>
              <c:numCache>
                <c:formatCode>0.0</c:formatCode>
                <c:ptCount val="2"/>
                <c:pt idx="0">
                  <c:v>-8525</c:v>
                </c:pt>
                <c:pt idx="1">
                  <c:v>14530</c:v>
                </c:pt>
              </c:numCache>
            </c:numRef>
          </c:yVal>
          <c:smooth val="1"/>
        </c:ser>
        <c:ser>
          <c:idx val="2"/>
          <c:order val="2"/>
          <c:tx>
            <c:strRef>
              <c:f>Resumo!$AB$11:$AE$11</c:f>
              <c:strCache>
                <c:ptCount val="1"/>
                <c:pt idx="0">
                  <c:v>MALHA FINA</c:v>
                </c:pt>
              </c:strCache>
            </c:strRef>
          </c:tx>
          <c:marker>
            <c:symbol val="none"/>
          </c:marker>
          <c:xVal>
            <c:numRef>
              <c:f>Resumo!$AD$13:$AD$14</c:f>
              <c:numCache>
                <c:formatCode>#,##0</c:formatCode>
                <c:ptCount val="2"/>
                <c:pt idx="0">
                  <c:v>2772</c:v>
                </c:pt>
                <c:pt idx="1">
                  <c:v>2772</c:v>
                </c:pt>
              </c:numCache>
            </c:numRef>
          </c:xVal>
          <c:yVal>
            <c:numRef>
              <c:f>Resumo!$AE$13:$AE$14</c:f>
              <c:numCache>
                <c:formatCode>0.0</c:formatCode>
                <c:ptCount val="2"/>
                <c:pt idx="0">
                  <c:v>-8525</c:v>
                </c:pt>
                <c:pt idx="1">
                  <c:v>14530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43021728"/>
        <c:axId val="743022288"/>
      </c:scatterChart>
      <c:valAx>
        <c:axId val="743021728"/>
        <c:scaling>
          <c:orientation val="minMax"/>
          <c:max val="43750"/>
          <c:min val="0"/>
        </c:scaling>
        <c:delete val="0"/>
        <c:axPos val="t"/>
        <c:majorGridlines>
          <c:spPr>
            <a:ln>
              <a:noFill/>
            </a:ln>
          </c:spPr>
        </c:majorGridlines>
        <c:numFmt formatCode="0E+0" sourceLinked="0"/>
        <c:majorTickMark val="out"/>
        <c:minorTickMark val="none"/>
        <c:tickLblPos val="nextTo"/>
        <c:crossAx val="743022288"/>
        <c:crosses val="max"/>
        <c:crossBetween val="midCat"/>
      </c:valAx>
      <c:valAx>
        <c:axId val="743022288"/>
        <c:scaling>
          <c:orientation val="minMax"/>
          <c:max val="-7700"/>
          <c:min val="-8600"/>
        </c:scaling>
        <c:delete val="0"/>
        <c:axPos val="l"/>
        <c:majorGridlines>
          <c:spPr>
            <a:ln>
              <a:noFill/>
            </a:ln>
          </c:spPr>
        </c:majorGridlines>
        <c:numFmt formatCode="0.0E+0" sourceLinked="0"/>
        <c:majorTickMark val="out"/>
        <c:minorTickMark val="none"/>
        <c:tickLblPos val="nextTo"/>
        <c:crossAx val="7430217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Resumo!$F$4</c:f>
              <c:strCache>
                <c:ptCount val="1"/>
                <c:pt idx="0">
                  <c:v> MAX MY</c:v>
                </c:pt>
              </c:strCache>
            </c:strRef>
          </c:tx>
          <c:spPr>
            <a:ln w="19050">
              <a:solidFill>
                <a:srgbClr val="00B0F0"/>
              </a:solidFill>
            </a:ln>
          </c:spPr>
          <c:marker>
            <c:symbol val="circle"/>
            <c:size val="5"/>
            <c:spPr>
              <a:solidFill>
                <a:schemeClr val="tx2">
                  <a:lumMod val="20000"/>
                  <a:lumOff val="80000"/>
                  <a:alpha val="75000"/>
                </a:schemeClr>
              </a:solidFill>
              <a:ln>
                <a:solidFill>
                  <a:srgbClr val="0000FF"/>
                </a:solidFill>
              </a:ln>
            </c:spPr>
          </c:marker>
          <c:xVal>
            <c:numRef>
              <c:f>Resumo!$C$5:$C$933</c:f>
              <c:numCache>
                <c:formatCode>#,##0</c:formatCode>
                <c:ptCount val="929"/>
                <c:pt idx="0">
                  <c:v>43750</c:v>
                </c:pt>
                <c:pt idx="1">
                  <c:v>28000</c:v>
                </c:pt>
                <c:pt idx="2">
                  <c:v>19539</c:v>
                </c:pt>
                <c:pt idx="3">
                  <c:v>14300</c:v>
                </c:pt>
                <c:pt idx="4">
                  <c:v>11000</c:v>
                </c:pt>
                <c:pt idx="5">
                  <c:v>8736</c:v>
                </c:pt>
                <c:pt idx="6">
                  <c:v>7000</c:v>
                </c:pt>
                <c:pt idx="7">
                  <c:v>5824</c:v>
                </c:pt>
                <c:pt idx="8">
                  <c:v>4956</c:v>
                </c:pt>
                <c:pt idx="9">
                  <c:v>4158</c:v>
                </c:pt>
                <c:pt idx="10">
                  <c:v>3600</c:v>
                </c:pt>
                <c:pt idx="11">
                  <c:v>3149</c:v>
                </c:pt>
                <c:pt idx="12">
                  <c:v>2772</c:v>
                </c:pt>
                <c:pt idx="13">
                  <c:v>2478</c:v>
                </c:pt>
                <c:pt idx="14">
                  <c:v>2184</c:v>
                </c:pt>
                <c:pt idx="15">
                  <c:v>1961</c:v>
                </c:pt>
                <c:pt idx="16">
                  <c:v>1750</c:v>
                </c:pt>
                <c:pt idx="17">
                  <c:v>1632</c:v>
                </c:pt>
                <c:pt idx="18">
                  <c:v>1472</c:v>
                </c:pt>
                <c:pt idx="19">
                  <c:v>1364</c:v>
                </c:pt>
                <c:pt idx="20">
                  <c:v>1260</c:v>
                </c:pt>
                <c:pt idx="21">
                  <c:v>1120</c:v>
                </c:pt>
                <c:pt idx="22">
                  <c:v>1053</c:v>
                </c:pt>
                <c:pt idx="23">
                  <c:v>988</c:v>
                </c:pt>
                <c:pt idx="24">
                  <c:v>900</c:v>
                </c:pt>
                <c:pt idx="25">
                  <c:v>875</c:v>
                </c:pt>
                <c:pt idx="26">
                  <c:v>816</c:v>
                </c:pt>
                <c:pt idx="27">
                  <c:v>759</c:v>
                </c:pt>
                <c:pt idx="28">
                  <c:v>704</c:v>
                </c:pt>
                <c:pt idx="29">
                  <c:v>682</c:v>
                </c:pt>
                <c:pt idx="30">
                  <c:v>630</c:v>
                </c:pt>
                <c:pt idx="31">
                  <c:v>580</c:v>
                </c:pt>
                <c:pt idx="32">
                  <c:v>560</c:v>
                </c:pt>
                <c:pt idx="33">
                  <c:v>532</c:v>
                </c:pt>
                <c:pt idx="34">
                  <c:v>513</c:v>
                </c:pt>
                <c:pt idx="35">
                  <c:v>468</c:v>
                </c:pt>
                <c:pt idx="36">
                  <c:v>450</c:v>
                </c:pt>
                <c:pt idx="37">
                  <c:v>408</c:v>
                </c:pt>
                <c:pt idx="38">
                  <c:v>368</c:v>
                </c:pt>
                <c:pt idx="39" formatCode="General">
                  <c:v>352</c:v>
                </c:pt>
                <c:pt idx="40" formatCode="General">
                  <c:v>330</c:v>
                </c:pt>
                <c:pt idx="41" formatCode="General">
                  <c:v>315</c:v>
                </c:pt>
                <c:pt idx="42" formatCode="General">
                  <c:v>280</c:v>
                </c:pt>
                <c:pt idx="43" formatCode="General">
                  <c:v>266</c:v>
                </c:pt>
                <c:pt idx="44" formatCode="General">
                  <c:v>247</c:v>
                </c:pt>
                <c:pt idx="45" formatCode="General">
                  <c:v>234</c:v>
                </c:pt>
                <c:pt idx="46" formatCode="General">
                  <c:v>204</c:v>
                </c:pt>
                <c:pt idx="47" formatCode="General">
                  <c:v>192</c:v>
                </c:pt>
                <c:pt idx="48" formatCode="General">
                  <c:v>176</c:v>
                </c:pt>
                <c:pt idx="49" formatCode="General">
                  <c:v>165</c:v>
                </c:pt>
                <c:pt idx="50" formatCode="General">
                  <c:v>150</c:v>
                </c:pt>
                <c:pt idx="51" formatCode="General">
                  <c:v>140</c:v>
                </c:pt>
                <c:pt idx="52" formatCode="General">
                  <c:v>130</c:v>
                </c:pt>
                <c:pt idx="53" formatCode="General">
                  <c:v>117</c:v>
                </c:pt>
                <c:pt idx="54" formatCode="General">
                  <c:v>108</c:v>
                </c:pt>
                <c:pt idx="55" formatCode="General">
                  <c:v>96</c:v>
                </c:pt>
                <c:pt idx="56" formatCode="General">
                  <c:v>88</c:v>
                </c:pt>
                <c:pt idx="57" formatCode="General">
                  <c:v>70</c:v>
                </c:pt>
                <c:pt idx="58" formatCode="General">
                  <c:v>63</c:v>
                </c:pt>
                <c:pt idx="59" formatCode="General">
                  <c:v>54</c:v>
                </c:pt>
                <c:pt idx="60" formatCode="General">
                  <c:v>48</c:v>
                </c:pt>
                <c:pt idx="61" formatCode="General">
                  <c:v>40</c:v>
                </c:pt>
                <c:pt idx="62" formatCode="General">
                  <c:v>35</c:v>
                </c:pt>
                <c:pt idx="63" formatCode="General">
                  <c:v>30</c:v>
                </c:pt>
                <c:pt idx="64" formatCode="General">
                  <c:v>24</c:v>
                </c:pt>
                <c:pt idx="65" formatCode="General">
                  <c:v>20</c:v>
                </c:pt>
              </c:numCache>
            </c:numRef>
          </c:xVal>
          <c:yVal>
            <c:numRef>
              <c:f>Resumo!$F$5:$F$933</c:f>
              <c:numCache>
                <c:formatCode>0.000E+00</c:formatCode>
                <c:ptCount val="929"/>
                <c:pt idx="0">
                  <c:v>14530</c:v>
                </c:pt>
                <c:pt idx="1">
                  <c:v>14470</c:v>
                </c:pt>
                <c:pt idx="2">
                  <c:v>14400</c:v>
                </c:pt>
                <c:pt idx="3">
                  <c:v>14340</c:v>
                </c:pt>
                <c:pt idx="4">
                  <c:v>14270</c:v>
                </c:pt>
                <c:pt idx="5">
                  <c:v>14210</c:v>
                </c:pt>
                <c:pt idx="6">
                  <c:v>14140</c:v>
                </c:pt>
                <c:pt idx="7">
                  <c:v>14080</c:v>
                </c:pt>
                <c:pt idx="8">
                  <c:v>14020</c:v>
                </c:pt>
                <c:pt idx="9">
                  <c:v>13950</c:v>
                </c:pt>
                <c:pt idx="10">
                  <c:v>13890</c:v>
                </c:pt>
                <c:pt idx="11">
                  <c:v>13830</c:v>
                </c:pt>
                <c:pt idx="12">
                  <c:v>13760</c:v>
                </c:pt>
                <c:pt idx="13">
                  <c:v>13700</c:v>
                </c:pt>
                <c:pt idx="14">
                  <c:v>13650</c:v>
                </c:pt>
                <c:pt idx="15">
                  <c:v>13580</c:v>
                </c:pt>
                <c:pt idx="16">
                  <c:v>13510</c:v>
                </c:pt>
                <c:pt idx="17">
                  <c:v>13450</c:v>
                </c:pt>
                <c:pt idx="18">
                  <c:v>13390</c:v>
                </c:pt>
                <c:pt idx="19">
                  <c:v>13340</c:v>
                </c:pt>
                <c:pt idx="20">
                  <c:v>13260</c:v>
                </c:pt>
                <c:pt idx="21">
                  <c:v>13190</c:v>
                </c:pt>
                <c:pt idx="22">
                  <c:v>13170</c:v>
                </c:pt>
                <c:pt idx="23">
                  <c:v>13110</c:v>
                </c:pt>
                <c:pt idx="24">
                  <c:v>13040</c:v>
                </c:pt>
                <c:pt idx="25">
                  <c:v>12990</c:v>
                </c:pt>
                <c:pt idx="26">
                  <c:v>12920</c:v>
                </c:pt>
                <c:pt idx="27">
                  <c:v>12890</c:v>
                </c:pt>
                <c:pt idx="28">
                  <c:v>12810</c:v>
                </c:pt>
                <c:pt idx="29">
                  <c:v>12750</c:v>
                </c:pt>
                <c:pt idx="30">
                  <c:v>12710</c:v>
                </c:pt>
                <c:pt idx="31">
                  <c:v>12610</c:v>
                </c:pt>
                <c:pt idx="32">
                  <c:v>12550</c:v>
                </c:pt>
                <c:pt idx="33">
                  <c:v>12570</c:v>
                </c:pt>
                <c:pt idx="34">
                  <c:v>12500</c:v>
                </c:pt>
                <c:pt idx="35">
                  <c:v>12380</c:v>
                </c:pt>
                <c:pt idx="36">
                  <c:v>12300</c:v>
                </c:pt>
                <c:pt idx="37">
                  <c:v>12240</c:v>
                </c:pt>
                <c:pt idx="38">
                  <c:v>12090</c:v>
                </c:pt>
                <c:pt idx="39">
                  <c:v>11990</c:v>
                </c:pt>
                <c:pt idx="40">
                  <c:v>12030</c:v>
                </c:pt>
                <c:pt idx="41">
                  <c:v>11920</c:v>
                </c:pt>
                <c:pt idx="42">
                  <c:v>11720</c:v>
                </c:pt>
                <c:pt idx="43">
                  <c:v>11590</c:v>
                </c:pt>
                <c:pt idx="44">
                  <c:v>11640</c:v>
                </c:pt>
                <c:pt idx="45">
                  <c:v>11500</c:v>
                </c:pt>
                <c:pt idx="46">
                  <c:v>11250</c:v>
                </c:pt>
                <c:pt idx="47">
                  <c:v>11070</c:v>
                </c:pt>
                <c:pt idx="48">
                  <c:v>11140</c:v>
                </c:pt>
                <c:pt idx="49">
                  <c:v>10940</c:v>
                </c:pt>
                <c:pt idx="50">
                  <c:v>10810</c:v>
                </c:pt>
                <c:pt idx="51">
                  <c:v>10590</c:v>
                </c:pt>
                <c:pt idx="52">
                  <c:v>10350</c:v>
                </c:pt>
                <c:pt idx="53">
                  <c:v>10440</c:v>
                </c:pt>
                <c:pt idx="54">
                  <c:v>10160</c:v>
                </c:pt>
                <c:pt idx="55">
                  <c:v>9955</c:v>
                </c:pt>
                <c:pt idx="56">
                  <c:v>9646</c:v>
                </c:pt>
                <c:pt idx="57">
                  <c:v>9405</c:v>
                </c:pt>
                <c:pt idx="58">
                  <c:v>8986</c:v>
                </c:pt>
                <c:pt idx="59">
                  <c:v>8639</c:v>
                </c:pt>
                <c:pt idx="60">
                  <c:v>8162</c:v>
                </c:pt>
                <c:pt idx="61">
                  <c:v>8316</c:v>
                </c:pt>
                <c:pt idx="62">
                  <c:v>7736</c:v>
                </c:pt>
                <c:pt idx="63">
                  <c:v>7035</c:v>
                </c:pt>
                <c:pt idx="64">
                  <c:v>6291</c:v>
                </c:pt>
                <c:pt idx="65">
                  <c:v>5507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Resumo!$AB$5:$AE$5</c:f>
              <c:strCache>
                <c:ptCount val="1"/>
                <c:pt idx="0">
                  <c:v>MALHA GROSSA</c:v>
                </c:pt>
              </c:strCache>
            </c:strRef>
          </c:tx>
          <c:marker>
            <c:symbol val="none"/>
          </c:marker>
          <c:xVal>
            <c:numRef>
              <c:f>Resumo!$AD$7:$AD$8</c:f>
              <c:numCache>
                <c:formatCode>#,##0</c:formatCode>
                <c:ptCount val="2"/>
                <c:pt idx="0">
                  <c:v>759</c:v>
                </c:pt>
                <c:pt idx="1">
                  <c:v>759</c:v>
                </c:pt>
              </c:numCache>
            </c:numRef>
          </c:xVal>
          <c:yVal>
            <c:numRef>
              <c:f>Resumo!$AE$7:$AE$8</c:f>
              <c:numCache>
                <c:formatCode>0.0</c:formatCode>
                <c:ptCount val="2"/>
                <c:pt idx="0">
                  <c:v>-8525</c:v>
                </c:pt>
                <c:pt idx="1">
                  <c:v>14530</c:v>
                </c:pt>
              </c:numCache>
            </c:numRef>
          </c:yVal>
          <c:smooth val="1"/>
        </c:ser>
        <c:ser>
          <c:idx val="2"/>
          <c:order val="2"/>
          <c:tx>
            <c:strRef>
              <c:f>Resumo!$AB$11:$AE$11</c:f>
              <c:strCache>
                <c:ptCount val="1"/>
                <c:pt idx="0">
                  <c:v>MALHA FINA</c:v>
                </c:pt>
              </c:strCache>
            </c:strRef>
          </c:tx>
          <c:marker>
            <c:symbol val="none"/>
          </c:marker>
          <c:xVal>
            <c:numRef>
              <c:f>Resumo!$AD$13:$AD$14</c:f>
              <c:numCache>
                <c:formatCode>#,##0</c:formatCode>
                <c:ptCount val="2"/>
                <c:pt idx="0">
                  <c:v>2772</c:v>
                </c:pt>
                <c:pt idx="1">
                  <c:v>2772</c:v>
                </c:pt>
              </c:numCache>
            </c:numRef>
          </c:xVal>
          <c:yVal>
            <c:numRef>
              <c:f>Resumo!$AE$13:$AE$14</c:f>
              <c:numCache>
                <c:formatCode>0.0</c:formatCode>
                <c:ptCount val="2"/>
                <c:pt idx="0">
                  <c:v>-8525</c:v>
                </c:pt>
                <c:pt idx="1">
                  <c:v>14530</c:v>
                </c:pt>
              </c:numCache>
            </c:numRef>
          </c:yVal>
          <c:smooth val="1"/>
        </c:ser>
        <c:ser>
          <c:idx val="3"/>
          <c:order val="3"/>
          <c:tx>
            <c:v>FREQ2</c:v>
          </c:tx>
          <c:xVal>
            <c:numRef>
              <c:f>Resumo!$C$5:$C$44</c:f>
              <c:numCache>
                <c:formatCode>#,##0</c:formatCode>
                <c:ptCount val="40"/>
                <c:pt idx="0">
                  <c:v>43750</c:v>
                </c:pt>
                <c:pt idx="1">
                  <c:v>28000</c:v>
                </c:pt>
                <c:pt idx="2">
                  <c:v>19539</c:v>
                </c:pt>
                <c:pt idx="3">
                  <c:v>14300</c:v>
                </c:pt>
                <c:pt idx="4">
                  <c:v>11000</c:v>
                </c:pt>
                <c:pt idx="5">
                  <c:v>8736</c:v>
                </c:pt>
                <c:pt idx="6">
                  <c:v>7000</c:v>
                </c:pt>
                <c:pt idx="7">
                  <c:v>5824</c:v>
                </c:pt>
                <c:pt idx="8">
                  <c:v>4956</c:v>
                </c:pt>
                <c:pt idx="9">
                  <c:v>4158</c:v>
                </c:pt>
                <c:pt idx="10">
                  <c:v>3600</c:v>
                </c:pt>
                <c:pt idx="11">
                  <c:v>3149</c:v>
                </c:pt>
                <c:pt idx="12">
                  <c:v>2772</c:v>
                </c:pt>
                <c:pt idx="13">
                  <c:v>2478</c:v>
                </c:pt>
                <c:pt idx="14">
                  <c:v>2184</c:v>
                </c:pt>
                <c:pt idx="15">
                  <c:v>1961</c:v>
                </c:pt>
                <c:pt idx="16">
                  <c:v>1750</c:v>
                </c:pt>
                <c:pt idx="17">
                  <c:v>1632</c:v>
                </c:pt>
                <c:pt idx="18">
                  <c:v>1472</c:v>
                </c:pt>
                <c:pt idx="19">
                  <c:v>1364</c:v>
                </c:pt>
                <c:pt idx="20">
                  <c:v>1260</c:v>
                </c:pt>
                <c:pt idx="21">
                  <c:v>1120</c:v>
                </c:pt>
                <c:pt idx="22">
                  <c:v>1053</c:v>
                </c:pt>
                <c:pt idx="23">
                  <c:v>988</c:v>
                </c:pt>
                <c:pt idx="24">
                  <c:v>900</c:v>
                </c:pt>
                <c:pt idx="25">
                  <c:v>875</c:v>
                </c:pt>
                <c:pt idx="26">
                  <c:v>816</c:v>
                </c:pt>
                <c:pt idx="27">
                  <c:v>759</c:v>
                </c:pt>
                <c:pt idx="28">
                  <c:v>704</c:v>
                </c:pt>
                <c:pt idx="29">
                  <c:v>682</c:v>
                </c:pt>
                <c:pt idx="30">
                  <c:v>630</c:v>
                </c:pt>
                <c:pt idx="31">
                  <c:v>580</c:v>
                </c:pt>
                <c:pt idx="32">
                  <c:v>560</c:v>
                </c:pt>
                <c:pt idx="33">
                  <c:v>532</c:v>
                </c:pt>
                <c:pt idx="34">
                  <c:v>513</c:v>
                </c:pt>
                <c:pt idx="35">
                  <c:v>468</c:v>
                </c:pt>
                <c:pt idx="36">
                  <c:v>450</c:v>
                </c:pt>
                <c:pt idx="37">
                  <c:v>408</c:v>
                </c:pt>
                <c:pt idx="38">
                  <c:v>368</c:v>
                </c:pt>
                <c:pt idx="39" formatCode="General">
                  <c:v>352</c:v>
                </c:pt>
              </c:numCache>
            </c:numRef>
          </c:xVal>
          <c:yVal>
            <c:numRef>
              <c:f>Resumo!$G$5:$G$44</c:f>
              <c:numCache>
                <c:formatCode>0.000E+00</c:formatCode>
                <c:ptCount val="40"/>
                <c:pt idx="0">
                  <c:v>-5890</c:v>
                </c:pt>
                <c:pt idx="1">
                  <c:v>-5889</c:v>
                </c:pt>
                <c:pt idx="2">
                  <c:v>-5889</c:v>
                </c:pt>
                <c:pt idx="3">
                  <c:v>-5887</c:v>
                </c:pt>
                <c:pt idx="4">
                  <c:v>-5886</c:v>
                </c:pt>
                <c:pt idx="5">
                  <c:v>-5884</c:v>
                </c:pt>
                <c:pt idx="6">
                  <c:v>-5882</c:v>
                </c:pt>
                <c:pt idx="7">
                  <c:v>-5881</c:v>
                </c:pt>
                <c:pt idx="8">
                  <c:v>-5881</c:v>
                </c:pt>
                <c:pt idx="9">
                  <c:v>-5877</c:v>
                </c:pt>
                <c:pt idx="10">
                  <c:v>-5875</c:v>
                </c:pt>
                <c:pt idx="11">
                  <c:v>-5875</c:v>
                </c:pt>
                <c:pt idx="12">
                  <c:v>-5871</c:v>
                </c:pt>
                <c:pt idx="13">
                  <c:v>-5869</c:v>
                </c:pt>
                <c:pt idx="14">
                  <c:v>-5871</c:v>
                </c:pt>
                <c:pt idx="15">
                  <c:v>-5869</c:v>
                </c:pt>
                <c:pt idx="16">
                  <c:v>-5867</c:v>
                </c:pt>
                <c:pt idx="17">
                  <c:v>-5861</c:v>
                </c:pt>
                <c:pt idx="18">
                  <c:v>-5857</c:v>
                </c:pt>
                <c:pt idx="19">
                  <c:v>-5862</c:v>
                </c:pt>
                <c:pt idx="20">
                  <c:v>-5854</c:v>
                </c:pt>
                <c:pt idx="21">
                  <c:v>-5850</c:v>
                </c:pt>
                <c:pt idx="22">
                  <c:v>-5856</c:v>
                </c:pt>
                <c:pt idx="23">
                  <c:v>-5845</c:v>
                </c:pt>
                <c:pt idx="24">
                  <c:v>-5851</c:v>
                </c:pt>
                <c:pt idx="25">
                  <c:v>-5853</c:v>
                </c:pt>
                <c:pt idx="26">
                  <c:v>-5840</c:v>
                </c:pt>
                <c:pt idx="27">
                  <c:v>-5847</c:v>
                </c:pt>
                <c:pt idx="28">
                  <c:v>-5834</c:v>
                </c:pt>
                <c:pt idx="29">
                  <c:v>-5832</c:v>
                </c:pt>
                <c:pt idx="30">
                  <c:v>-5844</c:v>
                </c:pt>
                <c:pt idx="31">
                  <c:v>-5826</c:v>
                </c:pt>
                <c:pt idx="32">
                  <c:v>-5823</c:v>
                </c:pt>
                <c:pt idx="33">
                  <c:v>-5835</c:v>
                </c:pt>
                <c:pt idx="34">
                  <c:v>-5840</c:v>
                </c:pt>
                <c:pt idx="35">
                  <c:v>-5814</c:v>
                </c:pt>
                <c:pt idx="36">
                  <c:v>-5816</c:v>
                </c:pt>
                <c:pt idx="37">
                  <c:v>-5833</c:v>
                </c:pt>
                <c:pt idx="38">
                  <c:v>-5798</c:v>
                </c:pt>
                <c:pt idx="39">
                  <c:v>-5806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43026768"/>
        <c:axId val="743027328"/>
      </c:scatterChart>
      <c:valAx>
        <c:axId val="743026768"/>
        <c:scaling>
          <c:orientation val="minMax"/>
          <c:max val="43750"/>
          <c:min val="0"/>
        </c:scaling>
        <c:delete val="0"/>
        <c:axPos val="t"/>
        <c:majorGridlines>
          <c:spPr>
            <a:ln>
              <a:noFill/>
            </a:ln>
          </c:spPr>
        </c:majorGridlines>
        <c:numFmt formatCode="0E+0" sourceLinked="0"/>
        <c:majorTickMark val="out"/>
        <c:minorTickMark val="none"/>
        <c:tickLblPos val="nextTo"/>
        <c:crossAx val="743027328"/>
        <c:crosses val="max"/>
        <c:crossBetween val="midCat"/>
      </c:valAx>
      <c:valAx>
        <c:axId val="743027328"/>
        <c:scaling>
          <c:orientation val="minMax"/>
          <c:max val="15000"/>
          <c:min val="5500"/>
        </c:scaling>
        <c:delete val="0"/>
        <c:axPos val="l"/>
        <c:majorGridlines>
          <c:spPr>
            <a:ln>
              <a:noFill/>
            </a:ln>
          </c:spPr>
        </c:majorGridlines>
        <c:numFmt formatCode="0.0E+0" sourceLinked="0"/>
        <c:majorTickMark val="out"/>
        <c:minorTickMark val="none"/>
        <c:tickLblPos val="nextTo"/>
        <c:crossAx val="7430267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Resumo!$G$4</c:f>
              <c:strCache>
                <c:ptCount val="1"/>
                <c:pt idx="0">
                  <c:v> MIN MY</c:v>
                </c:pt>
              </c:strCache>
            </c:strRef>
          </c:tx>
          <c:spPr>
            <a:ln w="19050">
              <a:solidFill>
                <a:srgbClr val="00B0F0"/>
              </a:solidFill>
            </a:ln>
          </c:spPr>
          <c:marker>
            <c:symbol val="circle"/>
            <c:size val="5"/>
            <c:spPr>
              <a:solidFill>
                <a:schemeClr val="tx2">
                  <a:lumMod val="20000"/>
                  <a:lumOff val="80000"/>
                  <a:alpha val="75000"/>
                </a:schemeClr>
              </a:solidFill>
              <a:ln>
                <a:solidFill>
                  <a:srgbClr val="0000FF"/>
                </a:solidFill>
              </a:ln>
            </c:spPr>
          </c:marker>
          <c:dPt>
            <c:idx val="7"/>
            <c:bubble3D val="0"/>
          </c:dPt>
          <c:xVal>
            <c:numRef>
              <c:f>Resumo!$C$5:$C$933</c:f>
              <c:numCache>
                <c:formatCode>#,##0</c:formatCode>
                <c:ptCount val="929"/>
                <c:pt idx="0">
                  <c:v>43750</c:v>
                </c:pt>
                <c:pt idx="1">
                  <c:v>28000</c:v>
                </c:pt>
                <c:pt idx="2">
                  <c:v>19539</c:v>
                </c:pt>
                <c:pt idx="3">
                  <c:v>14300</c:v>
                </c:pt>
                <c:pt idx="4">
                  <c:v>11000</c:v>
                </c:pt>
                <c:pt idx="5">
                  <c:v>8736</c:v>
                </c:pt>
                <c:pt idx="6">
                  <c:v>7000</c:v>
                </c:pt>
                <c:pt idx="7">
                  <c:v>5824</c:v>
                </c:pt>
                <c:pt idx="8">
                  <c:v>4956</c:v>
                </c:pt>
                <c:pt idx="9">
                  <c:v>4158</c:v>
                </c:pt>
                <c:pt idx="10">
                  <c:v>3600</c:v>
                </c:pt>
                <c:pt idx="11">
                  <c:v>3149</c:v>
                </c:pt>
                <c:pt idx="12">
                  <c:v>2772</c:v>
                </c:pt>
                <c:pt idx="13">
                  <c:v>2478</c:v>
                </c:pt>
                <c:pt idx="14">
                  <c:v>2184</c:v>
                </c:pt>
                <c:pt idx="15">
                  <c:v>1961</c:v>
                </c:pt>
                <c:pt idx="16">
                  <c:v>1750</c:v>
                </c:pt>
                <c:pt idx="17">
                  <c:v>1632</c:v>
                </c:pt>
                <c:pt idx="18">
                  <c:v>1472</c:v>
                </c:pt>
                <c:pt idx="19">
                  <c:v>1364</c:v>
                </c:pt>
                <c:pt idx="20">
                  <c:v>1260</c:v>
                </c:pt>
                <c:pt idx="21">
                  <c:v>1120</c:v>
                </c:pt>
                <c:pt idx="22">
                  <c:v>1053</c:v>
                </c:pt>
                <c:pt idx="23">
                  <c:v>988</c:v>
                </c:pt>
                <c:pt idx="24">
                  <c:v>900</c:v>
                </c:pt>
                <c:pt idx="25">
                  <c:v>875</c:v>
                </c:pt>
                <c:pt idx="26">
                  <c:v>816</c:v>
                </c:pt>
                <c:pt idx="27">
                  <c:v>759</c:v>
                </c:pt>
                <c:pt idx="28">
                  <c:v>704</c:v>
                </c:pt>
                <c:pt idx="29">
                  <c:v>682</c:v>
                </c:pt>
                <c:pt idx="30">
                  <c:v>630</c:v>
                </c:pt>
                <c:pt idx="31">
                  <c:v>580</c:v>
                </c:pt>
                <c:pt idx="32">
                  <c:v>560</c:v>
                </c:pt>
                <c:pt idx="33">
                  <c:v>532</c:v>
                </c:pt>
                <c:pt idx="34">
                  <c:v>513</c:v>
                </c:pt>
                <c:pt idx="35">
                  <c:v>468</c:v>
                </c:pt>
                <c:pt idx="36">
                  <c:v>450</c:v>
                </c:pt>
                <c:pt idx="37">
                  <c:v>408</c:v>
                </c:pt>
                <c:pt idx="38">
                  <c:v>368</c:v>
                </c:pt>
                <c:pt idx="39" formatCode="General">
                  <c:v>352</c:v>
                </c:pt>
                <c:pt idx="40" formatCode="General">
                  <c:v>330</c:v>
                </c:pt>
                <c:pt idx="41" formatCode="General">
                  <c:v>315</c:v>
                </c:pt>
                <c:pt idx="42" formatCode="General">
                  <c:v>280</c:v>
                </c:pt>
                <c:pt idx="43" formatCode="General">
                  <c:v>266</c:v>
                </c:pt>
                <c:pt idx="44" formatCode="General">
                  <c:v>247</c:v>
                </c:pt>
                <c:pt idx="45" formatCode="General">
                  <c:v>234</c:v>
                </c:pt>
                <c:pt idx="46" formatCode="General">
                  <c:v>204</c:v>
                </c:pt>
                <c:pt idx="47" formatCode="General">
                  <c:v>192</c:v>
                </c:pt>
                <c:pt idx="48" formatCode="General">
                  <c:v>176</c:v>
                </c:pt>
                <c:pt idx="49" formatCode="General">
                  <c:v>165</c:v>
                </c:pt>
                <c:pt idx="50" formatCode="General">
                  <c:v>150</c:v>
                </c:pt>
                <c:pt idx="51" formatCode="General">
                  <c:v>140</c:v>
                </c:pt>
                <c:pt idx="52" formatCode="General">
                  <c:v>130</c:v>
                </c:pt>
                <c:pt idx="53" formatCode="General">
                  <c:v>117</c:v>
                </c:pt>
                <c:pt idx="54" formatCode="General">
                  <c:v>108</c:v>
                </c:pt>
                <c:pt idx="55" formatCode="General">
                  <c:v>96</c:v>
                </c:pt>
                <c:pt idx="56" formatCode="General">
                  <c:v>88</c:v>
                </c:pt>
                <c:pt idx="57" formatCode="General">
                  <c:v>70</c:v>
                </c:pt>
                <c:pt idx="58" formatCode="General">
                  <c:v>63</c:v>
                </c:pt>
                <c:pt idx="59" formatCode="General">
                  <c:v>54</c:v>
                </c:pt>
                <c:pt idx="60" formatCode="General">
                  <c:v>48</c:v>
                </c:pt>
                <c:pt idx="61" formatCode="General">
                  <c:v>40</c:v>
                </c:pt>
                <c:pt idx="62" formatCode="General">
                  <c:v>35</c:v>
                </c:pt>
                <c:pt idx="63" formatCode="General">
                  <c:v>30</c:v>
                </c:pt>
                <c:pt idx="64" formatCode="General">
                  <c:v>24</c:v>
                </c:pt>
                <c:pt idx="65" formatCode="General">
                  <c:v>20</c:v>
                </c:pt>
              </c:numCache>
            </c:numRef>
          </c:xVal>
          <c:yVal>
            <c:numRef>
              <c:f>Resumo!$G$5:$G$933</c:f>
              <c:numCache>
                <c:formatCode>0.000E+00</c:formatCode>
                <c:ptCount val="929"/>
                <c:pt idx="0">
                  <c:v>-5890</c:v>
                </c:pt>
                <c:pt idx="1">
                  <c:v>-5889</c:v>
                </c:pt>
                <c:pt idx="2">
                  <c:v>-5889</c:v>
                </c:pt>
                <c:pt idx="3">
                  <c:v>-5887</c:v>
                </c:pt>
                <c:pt idx="4">
                  <c:v>-5886</c:v>
                </c:pt>
                <c:pt idx="5">
                  <c:v>-5884</c:v>
                </c:pt>
                <c:pt idx="6">
                  <c:v>-5882</c:v>
                </c:pt>
                <c:pt idx="7">
                  <c:v>-5881</c:v>
                </c:pt>
                <c:pt idx="8">
                  <c:v>-5881</c:v>
                </c:pt>
                <c:pt idx="9">
                  <c:v>-5877</c:v>
                </c:pt>
                <c:pt idx="10">
                  <c:v>-5875</c:v>
                </c:pt>
                <c:pt idx="11">
                  <c:v>-5875</c:v>
                </c:pt>
                <c:pt idx="12">
                  <c:v>-5871</c:v>
                </c:pt>
                <c:pt idx="13">
                  <c:v>-5869</c:v>
                </c:pt>
                <c:pt idx="14">
                  <c:v>-5871</c:v>
                </c:pt>
                <c:pt idx="15">
                  <c:v>-5869</c:v>
                </c:pt>
                <c:pt idx="16">
                  <c:v>-5867</c:v>
                </c:pt>
                <c:pt idx="17">
                  <c:v>-5861</c:v>
                </c:pt>
                <c:pt idx="18">
                  <c:v>-5857</c:v>
                </c:pt>
                <c:pt idx="19">
                  <c:v>-5862</c:v>
                </c:pt>
                <c:pt idx="20">
                  <c:v>-5854</c:v>
                </c:pt>
                <c:pt idx="21">
                  <c:v>-5850</c:v>
                </c:pt>
                <c:pt idx="22">
                  <c:v>-5856</c:v>
                </c:pt>
                <c:pt idx="23">
                  <c:v>-5845</c:v>
                </c:pt>
                <c:pt idx="24">
                  <c:v>-5851</c:v>
                </c:pt>
                <c:pt idx="25">
                  <c:v>-5853</c:v>
                </c:pt>
                <c:pt idx="26">
                  <c:v>-5840</c:v>
                </c:pt>
                <c:pt idx="27">
                  <c:v>-5847</c:v>
                </c:pt>
                <c:pt idx="28">
                  <c:v>-5834</c:v>
                </c:pt>
                <c:pt idx="29">
                  <c:v>-5832</c:v>
                </c:pt>
                <c:pt idx="30">
                  <c:v>-5844</c:v>
                </c:pt>
                <c:pt idx="31">
                  <c:v>-5826</c:v>
                </c:pt>
                <c:pt idx="32">
                  <c:v>-5823</c:v>
                </c:pt>
                <c:pt idx="33">
                  <c:v>-5835</c:v>
                </c:pt>
                <c:pt idx="34">
                  <c:v>-5840</c:v>
                </c:pt>
                <c:pt idx="35">
                  <c:v>-5814</c:v>
                </c:pt>
                <c:pt idx="36">
                  <c:v>-5816</c:v>
                </c:pt>
                <c:pt idx="37">
                  <c:v>-5833</c:v>
                </c:pt>
                <c:pt idx="38">
                  <c:v>-5798</c:v>
                </c:pt>
                <c:pt idx="39">
                  <c:v>-5806</c:v>
                </c:pt>
                <c:pt idx="40">
                  <c:v>-5825</c:v>
                </c:pt>
                <c:pt idx="41">
                  <c:v>-5824</c:v>
                </c:pt>
                <c:pt idx="42">
                  <c:v>-5785</c:v>
                </c:pt>
                <c:pt idx="43">
                  <c:v>-5791</c:v>
                </c:pt>
                <c:pt idx="44">
                  <c:v>-5816</c:v>
                </c:pt>
                <c:pt idx="45">
                  <c:v>-5809</c:v>
                </c:pt>
                <c:pt idx="46">
                  <c:v>-5766</c:v>
                </c:pt>
                <c:pt idx="47">
                  <c:v>-5769</c:v>
                </c:pt>
                <c:pt idx="48">
                  <c:v>-5801</c:v>
                </c:pt>
                <c:pt idx="49">
                  <c:v>-5797</c:v>
                </c:pt>
                <c:pt idx="50">
                  <c:v>-5719</c:v>
                </c:pt>
                <c:pt idx="51">
                  <c:v>-5736</c:v>
                </c:pt>
                <c:pt idx="52">
                  <c:v>-5730</c:v>
                </c:pt>
                <c:pt idx="53">
                  <c:v>-5774</c:v>
                </c:pt>
                <c:pt idx="54">
                  <c:v>-5790</c:v>
                </c:pt>
                <c:pt idx="55">
                  <c:v>-5665</c:v>
                </c:pt>
                <c:pt idx="56">
                  <c:v>-5679</c:v>
                </c:pt>
                <c:pt idx="57">
                  <c:v>-5727</c:v>
                </c:pt>
                <c:pt idx="58">
                  <c:v>-5782</c:v>
                </c:pt>
                <c:pt idx="59">
                  <c:v>-5550</c:v>
                </c:pt>
                <c:pt idx="60">
                  <c:v>-5560</c:v>
                </c:pt>
                <c:pt idx="61">
                  <c:v>-5645</c:v>
                </c:pt>
                <c:pt idx="62">
                  <c:v>-5689</c:v>
                </c:pt>
                <c:pt idx="63">
                  <c:v>-5788</c:v>
                </c:pt>
                <c:pt idx="64">
                  <c:v>-5210</c:v>
                </c:pt>
                <c:pt idx="65">
                  <c:v>-5252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Resumo!$AB$5:$AE$5</c:f>
              <c:strCache>
                <c:ptCount val="1"/>
                <c:pt idx="0">
                  <c:v>MALHA GROSSA</c:v>
                </c:pt>
              </c:strCache>
            </c:strRef>
          </c:tx>
          <c:marker>
            <c:symbol val="none"/>
          </c:marker>
          <c:xVal>
            <c:numRef>
              <c:f>Resumo!$AD$7:$AD$8</c:f>
              <c:numCache>
                <c:formatCode>#,##0</c:formatCode>
                <c:ptCount val="2"/>
                <c:pt idx="0">
                  <c:v>759</c:v>
                </c:pt>
                <c:pt idx="1">
                  <c:v>759</c:v>
                </c:pt>
              </c:numCache>
            </c:numRef>
          </c:xVal>
          <c:yVal>
            <c:numRef>
              <c:f>Resumo!$AE$7:$AE$8</c:f>
              <c:numCache>
                <c:formatCode>0.0</c:formatCode>
                <c:ptCount val="2"/>
                <c:pt idx="0">
                  <c:v>-8525</c:v>
                </c:pt>
                <c:pt idx="1">
                  <c:v>14530</c:v>
                </c:pt>
              </c:numCache>
            </c:numRef>
          </c:yVal>
          <c:smooth val="1"/>
        </c:ser>
        <c:ser>
          <c:idx val="2"/>
          <c:order val="2"/>
          <c:tx>
            <c:strRef>
              <c:f>Resumo!$AB$11:$AE$11</c:f>
              <c:strCache>
                <c:ptCount val="1"/>
                <c:pt idx="0">
                  <c:v>MALHA FINA</c:v>
                </c:pt>
              </c:strCache>
            </c:strRef>
          </c:tx>
          <c:marker>
            <c:symbol val="none"/>
          </c:marker>
          <c:xVal>
            <c:numRef>
              <c:f>Resumo!$AD$13:$AD$14</c:f>
              <c:numCache>
                <c:formatCode>#,##0</c:formatCode>
                <c:ptCount val="2"/>
                <c:pt idx="0">
                  <c:v>2772</c:v>
                </c:pt>
                <c:pt idx="1">
                  <c:v>2772</c:v>
                </c:pt>
              </c:numCache>
            </c:numRef>
          </c:xVal>
          <c:yVal>
            <c:numRef>
              <c:f>Resumo!$AE$13:$AE$14</c:f>
              <c:numCache>
                <c:formatCode>0.0</c:formatCode>
                <c:ptCount val="2"/>
                <c:pt idx="0">
                  <c:v>-8525</c:v>
                </c:pt>
                <c:pt idx="1">
                  <c:v>14530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42520128"/>
        <c:axId val="742520688"/>
      </c:scatterChart>
      <c:valAx>
        <c:axId val="742520128"/>
        <c:scaling>
          <c:orientation val="minMax"/>
          <c:max val="43750"/>
          <c:min val="0"/>
        </c:scaling>
        <c:delete val="0"/>
        <c:axPos val="t"/>
        <c:majorGridlines>
          <c:spPr>
            <a:ln>
              <a:noFill/>
            </a:ln>
          </c:spPr>
        </c:majorGridlines>
        <c:numFmt formatCode="0E+0" sourceLinked="0"/>
        <c:majorTickMark val="out"/>
        <c:minorTickMark val="none"/>
        <c:tickLblPos val="nextTo"/>
        <c:crossAx val="742520688"/>
        <c:crosses val="max"/>
        <c:crossBetween val="midCat"/>
      </c:valAx>
      <c:valAx>
        <c:axId val="742520688"/>
        <c:scaling>
          <c:orientation val="minMax"/>
          <c:max val="-5150"/>
          <c:min val="-5900"/>
        </c:scaling>
        <c:delete val="0"/>
        <c:axPos val="l"/>
        <c:majorGridlines>
          <c:spPr>
            <a:ln>
              <a:noFill/>
            </a:ln>
          </c:spPr>
        </c:majorGridlines>
        <c:numFmt formatCode="0.0E+0" sourceLinked="0"/>
        <c:majorTickMark val="out"/>
        <c:minorTickMark val="none"/>
        <c:tickLblPos val="nextTo"/>
        <c:crossAx val="7425201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Resumo!$G$4</c:f>
              <c:strCache>
                <c:ptCount val="1"/>
                <c:pt idx="0">
                  <c:v> MIN MY</c:v>
                </c:pt>
              </c:strCache>
            </c:strRef>
          </c:tx>
          <c:spPr>
            <a:ln w="19050">
              <a:solidFill>
                <a:srgbClr val="00B0F0"/>
              </a:solidFill>
            </a:ln>
          </c:spPr>
          <c:marker>
            <c:symbol val="circle"/>
            <c:size val="5"/>
            <c:spPr>
              <a:solidFill>
                <a:schemeClr val="tx2">
                  <a:lumMod val="20000"/>
                  <a:lumOff val="80000"/>
                  <a:alpha val="75000"/>
                </a:schemeClr>
              </a:solidFill>
              <a:ln>
                <a:solidFill>
                  <a:srgbClr val="0000FF"/>
                </a:solidFill>
              </a:ln>
            </c:spPr>
          </c:marker>
          <c:dPt>
            <c:idx val="7"/>
            <c:bubble3D val="0"/>
          </c:dPt>
          <c:xVal>
            <c:numRef>
              <c:f>Resumo!$C$5:$C$933</c:f>
              <c:numCache>
                <c:formatCode>#,##0</c:formatCode>
                <c:ptCount val="929"/>
                <c:pt idx="0">
                  <c:v>43750</c:v>
                </c:pt>
                <c:pt idx="1">
                  <c:v>28000</c:v>
                </c:pt>
                <c:pt idx="2">
                  <c:v>19539</c:v>
                </c:pt>
                <c:pt idx="3">
                  <c:v>14300</c:v>
                </c:pt>
                <c:pt idx="4">
                  <c:v>11000</c:v>
                </c:pt>
                <c:pt idx="5">
                  <c:v>8736</c:v>
                </c:pt>
                <c:pt idx="6">
                  <c:v>7000</c:v>
                </c:pt>
                <c:pt idx="7">
                  <c:v>5824</c:v>
                </c:pt>
                <c:pt idx="8">
                  <c:v>4956</c:v>
                </c:pt>
                <c:pt idx="9">
                  <c:v>4158</c:v>
                </c:pt>
                <c:pt idx="10">
                  <c:v>3600</c:v>
                </c:pt>
                <c:pt idx="11">
                  <c:v>3149</c:v>
                </c:pt>
                <c:pt idx="12">
                  <c:v>2772</c:v>
                </c:pt>
                <c:pt idx="13">
                  <c:v>2478</c:v>
                </c:pt>
                <c:pt idx="14">
                  <c:v>2184</c:v>
                </c:pt>
                <c:pt idx="15">
                  <c:v>1961</c:v>
                </c:pt>
                <c:pt idx="16">
                  <c:v>1750</c:v>
                </c:pt>
                <c:pt idx="17">
                  <c:v>1632</c:v>
                </c:pt>
                <c:pt idx="18">
                  <c:v>1472</c:v>
                </c:pt>
                <c:pt idx="19">
                  <c:v>1364</c:v>
                </c:pt>
                <c:pt idx="20">
                  <c:v>1260</c:v>
                </c:pt>
                <c:pt idx="21">
                  <c:v>1120</c:v>
                </c:pt>
                <c:pt idx="22">
                  <c:v>1053</c:v>
                </c:pt>
                <c:pt idx="23">
                  <c:v>988</c:v>
                </c:pt>
                <c:pt idx="24">
                  <c:v>900</c:v>
                </c:pt>
                <c:pt idx="25">
                  <c:v>875</c:v>
                </c:pt>
                <c:pt idx="26">
                  <c:v>816</c:v>
                </c:pt>
                <c:pt idx="27">
                  <c:v>759</c:v>
                </c:pt>
                <c:pt idx="28">
                  <c:v>704</c:v>
                </c:pt>
                <c:pt idx="29">
                  <c:v>682</c:v>
                </c:pt>
                <c:pt idx="30">
                  <c:v>630</c:v>
                </c:pt>
                <c:pt idx="31">
                  <c:v>580</c:v>
                </c:pt>
                <c:pt idx="32">
                  <c:v>560</c:v>
                </c:pt>
                <c:pt idx="33">
                  <c:v>532</c:v>
                </c:pt>
                <c:pt idx="34">
                  <c:v>513</c:v>
                </c:pt>
                <c:pt idx="35">
                  <c:v>468</c:v>
                </c:pt>
                <c:pt idx="36">
                  <c:v>450</c:v>
                </c:pt>
                <c:pt idx="37">
                  <c:v>408</c:v>
                </c:pt>
                <c:pt idx="38">
                  <c:v>368</c:v>
                </c:pt>
                <c:pt idx="39" formatCode="General">
                  <c:v>352</c:v>
                </c:pt>
                <c:pt idx="40" formatCode="General">
                  <c:v>330</c:v>
                </c:pt>
                <c:pt idx="41" formatCode="General">
                  <c:v>315</c:v>
                </c:pt>
                <c:pt idx="42" formatCode="General">
                  <c:v>280</c:v>
                </c:pt>
                <c:pt idx="43" formatCode="General">
                  <c:v>266</c:v>
                </c:pt>
                <c:pt idx="44" formatCode="General">
                  <c:v>247</c:v>
                </c:pt>
                <c:pt idx="45" formatCode="General">
                  <c:v>234</c:v>
                </c:pt>
                <c:pt idx="46" formatCode="General">
                  <c:v>204</c:v>
                </c:pt>
                <c:pt idx="47" formatCode="General">
                  <c:v>192</c:v>
                </c:pt>
                <c:pt idx="48" formatCode="General">
                  <c:v>176</c:v>
                </c:pt>
                <c:pt idx="49" formatCode="General">
                  <c:v>165</c:v>
                </c:pt>
                <c:pt idx="50" formatCode="General">
                  <c:v>150</c:v>
                </c:pt>
                <c:pt idx="51" formatCode="General">
                  <c:v>140</c:v>
                </c:pt>
                <c:pt idx="52" formatCode="General">
                  <c:v>130</c:v>
                </c:pt>
                <c:pt idx="53" formatCode="General">
                  <c:v>117</c:v>
                </c:pt>
                <c:pt idx="54" formatCode="General">
                  <c:v>108</c:v>
                </c:pt>
                <c:pt idx="55" formatCode="General">
                  <c:v>96</c:v>
                </c:pt>
                <c:pt idx="56" formatCode="General">
                  <c:v>88</c:v>
                </c:pt>
                <c:pt idx="57" formatCode="General">
                  <c:v>70</c:v>
                </c:pt>
                <c:pt idx="58" formatCode="General">
                  <c:v>63</c:v>
                </c:pt>
                <c:pt idx="59" formatCode="General">
                  <c:v>54</c:v>
                </c:pt>
                <c:pt idx="60" formatCode="General">
                  <c:v>48</c:v>
                </c:pt>
                <c:pt idx="61" formatCode="General">
                  <c:v>40</c:v>
                </c:pt>
                <c:pt idx="62" formatCode="General">
                  <c:v>35</c:v>
                </c:pt>
                <c:pt idx="63" formatCode="General">
                  <c:v>30</c:v>
                </c:pt>
                <c:pt idx="64" formatCode="General">
                  <c:v>24</c:v>
                </c:pt>
                <c:pt idx="65" formatCode="General">
                  <c:v>20</c:v>
                </c:pt>
              </c:numCache>
            </c:numRef>
          </c:xVal>
          <c:yVal>
            <c:numRef>
              <c:f>Resumo!$H$5:$H$933</c:f>
              <c:numCache>
                <c:formatCode>0.000E+00</c:formatCode>
                <c:ptCount val="929"/>
                <c:pt idx="0">
                  <c:v>-2.8540000000000002E-3</c:v>
                </c:pt>
                <c:pt idx="1">
                  <c:v>-2.8530000000000001E-3</c:v>
                </c:pt>
                <c:pt idx="2">
                  <c:v>-2.8530000000000001E-3</c:v>
                </c:pt>
                <c:pt idx="3">
                  <c:v>-2.8519999999999999E-3</c:v>
                </c:pt>
                <c:pt idx="4">
                  <c:v>-2.8509999999999998E-3</c:v>
                </c:pt>
                <c:pt idx="5">
                  <c:v>-2.8500000000000001E-3</c:v>
                </c:pt>
                <c:pt idx="6">
                  <c:v>-2.849E-3</c:v>
                </c:pt>
                <c:pt idx="7">
                  <c:v>-2.8479999999999998E-3</c:v>
                </c:pt>
                <c:pt idx="8">
                  <c:v>-2.8479999999999998E-3</c:v>
                </c:pt>
                <c:pt idx="9">
                  <c:v>-2.8449999999999999E-3</c:v>
                </c:pt>
                <c:pt idx="10">
                  <c:v>-2.8440000000000002E-3</c:v>
                </c:pt>
                <c:pt idx="11">
                  <c:v>-2.8449999999999999E-3</c:v>
                </c:pt>
                <c:pt idx="12">
                  <c:v>-2.8410000000000002E-3</c:v>
                </c:pt>
                <c:pt idx="13">
                  <c:v>-2.8400000000000001E-3</c:v>
                </c:pt>
                <c:pt idx="14">
                  <c:v>-2.8410000000000002E-3</c:v>
                </c:pt>
                <c:pt idx="15">
                  <c:v>-2.8400000000000001E-3</c:v>
                </c:pt>
                <c:pt idx="16">
                  <c:v>-2.8379999999999998E-3</c:v>
                </c:pt>
                <c:pt idx="17">
                  <c:v>-2.8340000000000001E-3</c:v>
                </c:pt>
                <c:pt idx="18">
                  <c:v>-2.833E-3</c:v>
                </c:pt>
                <c:pt idx="19">
                  <c:v>-2.8349999999999998E-3</c:v>
                </c:pt>
                <c:pt idx="20">
                  <c:v>-2.8300000000000001E-3</c:v>
                </c:pt>
                <c:pt idx="21">
                  <c:v>-2.8270000000000001E-3</c:v>
                </c:pt>
                <c:pt idx="22">
                  <c:v>-2.8300000000000001E-3</c:v>
                </c:pt>
                <c:pt idx="23">
                  <c:v>-2.8240000000000001E-3</c:v>
                </c:pt>
                <c:pt idx="24">
                  <c:v>-2.826E-3</c:v>
                </c:pt>
                <c:pt idx="25">
                  <c:v>-2.8279999999999998E-3</c:v>
                </c:pt>
                <c:pt idx="26">
                  <c:v>-2.8180000000000002E-3</c:v>
                </c:pt>
                <c:pt idx="27">
                  <c:v>-2.8249999999999998E-3</c:v>
                </c:pt>
                <c:pt idx="28">
                  <c:v>-2.8149999999999998E-3</c:v>
                </c:pt>
                <c:pt idx="29">
                  <c:v>-2.8149999999999998E-3</c:v>
                </c:pt>
                <c:pt idx="30">
                  <c:v>-2.82E-3</c:v>
                </c:pt>
                <c:pt idx="31">
                  <c:v>-2.8080000000000002E-3</c:v>
                </c:pt>
                <c:pt idx="32">
                  <c:v>-2.81E-3</c:v>
                </c:pt>
                <c:pt idx="33">
                  <c:v>-2.8159999999999999E-3</c:v>
                </c:pt>
                <c:pt idx="34">
                  <c:v>-2.8119999999999998E-3</c:v>
                </c:pt>
                <c:pt idx="35">
                  <c:v>-2.8029999999999999E-3</c:v>
                </c:pt>
                <c:pt idx="36">
                  <c:v>-2.7980000000000001E-3</c:v>
                </c:pt>
                <c:pt idx="37">
                  <c:v>-2.8089999999999999E-3</c:v>
                </c:pt>
                <c:pt idx="38">
                  <c:v>-2.7910000000000001E-3</c:v>
                </c:pt>
                <c:pt idx="39">
                  <c:v>-2.7910000000000001E-3</c:v>
                </c:pt>
                <c:pt idx="40">
                  <c:v>-2.8010000000000001E-3</c:v>
                </c:pt>
                <c:pt idx="41">
                  <c:v>-2.8010000000000001E-3</c:v>
                </c:pt>
                <c:pt idx="42">
                  <c:v>-2.7759999999999998E-3</c:v>
                </c:pt>
                <c:pt idx="43">
                  <c:v>-2.7789999999999998E-3</c:v>
                </c:pt>
                <c:pt idx="44">
                  <c:v>-2.7920000000000002E-3</c:v>
                </c:pt>
                <c:pt idx="45">
                  <c:v>-2.7799999999999999E-3</c:v>
                </c:pt>
                <c:pt idx="46">
                  <c:v>-2.7620000000000001E-3</c:v>
                </c:pt>
                <c:pt idx="47">
                  <c:v>-2.751E-3</c:v>
                </c:pt>
                <c:pt idx="48">
                  <c:v>-2.7669999999999999E-3</c:v>
                </c:pt>
                <c:pt idx="49">
                  <c:v>-2.7729999999999999E-3</c:v>
                </c:pt>
                <c:pt idx="50">
                  <c:v>-2.7330000000000002E-3</c:v>
                </c:pt>
                <c:pt idx="51">
                  <c:v>-2.7260000000000001E-3</c:v>
                </c:pt>
                <c:pt idx="52">
                  <c:v>-2.7239999999999999E-3</c:v>
                </c:pt>
                <c:pt idx="53">
                  <c:v>-2.745E-3</c:v>
                </c:pt>
                <c:pt idx="54">
                  <c:v>-2.745E-3</c:v>
                </c:pt>
                <c:pt idx="55">
                  <c:v>-2.6809999999999998E-3</c:v>
                </c:pt>
                <c:pt idx="56">
                  <c:v>-2.663E-3</c:v>
                </c:pt>
                <c:pt idx="57">
                  <c:v>-2.7039999999999998E-3</c:v>
                </c:pt>
                <c:pt idx="58">
                  <c:v>-2.6540000000000001E-3</c:v>
                </c:pt>
                <c:pt idx="59">
                  <c:v>-2.5370000000000002E-3</c:v>
                </c:pt>
                <c:pt idx="60">
                  <c:v>-2.5699999999999998E-3</c:v>
                </c:pt>
                <c:pt idx="61">
                  <c:v>-2.6059999999999998E-3</c:v>
                </c:pt>
                <c:pt idx="62">
                  <c:v>-2.5500000000000002E-3</c:v>
                </c:pt>
                <c:pt idx="63">
                  <c:v>-2.565E-3</c:v>
                </c:pt>
                <c:pt idx="64">
                  <c:v>-2.284E-3</c:v>
                </c:pt>
                <c:pt idx="65">
                  <c:v>-2.2209999999999999E-3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Resumo!$AB$5:$AE$5</c:f>
              <c:strCache>
                <c:ptCount val="1"/>
                <c:pt idx="0">
                  <c:v>MALHA GROSSA</c:v>
                </c:pt>
              </c:strCache>
            </c:strRef>
          </c:tx>
          <c:marker>
            <c:symbol val="none"/>
          </c:marker>
          <c:xVal>
            <c:numRef>
              <c:f>Resumo!$AD$7:$AD$8</c:f>
              <c:numCache>
                <c:formatCode>#,##0</c:formatCode>
                <c:ptCount val="2"/>
                <c:pt idx="0">
                  <c:v>759</c:v>
                </c:pt>
                <c:pt idx="1">
                  <c:v>759</c:v>
                </c:pt>
              </c:numCache>
            </c:numRef>
          </c:xVal>
          <c:yVal>
            <c:numRef>
              <c:f>Resumo!$AE$7:$AE$8</c:f>
              <c:numCache>
                <c:formatCode>0.0</c:formatCode>
                <c:ptCount val="2"/>
                <c:pt idx="0">
                  <c:v>-8525</c:v>
                </c:pt>
                <c:pt idx="1">
                  <c:v>14530</c:v>
                </c:pt>
              </c:numCache>
            </c:numRef>
          </c:yVal>
          <c:smooth val="1"/>
        </c:ser>
        <c:ser>
          <c:idx val="2"/>
          <c:order val="2"/>
          <c:tx>
            <c:strRef>
              <c:f>Resumo!$AB$11:$AE$11</c:f>
              <c:strCache>
                <c:ptCount val="1"/>
                <c:pt idx="0">
                  <c:v>MALHA FINA</c:v>
                </c:pt>
              </c:strCache>
            </c:strRef>
          </c:tx>
          <c:marker>
            <c:symbol val="none"/>
          </c:marker>
          <c:xVal>
            <c:numRef>
              <c:f>Resumo!$AD$13:$AD$14</c:f>
              <c:numCache>
                <c:formatCode>#,##0</c:formatCode>
                <c:ptCount val="2"/>
                <c:pt idx="0">
                  <c:v>2772</c:v>
                </c:pt>
                <c:pt idx="1">
                  <c:v>2772</c:v>
                </c:pt>
              </c:numCache>
            </c:numRef>
          </c:xVal>
          <c:yVal>
            <c:numRef>
              <c:f>Resumo!$AE$13:$AE$14</c:f>
              <c:numCache>
                <c:formatCode>0.0</c:formatCode>
                <c:ptCount val="2"/>
                <c:pt idx="0">
                  <c:v>-8525</c:v>
                </c:pt>
                <c:pt idx="1">
                  <c:v>14530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42524608"/>
        <c:axId val="742525168"/>
      </c:scatterChart>
      <c:valAx>
        <c:axId val="742524608"/>
        <c:scaling>
          <c:orientation val="minMax"/>
          <c:max val="43750"/>
          <c:min val="0"/>
        </c:scaling>
        <c:delete val="0"/>
        <c:axPos val="t"/>
        <c:majorGridlines>
          <c:spPr>
            <a:ln>
              <a:noFill/>
            </a:ln>
          </c:spPr>
        </c:majorGridlines>
        <c:numFmt formatCode="0E+0" sourceLinked="0"/>
        <c:majorTickMark val="out"/>
        <c:minorTickMark val="none"/>
        <c:tickLblPos val="nextTo"/>
        <c:crossAx val="742525168"/>
        <c:crosses val="max"/>
        <c:crossBetween val="midCat"/>
      </c:valAx>
      <c:valAx>
        <c:axId val="742525168"/>
        <c:scaling>
          <c:orientation val="minMax"/>
          <c:max val="-2.1500000000000004E-3"/>
          <c:min val="-2.9000000000000007E-3"/>
        </c:scaling>
        <c:delete val="0"/>
        <c:axPos val="l"/>
        <c:majorGridlines>
          <c:spPr>
            <a:ln>
              <a:noFill/>
            </a:ln>
          </c:spPr>
        </c:majorGridlines>
        <c:numFmt formatCode="0.0E+0" sourceLinked="0"/>
        <c:majorTickMark val="out"/>
        <c:minorTickMark val="none"/>
        <c:tickLblPos val="nextTo"/>
        <c:crossAx val="7425246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trlProps/ctrlProp1.xml><?xml version="1.0" encoding="utf-8"?>
<formControlPr xmlns="http://schemas.microsoft.com/office/spreadsheetml/2009/9/main" objectType="Spin" dx="16" fmlaLink="$AE$2" max="10000" page="10" val="0"/>
</file>

<file path=xl/ctrlProps/ctrlProp2.xml><?xml version="1.0" encoding="utf-8"?>
<formControlPr xmlns="http://schemas.microsoft.com/office/spreadsheetml/2009/9/main" objectType="Spin" dx="16" fmlaLink="$AE$3" max="100" page="10" val="5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5</xdr:row>
      <xdr:rowOff>0</xdr:rowOff>
    </xdr:from>
    <xdr:to>
      <xdr:col>18</xdr:col>
      <xdr:colOff>0</xdr:colOff>
      <xdr:row>20</xdr:row>
      <xdr:rowOff>0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19</xdr:col>
      <xdr:colOff>0</xdr:colOff>
      <xdr:row>5</xdr:row>
      <xdr:rowOff>0</xdr:rowOff>
    </xdr:from>
    <xdr:to>
      <xdr:col>26</xdr:col>
      <xdr:colOff>0</xdr:colOff>
      <xdr:row>20</xdr:row>
      <xdr:rowOff>0</xdr:rowOff>
    </xdr:to>
    <xdr:graphicFrame macro="[0]!MAXMX">
      <xdr:nvGraphicFramePr>
        <xdr:cNvPr id="3" name="Gráfico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0</xdr:colOff>
      <xdr:row>21</xdr:row>
      <xdr:rowOff>0</xdr:rowOff>
    </xdr:from>
    <xdr:to>
      <xdr:col>18</xdr:col>
      <xdr:colOff>0</xdr:colOff>
      <xdr:row>36</xdr:row>
      <xdr:rowOff>0</xdr:rowOff>
    </xdr:to>
    <xdr:graphicFrame macro="">
      <xdr:nvGraphicFramePr>
        <xdr:cNvPr id="4" name="Gráfico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19</xdr:col>
      <xdr:colOff>0</xdr:colOff>
      <xdr:row>21</xdr:row>
      <xdr:rowOff>0</xdr:rowOff>
    </xdr:from>
    <xdr:to>
      <xdr:col>26</xdr:col>
      <xdr:colOff>0</xdr:colOff>
      <xdr:row>36</xdr:row>
      <xdr:rowOff>0</xdr:rowOff>
    </xdr:to>
    <xdr:graphicFrame macro="[0]!MINMX">
      <xdr:nvGraphicFramePr>
        <xdr:cNvPr id="5" name="Gráfico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11</xdr:col>
      <xdr:colOff>0</xdr:colOff>
      <xdr:row>37</xdr:row>
      <xdr:rowOff>9524</xdr:rowOff>
    </xdr:from>
    <xdr:to>
      <xdr:col>18</xdr:col>
      <xdr:colOff>0</xdr:colOff>
      <xdr:row>51</xdr:row>
      <xdr:rowOff>190499</xdr:rowOff>
    </xdr:to>
    <xdr:graphicFrame macro="">
      <xdr:nvGraphicFramePr>
        <xdr:cNvPr id="6" name="Gráfico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19</xdr:col>
      <xdr:colOff>0</xdr:colOff>
      <xdr:row>37</xdr:row>
      <xdr:rowOff>0</xdr:rowOff>
    </xdr:from>
    <xdr:to>
      <xdr:col>26</xdr:col>
      <xdr:colOff>0</xdr:colOff>
      <xdr:row>52</xdr:row>
      <xdr:rowOff>0</xdr:rowOff>
    </xdr:to>
    <xdr:graphicFrame macro="[0]!MAXMY">
      <xdr:nvGraphicFramePr>
        <xdr:cNvPr id="7" name="Gráfico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11</xdr:col>
      <xdr:colOff>0</xdr:colOff>
      <xdr:row>53</xdr:row>
      <xdr:rowOff>0</xdr:rowOff>
    </xdr:from>
    <xdr:to>
      <xdr:col>18</xdr:col>
      <xdr:colOff>0</xdr:colOff>
      <xdr:row>68</xdr:row>
      <xdr:rowOff>0</xdr:rowOff>
    </xdr:to>
    <xdr:graphicFrame macro="">
      <xdr:nvGraphicFramePr>
        <xdr:cNvPr id="8" name="Gráfico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19</xdr:col>
      <xdr:colOff>0</xdr:colOff>
      <xdr:row>53</xdr:row>
      <xdr:rowOff>0</xdr:rowOff>
    </xdr:from>
    <xdr:to>
      <xdr:col>26</xdr:col>
      <xdr:colOff>0</xdr:colOff>
      <xdr:row>68</xdr:row>
      <xdr:rowOff>0</xdr:rowOff>
    </xdr:to>
    <xdr:graphicFrame macro="[0]!MINMY">
      <xdr:nvGraphicFramePr>
        <xdr:cNvPr id="9" name="Gráfico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11</xdr:col>
      <xdr:colOff>0</xdr:colOff>
      <xdr:row>69</xdr:row>
      <xdr:rowOff>0</xdr:rowOff>
    </xdr:from>
    <xdr:to>
      <xdr:col>18</xdr:col>
      <xdr:colOff>0</xdr:colOff>
      <xdr:row>84</xdr:row>
      <xdr:rowOff>0</xdr:rowOff>
    </xdr:to>
    <xdr:graphicFrame macro="">
      <xdr:nvGraphicFramePr>
        <xdr:cNvPr id="10" name="Gráfico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19</xdr:col>
      <xdr:colOff>0</xdr:colOff>
      <xdr:row>69</xdr:row>
      <xdr:rowOff>0</xdr:rowOff>
    </xdr:from>
    <xdr:to>
      <xdr:col>26</xdr:col>
      <xdr:colOff>0</xdr:colOff>
      <xdr:row>84</xdr:row>
      <xdr:rowOff>0</xdr:rowOff>
    </xdr:to>
    <xdr:graphicFrame macro="[0]!MAXUY">
      <xdr:nvGraphicFramePr>
        <xdr:cNvPr id="11" name="Gráfico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30</xdr:col>
          <xdr:colOff>0</xdr:colOff>
          <xdr:row>0</xdr:row>
          <xdr:rowOff>190500</xdr:rowOff>
        </xdr:from>
        <xdr:to>
          <xdr:col>30</xdr:col>
          <xdr:colOff>314325</xdr:colOff>
          <xdr:row>2</xdr:row>
          <xdr:rowOff>200025</xdr:rowOff>
        </xdr:to>
        <xdr:sp macro="" textlink="">
          <xdr:nvSpPr>
            <xdr:cNvPr id="2049" name="Spinner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30</xdr:col>
          <xdr:colOff>314325</xdr:colOff>
          <xdr:row>1</xdr:row>
          <xdr:rowOff>0</xdr:rowOff>
        </xdr:from>
        <xdr:to>
          <xdr:col>31</xdr:col>
          <xdr:colOff>0</xdr:colOff>
          <xdr:row>3</xdr:row>
          <xdr:rowOff>0</xdr:rowOff>
        </xdr:to>
        <xdr:sp macro="" textlink="">
          <xdr:nvSpPr>
            <xdr:cNvPr id="2050" name="Spinner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3</xdr:row>
      <xdr:rowOff>0</xdr:rowOff>
    </xdr:from>
    <xdr:to>
      <xdr:col>29</xdr:col>
      <xdr:colOff>0</xdr:colOff>
      <xdr:row>39</xdr:row>
      <xdr:rowOff>0</xdr:rowOff>
    </xdr:to>
    <xdr:graphicFrame macro="[0]!RESUMO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3</xdr:row>
      <xdr:rowOff>0</xdr:rowOff>
    </xdr:from>
    <xdr:to>
      <xdr:col>29</xdr:col>
      <xdr:colOff>0</xdr:colOff>
      <xdr:row>39</xdr:row>
      <xdr:rowOff>0</xdr:rowOff>
    </xdr:to>
    <xdr:graphicFrame macro="[0]!RESUMO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3</xdr:row>
      <xdr:rowOff>0</xdr:rowOff>
    </xdr:from>
    <xdr:to>
      <xdr:col>29</xdr:col>
      <xdr:colOff>0</xdr:colOff>
      <xdr:row>39</xdr:row>
      <xdr:rowOff>0</xdr:rowOff>
    </xdr:to>
    <xdr:graphicFrame macro="[0]!RESUMO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3</xdr:row>
      <xdr:rowOff>0</xdr:rowOff>
    </xdr:from>
    <xdr:to>
      <xdr:col>29</xdr:col>
      <xdr:colOff>0</xdr:colOff>
      <xdr:row>39</xdr:row>
      <xdr:rowOff>0</xdr:rowOff>
    </xdr:to>
    <xdr:graphicFrame macro="[0]!RESUMO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3</xdr:row>
      <xdr:rowOff>0</xdr:rowOff>
    </xdr:from>
    <xdr:to>
      <xdr:col>29</xdr:col>
      <xdr:colOff>0</xdr:colOff>
      <xdr:row>39</xdr:row>
      <xdr:rowOff>0</xdr:rowOff>
    </xdr:to>
    <xdr:graphicFrame macro="[0]!RESUMO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name="TotalResults_2" connectionId="3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TotalResults_3" connectionId="5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TotalResults_5" connectionId="8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TotalResults" connectionId="13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TotalResults_1" connectionId="1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TotalResults_2" connectionId="4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TotalResults_3" connectionId="6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TotalResults_1" connectionId="2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Escritório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Escritório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Escritório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Escritório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Escritório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Escritório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3.xml"/><Relationship Id="rId3" Type="http://schemas.openxmlformats.org/officeDocument/2006/relationships/vmlDrawing" Target="../drawings/vmlDrawing1.vml"/><Relationship Id="rId7" Type="http://schemas.openxmlformats.org/officeDocument/2006/relationships/queryTable" Target="../queryTables/query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queryTable" Target="../queryTables/queryTable1.xml"/><Relationship Id="rId5" Type="http://schemas.openxmlformats.org/officeDocument/2006/relationships/ctrlProp" Target="../ctrlProps/ctrlProp2.xml"/><Relationship Id="rId10" Type="http://schemas.openxmlformats.org/officeDocument/2006/relationships/queryTable" Target="../queryTables/queryTable5.xml"/><Relationship Id="rId4" Type="http://schemas.openxmlformats.org/officeDocument/2006/relationships/ctrlProp" Target="../ctrlProps/ctrlProp1.xml"/><Relationship Id="rId9" Type="http://schemas.openxmlformats.org/officeDocument/2006/relationships/queryTable" Target="../queryTables/queryTable4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.xml"/><Relationship Id="rId2" Type="http://schemas.openxmlformats.org/officeDocument/2006/relationships/queryTable" Target="../queryTables/queryTable6.xml"/><Relationship Id="rId1" Type="http://schemas.openxmlformats.org/officeDocument/2006/relationships/printerSettings" Target="../printerSettings/printerSettings2.bin"/><Relationship Id="rId4" Type="http://schemas.openxmlformats.org/officeDocument/2006/relationships/queryTable" Target="../queryTables/queryTable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AK84"/>
  <sheetViews>
    <sheetView tabSelected="1" zoomScaleNormal="100" workbookViewId="0">
      <pane ySplit="4" topLeftCell="A5" activePane="bottomLeft" state="frozen"/>
      <selection activeCell="C1" sqref="C1"/>
      <selection pane="bottomLeft" activeCell="F14" sqref="F14"/>
    </sheetView>
  </sheetViews>
  <sheetFormatPr defaultRowHeight="15" x14ac:dyDescent="0.25"/>
  <cols>
    <col min="1" max="1" width="4.7109375" style="1" customWidth="1"/>
    <col min="2" max="2" width="8.7109375" style="1" customWidth="1"/>
    <col min="3" max="3" width="10.7109375" style="1" customWidth="1"/>
    <col min="4" max="5" width="12.7109375" style="1" customWidth="1"/>
    <col min="6" max="8" width="10.7109375" style="1" customWidth="1"/>
    <col min="9" max="9" width="4.7109375" style="14" customWidth="1"/>
    <col min="10" max="10" width="2.85546875" style="1" customWidth="1"/>
    <col min="11" max="11" width="0.85546875" style="15" customWidth="1"/>
    <col min="12" max="18" width="9.140625" style="1"/>
    <col min="19" max="19" width="2.7109375" style="1" customWidth="1"/>
    <col min="20" max="25" width="9.140625" style="1"/>
    <col min="26" max="26" width="9.140625" style="1" customWidth="1"/>
    <col min="27" max="27" width="3.7109375" style="1" customWidth="1"/>
    <col min="28" max="16384" width="9.140625" style="1"/>
  </cols>
  <sheetData>
    <row r="1" spans="1:37" x14ac:dyDescent="0.25">
      <c r="A1" s="64" t="s">
        <v>21</v>
      </c>
      <c r="B1" s="64"/>
      <c r="C1" s="64"/>
      <c r="D1" s="64"/>
      <c r="E1" s="64"/>
      <c r="F1" s="64"/>
      <c r="G1" s="64"/>
      <c r="H1" s="64"/>
      <c r="I1" s="22"/>
      <c r="AB1" s="71" t="s">
        <v>27</v>
      </c>
      <c r="AC1" s="72"/>
      <c r="AD1" s="72"/>
      <c r="AE1" s="73"/>
    </row>
    <row r="2" spans="1:37" ht="15" customHeight="1" x14ac:dyDescent="0.25">
      <c r="A2" s="67" t="s">
        <v>0</v>
      </c>
      <c r="B2" s="67"/>
      <c r="C2" s="67"/>
      <c r="D2" s="67"/>
      <c r="E2" s="67"/>
      <c r="F2" s="67"/>
      <c r="G2" s="67"/>
      <c r="H2" s="67"/>
      <c r="AB2" s="74">
        <f>MAX((AE2/10)+(AE3),0.05)</f>
        <v>5</v>
      </c>
      <c r="AC2" s="75"/>
      <c r="AD2" s="75"/>
      <c r="AE2" s="47">
        <v>0</v>
      </c>
    </row>
    <row r="3" spans="1:37" ht="15.75" customHeight="1" thickBot="1" x14ac:dyDescent="0.3">
      <c r="A3" s="65" t="str">
        <f xml:space="preserve"> "Total: " &amp; COUNTA(A5:A933) &amp; " modelos"</f>
        <v>Total: 66 modelos</v>
      </c>
      <c r="B3" s="65"/>
      <c r="C3" s="65"/>
      <c r="D3" s="65"/>
      <c r="E3" s="65"/>
      <c r="F3" s="65"/>
      <c r="G3" s="65"/>
      <c r="H3" s="65"/>
      <c r="AB3" s="76"/>
      <c r="AC3" s="77"/>
      <c r="AD3" s="77"/>
      <c r="AE3" s="46">
        <v>5</v>
      </c>
    </row>
    <row r="4" spans="1:37" ht="15" customHeight="1" x14ac:dyDescent="0.25">
      <c r="A4" s="9" t="s">
        <v>1</v>
      </c>
      <c r="B4" s="9" t="s">
        <v>2</v>
      </c>
      <c r="C4" s="9" t="s">
        <v>3</v>
      </c>
      <c r="D4" s="9" t="s">
        <v>16</v>
      </c>
      <c r="E4" s="9" t="s">
        <v>17</v>
      </c>
      <c r="F4" s="9" t="s">
        <v>18</v>
      </c>
      <c r="G4" s="9" t="s">
        <v>19</v>
      </c>
      <c r="H4" s="9" t="s">
        <v>20</v>
      </c>
      <c r="J4" s="14"/>
      <c r="L4" s="21">
        <f>MIN(B5:B999)</f>
        <v>0.02</v>
      </c>
      <c r="M4" s="66" t="s">
        <v>7</v>
      </c>
      <c r="N4" s="66"/>
      <c r="O4" s="66"/>
      <c r="P4" s="66"/>
      <c r="Q4" s="66"/>
      <c r="R4" s="20">
        <f>MAX(B5:B999)</f>
        <v>1</v>
      </c>
      <c r="S4" s="17"/>
      <c r="T4" s="19">
        <f>MIN(C5:C999)</f>
        <v>20</v>
      </c>
      <c r="U4" s="66" t="s">
        <v>6</v>
      </c>
      <c r="V4" s="66"/>
      <c r="W4" s="66"/>
      <c r="X4" s="66"/>
      <c r="Y4" s="66"/>
      <c r="Z4" s="18">
        <f>MAX(C5:C999)</f>
        <v>43750</v>
      </c>
      <c r="AA4" s="14"/>
    </row>
    <row r="5" spans="1:37" x14ac:dyDescent="0.25">
      <c r="A5" s="3">
        <v>1</v>
      </c>
      <c r="B5" s="4">
        <v>0.02</v>
      </c>
      <c r="C5" s="5">
        <v>43750</v>
      </c>
      <c r="D5" s="41">
        <v>2899</v>
      </c>
      <c r="E5" s="41">
        <v>-8525</v>
      </c>
      <c r="F5" s="41">
        <v>14530</v>
      </c>
      <c r="G5" s="41">
        <v>-5890</v>
      </c>
      <c r="H5" s="41">
        <v>-2.8540000000000002E-3</v>
      </c>
      <c r="J5" s="14"/>
      <c r="L5" s="14"/>
      <c r="M5" s="14"/>
      <c r="N5" s="14"/>
      <c r="O5" s="14"/>
      <c r="P5" s="14"/>
      <c r="Q5" s="14"/>
      <c r="R5" s="14"/>
      <c r="S5" s="14"/>
      <c r="T5" s="14"/>
      <c r="U5" s="14"/>
      <c r="V5" s="14"/>
      <c r="W5" s="14"/>
      <c r="X5" s="14"/>
      <c r="Y5" s="14"/>
      <c r="Z5" s="14"/>
      <c r="AA5" s="14"/>
      <c r="AB5" s="78" t="s">
        <v>13</v>
      </c>
      <c r="AC5" s="78"/>
      <c r="AD5" s="78"/>
      <c r="AE5" s="78"/>
    </row>
    <row r="6" spans="1:37" x14ac:dyDescent="0.25">
      <c r="A6" s="3">
        <v>2</v>
      </c>
      <c r="B6" s="4">
        <v>2.5000000000000001E-2</v>
      </c>
      <c r="C6" s="5">
        <v>28000</v>
      </c>
      <c r="D6" s="41">
        <v>2884</v>
      </c>
      <c r="E6" s="41">
        <v>-8524</v>
      </c>
      <c r="F6" s="41">
        <v>14470</v>
      </c>
      <c r="G6" s="41">
        <v>-5889</v>
      </c>
      <c r="H6" s="41">
        <v>-2.8530000000000001E-3</v>
      </c>
      <c r="J6" s="68">
        <f>ROUNDUP(MAX(D5:D999),3)</f>
        <v>2899</v>
      </c>
      <c r="K6" s="24"/>
      <c r="L6" s="14"/>
      <c r="M6" s="14"/>
      <c r="N6" s="14"/>
      <c r="O6" s="14"/>
      <c r="P6" s="14"/>
      <c r="Q6" s="14"/>
      <c r="R6" s="14"/>
      <c r="S6" s="14"/>
      <c r="T6" s="14"/>
      <c r="U6" s="14"/>
      <c r="V6" s="14"/>
      <c r="W6" s="14"/>
      <c r="X6" s="14"/>
      <c r="Y6" s="14"/>
      <c r="Z6" s="14"/>
      <c r="AA6" s="14"/>
      <c r="AB6" s="26" t="s">
        <v>1</v>
      </c>
      <c r="AC6" s="26" t="s">
        <v>2</v>
      </c>
      <c r="AD6" s="26" t="s">
        <v>3</v>
      </c>
      <c r="AE6" s="27" t="s">
        <v>12</v>
      </c>
    </row>
    <row r="7" spans="1:37" x14ac:dyDescent="0.25">
      <c r="A7" s="3">
        <v>3</v>
      </c>
      <c r="B7" s="4">
        <v>0.03</v>
      </c>
      <c r="C7" s="5">
        <v>19539</v>
      </c>
      <c r="D7" s="41">
        <v>2870</v>
      </c>
      <c r="E7" s="41">
        <v>-8523</v>
      </c>
      <c r="F7" s="41">
        <v>14400</v>
      </c>
      <c r="G7" s="41">
        <v>-5889</v>
      </c>
      <c r="H7" s="41">
        <v>-2.8530000000000001E-3</v>
      </c>
      <c r="J7" s="68"/>
      <c r="K7" s="24"/>
      <c r="L7" s="14"/>
      <c r="M7" s="14"/>
      <c r="N7" s="14"/>
      <c r="O7" s="14"/>
      <c r="P7" s="14"/>
      <c r="Q7" s="14"/>
      <c r="R7" s="14"/>
      <c r="S7" s="14"/>
      <c r="T7" s="14"/>
      <c r="U7" s="14"/>
      <c r="V7" s="14"/>
      <c r="W7" s="14"/>
      <c r="X7" s="14"/>
      <c r="Y7" s="14"/>
      <c r="Z7" s="14"/>
      <c r="AA7" s="14"/>
      <c r="AB7" s="28">
        <v>1</v>
      </c>
      <c r="AC7" s="29">
        <f>RESULTADOS!V5</f>
        <v>0.155</v>
      </c>
      <c r="AD7" s="30">
        <f>VLOOKUP(AC7,B5:C999,2,FALSE)</f>
        <v>759</v>
      </c>
      <c r="AE7" s="44">
        <f>MIN(J17,J33,J65,J81,J49)</f>
        <v>-8525</v>
      </c>
    </row>
    <row r="8" spans="1:37" ht="15" customHeight="1" x14ac:dyDescent="0.25">
      <c r="A8" s="3">
        <v>4</v>
      </c>
      <c r="B8" s="4">
        <v>3.5000000000000003E-2</v>
      </c>
      <c r="C8" s="5">
        <v>14300</v>
      </c>
      <c r="D8" s="41">
        <v>2855</v>
      </c>
      <c r="E8" s="41">
        <v>-8522</v>
      </c>
      <c r="F8" s="41">
        <v>14340</v>
      </c>
      <c r="G8" s="41">
        <v>-5887</v>
      </c>
      <c r="H8" s="41">
        <v>-2.8519999999999999E-3</v>
      </c>
      <c r="J8" s="68"/>
      <c r="K8" s="24"/>
      <c r="L8" s="14"/>
      <c r="M8" s="14"/>
      <c r="N8" s="14"/>
      <c r="O8" s="14"/>
      <c r="P8" s="14"/>
      <c r="Q8" s="14"/>
      <c r="R8" s="14"/>
      <c r="S8" s="14"/>
      <c r="T8" s="14"/>
      <c r="U8" s="14"/>
      <c r="V8" s="14"/>
      <c r="W8" s="14"/>
      <c r="X8" s="14"/>
      <c r="Y8" s="14"/>
      <c r="Z8" s="14"/>
      <c r="AA8" s="14"/>
      <c r="AB8" s="28">
        <v>1</v>
      </c>
      <c r="AC8" s="29">
        <f>AC7</f>
        <v>0.155</v>
      </c>
      <c r="AD8" s="30">
        <f>AD7</f>
        <v>759</v>
      </c>
      <c r="AE8" s="44">
        <f>MAX(J6,J22,J38,J54,J70)</f>
        <v>14530</v>
      </c>
    </row>
    <row r="9" spans="1:37" x14ac:dyDescent="0.25">
      <c r="A9" s="3">
        <v>5</v>
      </c>
      <c r="B9" s="4">
        <v>0.04</v>
      </c>
      <c r="C9" s="5">
        <v>11000</v>
      </c>
      <c r="D9" s="41">
        <v>2840</v>
      </c>
      <c r="E9" s="41">
        <v>-8520</v>
      </c>
      <c r="F9" s="41">
        <v>14270</v>
      </c>
      <c r="G9" s="41">
        <v>-5886</v>
      </c>
      <c r="H9" s="41">
        <v>-2.8509999999999998E-3</v>
      </c>
      <c r="J9" s="68"/>
      <c r="K9" s="24"/>
      <c r="L9" s="14"/>
      <c r="M9" s="14"/>
      <c r="N9" s="14"/>
      <c r="O9" s="14"/>
      <c r="P9" s="14"/>
      <c r="Q9" s="14"/>
      <c r="R9" s="14"/>
      <c r="S9" s="14"/>
      <c r="T9" s="14"/>
      <c r="U9" s="14"/>
      <c r="V9" s="14"/>
      <c r="W9" s="14"/>
      <c r="X9" s="14"/>
      <c r="Y9" s="14"/>
      <c r="Z9" s="14"/>
      <c r="AA9" s="14"/>
      <c r="AB9" s="3"/>
      <c r="AC9" s="4"/>
      <c r="AD9" s="5"/>
      <c r="AI9" s="23"/>
      <c r="AK9" s="15"/>
    </row>
    <row r="10" spans="1:37" x14ac:dyDescent="0.25">
      <c r="A10" s="3">
        <v>6</v>
      </c>
      <c r="B10" s="4">
        <v>4.4999999999999998E-2</v>
      </c>
      <c r="C10" s="5">
        <v>8736</v>
      </c>
      <c r="D10" s="41">
        <v>2826</v>
      </c>
      <c r="E10" s="41">
        <v>-8518</v>
      </c>
      <c r="F10" s="41">
        <v>14210</v>
      </c>
      <c r="G10" s="41">
        <v>-5884</v>
      </c>
      <c r="H10" s="41">
        <v>-2.8500000000000001E-3</v>
      </c>
      <c r="J10" s="63" t="str">
        <f>D4</f>
        <v xml:space="preserve"> MAX MX</v>
      </c>
      <c r="K10" s="25"/>
      <c r="L10" s="14"/>
      <c r="M10" s="14"/>
      <c r="N10" s="14"/>
      <c r="O10" s="14"/>
      <c r="P10" s="14"/>
      <c r="Q10" s="14"/>
      <c r="R10" s="14"/>
      <c r="S10" s="14"/>
      <c r="T10" s="14"/>
      <c r="U10" s="14"/>
      <c r="V10" s="14"/>
      <c r="W10" s="14"/>
      <c r="X10" s="14"/>
      <c r="Y10" s="14"/>
      <c r="Z10" s="14"/>
      <c r="AA10" s="14"/>
      <c r="AB10" s="3"/>
      <c r="AC10" s="4"/>
      <c r="AD10" s="5"/>
      <c r="AI10" s="22"/>
    </row>
    <row r="11" spans="1:37" x14ac:dyDescent="0.25">
      <c r="A11" s="3">
        <v>7</v>
      </c>
      <c r="B11" s="4">
        <v>0.05</v>
      </c>
      <c r="C11" s="5">
        <v>7000</v>
      </c>
      <c r="D11" s="41">
        <v>2810</v>
      </c>
      <c r="E11" s="41">
        <v>-8516</v>
      </c>
      <c r="F11" s="41">
        <v>14140</v>
      </c>
      <c r="G11" s="41">
        <v>-5882</v>
      </c>
      <c r="H11" s="41">
        <v>-2.849E-3</v>
      </c>
      <c r="J11" s="63"/>
      <c r="K11" s="25"/>
      <c r="L11" s="14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4"/>
      <c r="X11" s="14"/>
      <c r="Y11" s="14"/>
      <c r="Z11" s="14"/>
      <c r="AA11" s="14"/>
      <c r="AB11" s="79" t="s">
        <v>14</v>
      </c>
      <c r="AC11" s="79"/>
      <c r="AD11" s="79"/>
      <c r="AE11" s="79"/>
      <c r="AI11" s="14"/>
    </row>
    <row r="12" spans="1:37" x14ac:dyDescent="0.25">
      <c r="A12" s="3">
        <v>8</v>
      </c>
      <c r="B12" s="4">
        <v>5.5E-2</v>
      </c>
      <c r="C12" s="5">
        <v>5824</v>
      </c>
      <c r="D12" s="41">
        <v>2796</v>
      </c>
      <c r="E12" s="41">
        <v>-8514</v>
      </c>
      <c r="F12" s="41">
        <v>14080</v>
      </c>
      <c r="G12" s="41">
        <v>-5881</v>
      </c>
      <c r="H12" s="41">
        <v>-2.8479999999999998E-3</v>
      </c>
      <c r="J12" s="63"/>
      <c r="K12" s="25"/>
      <c r="L12" s="14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4"/>
      <c r="X12" s="14"/>
      <c r="Y12" s="14"/>
      <c r="Z12" s="14"/>
      <c r="AA12" s="14"/>
      <c r="AB12" s="26" t="s">
        <v>1</v>
      </c>
      <c r="AC12" s="26" t="s">
        <v>2</v>
      </c>
      <c r="AD12" s="26" t="s">
        <v>3</v>
      </c>
      <c r="AE12" s="27" t="s">
        <v>12</v>
      </c>
      <c r="AI12" s="40"/>
    </row>
    <row r="13" spans="1:37" x14ac:dyDescent="0.25">
      <c r="A13" s="3">
        <v>9</v>
      </c>
      <c r="B13" s="4">
        <v>0.06</v>
      </c>
      <c r="C13" s="5">
        <v>4956</v>
      </c>
      <c r="D13" s="41">
        <v>2783</v>
      </c>
      <c r="E13" s="41">
        <v>-8515</v>
      </c>
      <c r="F13" s="41">
        <v>14020</v>
      </c>
      <c r="G13" s="41">
        <v>-5881</v>
      </c>
      <c r="H13" s="41">
        <v>-2.8479999999999998E-3</v>
      </c>
      <c r="J13" s="63"/>
      <c r="K13" s="25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4"/>
      <c r="X13" s="14"/>
      <c r="Y13" s="14"/>
      <c r="Z13" s="14"/>
      <c r="AA13" s="14"/>
      <c r="AB13" s="28">
        <v>1</v>
      </c>
      <c r="AC13" s="29">
        <f>RESULTADOS!V2</f>
        <v>0.08</v>
      </c>
      <c r="AD13" s="30">
        <f>VLOOKUP(AC13,B5:C999,2,FALSE)</f>
        <v>2772</v>
      </c>
      <c r="AE13" s="45">
        <f>MIN(J17,J33,J65,J81,J49)</f>
        <v>-8525</v>
      </c>
      <c r="AI13" s="8"/>
    </row>
    <row r="14" spans="1:37" x14ac:dyDescent="0.25">
      <c r="A14" s="3">
        <v>10</v>
      </c>
      <c r="B14" s="4">
        <v>6.5000000000000002E-2</v>
      </c>
      <c r="C14" s="5">
        <v>4158</v>
      </c>
      <c r="D14" s="41">
        <v>2766</v>
      </c>
      <c r="E14" s="41">
        <v>-8511</v>
      </c>
      <c r="F14" s="41">
        <v>13950</v>
      </c>
      <c r="G14" s="41">
        <v>-5877</v>
      </c>
      <c r="H14" s="41">
        <v>-2.8449999999999999E-3</v>
      </c>
      <c r="J14" s="63"/>
      <c r="K14" s="25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28">
        <v>1</v>
      </c>
      <c r="AC14" s="29">
        <f>AC13</f>
        <v>0.08</v>
      </c>
      <c r="AD14" s="30">
        <f>AD13</f>
        <v>2772</v>
      </c>
      <c r="AE14" s="45">
        <f>MAX(J6,J22,J38,J54,J70)</f>
        <v>14530</v>
      </c>
      <c r="AI14" s="8"/>
    </row>
    <row r="15" spans="1:37" ht="15" customHeight="1" x14ac:dyDescent="0.25">
      <c r="A15" s="3">
        <v>11</v>
      </c>
      <c r="B15" s="4">
        <v>7.0000000000000007E-2</v>
      </c>
      <c r="C15" s="5">
        <v>3600</v>
      </c>
      <c r="D15" s="41">
        <v>2753</v>
      </c>
      <c r="E15" s="41">
        <v>-8509</v>
      </c>
      <c r="F15" s="41">
        <v>13890</v>
      </c>
      <c r="G15" s="41">
        <v>-5875</v>
      </c>
      <c r="H15" s="41">
        <v>-2.8440000000000002E-3</v>
      </c>
      <c r="J15" s="63"/>
      <c r="K15" s="25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  <c r="AA15" s="14"/>
      <c r="AI15" s="8"/>
    </row>
    <row r="16" spans="1:37" x14ac:dyDescent="0.25">
      <c r="A16" s="3">
        <v>12</v>
      </c>
      <c r="B16" s="4">
        <v>7.4999999999999997E-2</v>
      </c>
      <c r="C16" s="5">
        <v>3149</v>
      </c>
      <c r="D16" s="41">
        <v>2739</v>
      </c>
      <c r="E16" s="41">
        <v>-8510</v>
      </c>
      <c r="F16" s="41">
        <v>13830</v>
      </c>
      <c r="G16" s="41">
        <v>-5875</v>
      </c>
      <c r="H16" s="41">
        <v>-2.8449999999999999E-3</v>
      </c>
      <c r="J16" s="63"/>
      <c r="K16" s="25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4"/>
      <c r="X16" s="14"/>
      <c r="Y16" s="14"/>
      <c r="Z16" s="14"/>
      <c r="AA16" s="14"/>
      <c r="AI16" s="8"/>
    </row>
    <row r="17" spans="1:35" x14ac:dyDescent="0.25">
      <c r="A17" s="3">
        <v>13</v>
      </c>
      <c r="B17" s="4">
        <v>0.08</v>
      </c>
      <c r="C17" s="5">
        <v>2772</v>
      </c>
      <c r="D17" s="41">
        <v>2724</v>
      </c>
      <c r="E17" s="41">
        <v>-8505</v>
      </c>
      <c r="F17" s="41">
        <v>13760</v>
      </c>
      <c r="G17" s="41">
        <v>-5871</v>
      </c>
      <c r="H17" s="41">
        <v>-2.8410000000000002E-3</v>
      </c>
      <c r="J17" s="82">
        <f>ROUNDUP(MIN(D5:D999),3)</f>
        <v>-131.80000000000001</v>
      </c>
      <c r="K17" s="2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I17" s="8"/>
    </row>
    <row r="18" spans="1:35" x14ac:dyDescent="0.25">
      <c r="A18" s="3">
        <v>14</v>
      </c>
      <c r="B18" s="4">
        <v>8.5000000000000006E-2</v>
      </c>
      <c r="C18" s="5">
        <v>2478</v>
      </c>
      <c r="D18" s="41">
        <v>2708</v>
      </c>
      <c r="E18" s="41">
        <v>-8501</v>
      </c>
      <c r="F18" s="41">
        <v>13700</v>
      </c>
      <c r="G18" s="41">
        <v>-5869</v>
      </c>
      <c r="H18" s="41">
        <v>-2.8400000000000001E-3</v>
      </c>
      <c r="J18" s="82"/>
      <c r="K18" s="24"/>
      <c r="AI18" s="8"/>
    </row>
    <row r="19" spans="1:35" x14ac:dyDescent="0.25">
      <c r="A19" s="3">
        <v>15</v>
      </c>
      <c r="B19" s="4">
        <v>0.09</v>
      </c>
      <c r="C19" s="5">
        <v>2184</v>
      </c>
      <c r="D19" s="41">
        <v>2696</v>
      </c>
      <c r="E19" s="41">
        <v>-8505</v>
      </c>
      <c r="F19" s="41">
        <v>13650</v>
      </c>
      <c r="G19" s="41">
        <v>-5871</v>
      </c>
      <c r="H19" s="41">
        <v>-2.8410000000000002E-3</v>
      </c>
      <c r="J19" s="82"/>
      <c r="K19" s="24"/>
      <c r="AI19" s="8"/>
    </row>
    <row r="20" spans="1:35" ht="15" customHeight="1" x14ac:dyDescent="0.25">
      <c r="A20" s="3">
        <v>16</v>
      </c>
      <c r="B20" s="4">
        <v>9.5000000000000001E-2</v>
      </c>
      <c r="C20" s="5">
        <v>1961</v>
      </c>
      <c r="D20" s="41">
        <v>2681</v>
      </c>
      <c r="E20" s="41">
        <v>-8502</v>
      </c>
      <c r="F20" s="41">
        <v>13580</v>
      </c>
      <c r="G20" s="41">
        <v>-5869</v>
      </c>
      <c r="H20" s="41">
        <v>-2.8400000000000001E-3</v>
      </c>
      <c r="J20" s="82"/>
      <c r="K20" s="24"/>
      <c r="AI20" s="8"/>
    </row>
    <row r="21" spans="1:35" x14ac:dyDescent="0.25">
      <c r="A21" s="3">
        <v>17</v>
      </c>
      <c r="B21" s="4">
        <v>0.1</v>
      </c>
      <c r="C21" s="5">
        <v>1750</v>
      </c>
      <c r="D21" s="41">
        <v>2665</v>
      </c>
      <c r="E21" s="41">
        <v>-8497</v>
      </c>
      <c r="F21" s="41">
        <v>13510</v>
      </c>
      <c r="G21" s="41">
        <v>-5867</v>
      </c>
      <c r="H21" s="41">
        <v>-2.8379999999999998E-3</v>
      </c>
      <c r="J21" s="14"/>
      <c r="AI21" s="8"/>
    </row>
    <row r="22" spans="1:35" x14ac:dyDescent="0.25">
      <c r="A22" s="3">
        <v>18</v>
      </c>
      <c r="B22" s="4">
        <v>0.105</v>
      </c>
      <c r="C22" s="5">
        <v>1632</v>
      </c>
      <c r="D22" s="41">
        <v>2650</v>
      </c>
      <c r="E22" s="41">
        <v>-8490</v>
      </c>
      <c r="F22" s="41">
        <v>13450</v>
      </c>
      <c r="G22" s="41">
        <v>-5861</v>
      </c>
      <c r="H22" s="41">
        <v>-2.8340000000000001E-3</v>
      </c>
      <c r="J22" s="81">
        <f>ROUNDUP(MAX(E5:E999),3)</f>
        <v>-7769</v>
      </c>
      <c r="K22" s="24"/>
      <c r="AI22" s="8"/>
    </row>
    <row r="23" spans="1:35" x14ac:dyDescent="0.25">
      <c r="A23" s="3">
        <v>19</v>
      </c>
      <c r="B23" s="4">
        <v>0.11</v>
      </c>
      <c r="C23" s="5">
        <v>1472</v>
      </c>
      <c r="D23" s="41">
        <v>2636</v>
      </c>
      <c r="E23" s="41">
        <v>-8489</v>
      </c>
      <c r="F23" s="41">
        <v>13390</v>
      </c>
      <c r="G23" s="41">
        <v>-5857</v>
      </c>
      <c r="H23" s="41">
        <v>-2.833E-3</v>
      </c>
      <c r="J23" s="81"/>
      <c r="K23" s="24"/>
      <c r="AI23" s="8"/>
    </row>
    <row r="24" spans="1:35" ht="15" customHeight="1" x14ac:dyDescent="0.25">
      <c r="A24" s="3">
        <v>20</v>
      </c>
      <c r="B24" s="4">
        <v>0.115</v>
      </c>
      <c r="C24" s="5">
        <v>1364</v>
      </c>
      <c r="D24" s="41">
        <v>2625</v>
      </c>
      <c r="E24" s="41">
        <v>-8495</v>
      </c>
      <c r="F24" s="41">
        <v>13340</v>
      </c>
      <c r="G24" s="41">
        <v>-5862</v>
      </c>
      <c r="H24" s="41">
        <v>-2.8349999999999998E-3</v>
      </c>
      <c r="J24" s="81"/>
      <c r="K24" s="24"/>
      <c r="AI24" s="8"/>
    </row>
    <row r="25" spans="1:35" x14ac:dyDescent="0.25">
      <c r="A25" s="3">
        <v>21</v>
      </c>
      <c r="B25" s="4">
        <v>0.12</v>
      </c>
      <c r="C25" s="5">
        <v>1260</v>
      </c>
      <c r="D25" s="41">
        <v>2606</v>
      </c>
      <c r="E25" s="41">
        <v>-8487</v>
      </c>
      <c r="F25" s="41">
        <v>13260</v>
      </c>
      <c r="G25" s="41">
        <v>-5854</v>
      </c>
      <c r="H25" s="41">
        <v>-2.8300000000000001E-3</v>
      </c>
      <c r="J25" s="81"/>
      <c r="K25" s="24"/>
      <c r="AI25" s="8"/>
    </row>
    <row r="26" spans="1:35" x14ac:dyDescent="0.25">
      <c r="A26" s="3">
        <v>22</v>
      </c>
      <c r="B26" s="4">
        <v>0.125</v>
      </c>
      <c r="C26" s="5">
        <v>1120</v>
      </c>
      <c r="D26" s="41">
        <v>2587</v>
      </c>
      <c r="E26" s="41">
        <v>-8483</v>
      </c>
      <c r="F26" s="41">
        <v>13190</v>
      </c>
      <c r="G26" s="41">
        <v>-5850</v>
      </c>
      <c r="H26" s="41">
        <v>-2.8270000000000001E-3</v>
      </c>
      <c r="J26" s="63" t="str">
        <f>E4</f>
        <v xml:space="preserve"> MIN MX</v>
      </c>
      <c r="K26" s="25"/>
      <c r="AI26" s="8"/>
    </row>
    <row r="27" spans="1:35" x14ac:dyDescent="0.25">
      <c r="A27" s="3">
        <v>23</v>
      </c>
      <c r="B27" s="4">
        <v>0.13</v>
      </c>
      <c r="C27" s="5">
        <v>1053</v>
      </c>
      <c r="D27" s="41">
        <v>2581</v>
      </c>
      <c r="E27" s="41">
        <v>-8486</v>
      </c>
      <c r="F27" s="41">
        <v>13170</v>
      </c>
      <c r="G27" s="41">
        <v>-5856</v>
      </c>
      <c r="H27" s="41">
        <v>-2.8300000000000001E-3</v>
      </c>
      <c r="J27" s="63"/>
      <c r="K27" s="25"/>
      <c r="AI27" s="8"/>
    </row>
    <row r="28" spans="1:35" x14ac:dyDescent="0.25">
      <c r="A28" s="3">
        <v>24</v>
      </c>
      <c r="B28" s="4">
        <v>0.13500000000000001</v>
      </c>
      <c r="C28" s="5">
        <v>988</v>
      </c>
      <c r="D28" s="41">
        <v>2567</v>
      </c>
      <c r="E28" s="41">
        <v>-8479</v>
      </c>
      <c r="F28" s="41">
        <v>13110</v>
      </c>
      <c r="G28" s="41">
        <v>-5845</v>
      </c>
      <c r="H28" s="41">
        <v>-2.8240000000000001E-3</v>
      </c>
      <c r="J28" s="63"/>
      <c r="K28" s="25"/>
      <c r="AI28" s="8"/>
    </row>
    <row r="29" spans="1:35" x14ac:dyDescent="0.25">
      <c r="A29" s="3">
        <v>25</v>
      </c>
      <c r="B29" s="4">
        <v>0.14000000000000001</v>
      </c>
      <c r="C29" s="5">
        <v>900</v>
      </c>
      <c r="D29" s="41">
        <v>2550</v>
      </c>
      <c r="E29" s="41">
        <v>-8484</v>
      </c>
      <c r="F29" s="41">
        <v>13040</v>
      </c>
      <c r="G29" s="41">
        <v>-5851</v>
      </c>
      <c r="H29" s="41">
        <v>-2.826E-3</v>
      </c>
      <c r="J29" s="63"/>
      <c r="K29" s="25"/>
      <c r="AI29" s="8"/>
    </row>
    <row r="30" spans="1:35" x14ac:dyDescent="0.25">
      <c r="A30" s="3">
        <v>26</v>
      </c>
      <c r="B30" s="4">
        <v>0.14499999999999999</v>
      </c>
      <c r="C30" s="5">
        <v>875</v>
      </c>
      <c r="D30" s="41">
        <v>2538</v>
      </c>
      <c r="E30" s="41">
        <v>-8486</v>
      </c>
      <c r="F30" s="41">
        <v>12990</v>
      </c>
      <c r="G30" s="41">
        <v>-5853</v>
      </c>
      <c r="H30" s="41">
        <v>-2.8279999999999998E-3</v>
      </c>
      <c r="J30" s="63"/>
      <c r="K30" s="25"/>
      <c r="AI30" s="8"/>
    </row>
    <row r="31" spans="1:35" ht="15" customHeight="1" x14ac:dyDescent="0.25">
      <c r="A31" s="3">
        <v>27</v>
      </c>
      <c r="B31" s="4">
        <v>0.15</v>
      </c>
      <c r="C31" s="5">
        <v>816</v>
      </c>
      <c r="D31" s="41">
        <v>2521</v>
      </c>
      <c r="E31" s="41">
        <v>-8466</v>
      </c>
      <c r="F31" s="41">
        <v>12920</v>
      </c>
      <c r="G31" s="41">
        <v>-5840</v>
      </c>
      <c r="H31" s="41">
        <v>-2.8180000000000002E-3</v>
      </c>
      <c r="J31" s="63"/>
      <c r="K31" s="25"/>
      <c r="AI31" s="8"/>
    </row>
    <row r="32" spans="1:35" x14ac:dyDescent="0.25">
      <c r="A32" s="3">
        <v>28</v>
      </c>
      <c r="B32" s="4">
        <v>0.155</v>
      </c>
      <c r="C32" s="5">
        <v>759</v>
      </c>
      <c r="D32" s="41">
        <v>2512</v>
      </c>
      <c r="E32" s="41">
        <v>-8483</v>
      </c>
      <c r="F32" s="41">
        <v>12890</v>
      </c>
      <c r="G32" s="41">
        <v>-5847</v>
      </c>
      <c r="H32" s="41">
        <v>-2.8249999999999998E-3</v>
      </c>
      <c r="J32" s="63"/>
      <c r="K32" s="25"/>
      <c r="AI32" s="8"/>
    </row>
    <row r="33" spans="1:35" x14ac:dyDescent="0.25">
      <c r="A33" s="3">
        <v>29</v>
      </c>
      <c r="B33" s="4">
        <v>0.16</v>
      </c>
      <c r="C33" s="5">
        <v>704</v>
      </c>
      <c r="D33" s="41">
        <v>2493</v>
      </c>
      <c r="E33" s="41">
        <v>-8459</v>
      </c>
      <c r="F33" s="41">
        <v>12810</v>
      </c>
      <c r="G33" s="41">
        <v>-5834</v>
      </c>
      <c r="H33" s="41">
        <v>-2.8149999999999998E-3</v>
      </c>
      <c r="J33" s="80">
        <f>ROUNDUP(MIN(E5:E999),3)</f>
        <v>-8525</v>
      </c>
      <c r="K33" s="24"/>
      <c r="AI33" s="8"/>
    </row>
    <row r="34" spans="1:35" x14ac:dyDescent="0.25">
      <c r="A34" s="3">
        <v>30</v>
      </c>
      <c r="B34" s="4">
        <v>0.16500000000000001</v>
      </c>
      <c r="C34" s="5">
        <v>682</v>
      </c>
      <c r="D34" s="41">
        <v>2478</v>
      </c>
      <c r="E34" s="41">
        <v>-8466</v>
      </c>
      <c r="F34" s="41">
        <v>12750</v>
      </c>
      <c r="G34" s="41">
        <v>-5832</v>
      </c>
      <c r="H34" s="41">
        <v>-2.8149999999999998E-3</v>
      </c>
      <c r="J34" s="80"/>
      <c r="K34" s="24"/>
      <c r="AI34" s="8"/>
    </row>
    <row r="35" spans="1:35" x14ac:dyDescent="0.25">
      <c r="A35" s="3">
        <v>31</v>
      </c>
      <c r="B35" s="4">
        <v>0.17</v>
      </c>
      <c r="C35" s="5">
        <v>630</v>
      </c>
      <c r="D35" s="41">
        <v>2467</v>
      </c>
      <c r="E35" s="41">
        <v>-8474</v>
      </c>
      <c r="F35" s="41">
        <v>12710</v>
      </c>
      <c r="G35" s="41">
        <v>-5844</v>
      </c>
      <c r="H35" s="41">
        <v>-2.82E-3</v>
      </c>
      <c r="J35" s="80"/>
      <c r="K35" s="24"/>
      <c r="AI35" s="8"/>
    </row>
    <row r="36" spans="1:35" ht="15" customHeight="1" x14ac:dyDescent="0.25">
      <c r="A36" s="3">
        <v>32</v>
      </c>
      <c r="B36" s="4">
        <v>0.17499999999999999</v>
      </c>
      <c r="C36" s="5">
        <v>580</v>
      </c>
      <c r="D36" s="41">
        <v>2444</v>
      </c>
      <c r="E36" s="41">
        <v>-8458</v>
      </c>
      <c r="F36" s="41">
        <v>12610</v>
      </c>
      <c r="G36" s="41">
        <v>-5826</v>
      </c>
      <c r="H36" s="41">
        <v>-2.8080000000000002E-3</v>
      </c>
      <c r="J36" s="80"/>
      <c r="K36" s="24"/>
      <c r="AI36" s="8"/>
    </row>
    <row r="37" spans="1:35" x14ac:dyDescent="0.25">
      <c r="A37" s="3">
        <v>33</v>
      </c>
      <c r="B37" s="4">
        <v>0.18</v>
      </c>
      <c r="C37" s="5">
        <v>560</v>
      </c>
      <c r="D37" s="41">
        <v>2426</v>
      </c>
      <c r="E37" s="41">
        <v>-8457</v>
      </c>
      <c r="F37" s="41">
        <v>12550</v>
      </c>
      <c r="G37" s="41">
        <v>-5823</v>
      </c>
      <c r="H37" s="41">
        <v>-2.81E-3</v>
      </c>
      <c r="J37" s="14"/>
      <c r="AI37" s="8"/>
    </row>
    <row r="38" spans="1:35" x14ac:dyDescent="0.25">
      <c r="A38" s="3">
        <v>34</v>
      </c>
      <c r="B38" s="4">
        <v>0.185</v>
      </c>
      <c r="C38" s="5">
        <v>532</v>
      </c>
      <c r="D38" s="41">
        <v>2431</v>
      </c>
      <c r="E38" s="41">
        <v>-8473</v>
      </c>
      <c r="F38" s="41">
        <v>12570</v>
      </c>
      <c r="G38" s="41">
        <v>-5835</v>
      </c>
      <c r="H38" s="41">
        <v>-2.8159999999999999E-3</v>
      </c>
      <c r="J38" s="81">
        <f>ROUNDUP(MAX(F5:F999),3)</f>
        <v>14530</v>
      </c>
      <c r="K38" s="24"/>
      <c r="AI38" s="8"/>
    </row>
    <row r="39" spans="1:35" x14ac:dyDescent="0.25">
      <c r="A39" s="3">
        <v>35</v>
      </c>
      <c r="B39" s="4">
        <v>0.19</v>
      </c>
      <c r="C39" s="5">
        <v>513</v>
      </c>
      <c r="D39" s="41">
        <v>2412</v>
      </c>
      <c r="E39" s="41">
        <v>-8466</v>
      </c>
      <c r="F39" s="41">
        <v>12500</v>
      </c>
      <c r="G39" s="41">
        <v>-5840</v>
      </c>
      <c r="H39" s="41">
        <v>-2.8119999999999998E-3</v>
      </c>
      <c r="J39" s="81"/>
      <c r="K39" s="24"/>
      <c r="AI39" s="8"/>
    </row>
    <row r="40" spans="1:35" ht="15" customHeight="1" x14ac:dyDescent="0.25">
      <c r="A40" s="3">
        <v>36</v>
      </c>
      <c r="B40" s="4">
        <v>0.19500000000000001</v>
      </c>
      <c r="C40" s="5">
        <v>468</v>
      </c>
      <c r="D40" s="41">
        <v>2383</v>
      </c>
      <c r="E40" s="41">
        <v>-8451</v>
      </c>
      <c r="F40" s="41">
        <v>12380</v>
      </c>
      <c r="G40" s="41">
        <v>-5814</v>
      </c>
      <c r="H40" s="41">
        <v>-2.8029999999999999E-3</v>
      </c>
      <c r="J40" s="81"/>
      <c r="K40" s="24"/>
      <c r="AI40" s="8"/>
    </row>
    <row r="41" spans="1:35" x14ac:dyDescent="0.25">
      <c r="A41" s="3">
        <v>37</v>
      </c>
      <c r="B41" s="4">
        <v>0.2</v>
      </c>
      <c r="C41" s="5">
        <v>450</v>
      </c>
      <c r="D41" s="41">
        <v>2361</v>
      </c>
      <c r="E41" s="41">
        <v>-8434</v>
      </c>
      <c r="F41" s="41">
        <v>12300</v>
      </c>
      <c r="G41" s="41">
        <v>-5816</v>
      </c>
      <c r="H41" s="41">
        <v>-2.7980000000000001E-3</v>
      </c>
      <c r="J41" s="81"/>
      <c r="K41" s="24"/>
      <c r="AI41" s="8"/>
    </row>
    <row r="42" spans="1:35" x14ac:dyDescent="0.25">
      <c r="A42" s="3">
        <v>39</v>
      </c>
      <c r="B42" s="4">
        <v>0.21</v>
      </c>
      <c r="C42" s="5">
        <v>408</v>
      </c>
      <c r="D42" s="41">
        <v>2343</v>
      </c>
      <c r="E42" s="41">
        <v>-8468</v>
      </c>
      <c r="F42" s="41">
        <v>12240</v>
      </c>
      <c r="G42" s="41">
        <v>-5833</v>
      </c>
      <c r="H42" s="41">
        <v>-2.8089999999999999E-3</v>
      </c>
      <c r="J42" s="63" t="str">
        <f>F4</f>
        <v xml:space="preserve"> MAX MY</v>
      </c>
      <c r="K42" s="25"/>
      <c r="AI42" s="8"/>
    </row>
    <row r="43" spans="1:35" x14ac:dyDescent="0.25">
      <c r="A43" s="3">
        <v>41</v>
      </c>
      <c r="B43" s="4">
        <v>0.22</v>
      </c>
      <c r="C43" s="5">
        <v>368</v>
      </c>
      <c r="D43" s="41">
        <v>2306</v>
      </c>
      <c r="E43" s="41">
        <v>-8428</v>
      </c>
      <c r="F43" s="41">
        <v>12090</v>
      </c>
      <c r="G43" s="41">
        <v>-5798</v>
      </c>
      <c r="H43" s="41">
        <v>-2.7910000000000001E-3</v>
      </c>
      <c r="J43" s="63"/>
      <c r="K43" s="25"/>
      <c r="AI43" s="8"/>
    </row>
    <row r="44" spans="1:35" x14ac:dyDescent="0.25">
      <c r="A44" s="1">
        <v>43</v>
      </c>
      <c r="B44" s="1">
        <v>0.23</v>
      </c>
      <c r="C44" s="1">
        <v>352</v>
      </c>
      <c r="D44" s="42">
        <v>2277</v>
      </c>
      <c r="E44" s="42">
        <v>-8436</v>
      </c>
      <c r="F44" s="42">
        <v>11990</v>
      </c>
      <c r="G44" s="42">
        <v>-5806</v>
      </c>
      <c r="H44" s="42">
        <v>-2.7910000000000001E-3</v>
      </c>
      <c r="J44" s="63"/>
      <c r="K44" s="25"/>
      <c r="AI44" s="8"/>
    </row>
    <row r="45" spans="1:35" x14ac:dyDescent="0.25">
      <c r="A45" s="1">
        <v>44</v>
      </c>
      <c r="B45" s="1">
        <v>0.23499999999999999</v>
      </c>
      <c r="C45" s="1">
        <v>330</v>
      </c>
      <c r="D45" s="42">
        <v>2285</v>
      </c>
      <c r="E45" s="42">
        <v>-8462</v>
      </c>
      <c r="F45" s="42">
        <v>12030</v>
      </c>
      <c r="G45" s="42">
        <v>-5825</v>
      </c>
      <c r="H45" s="42">
        <v>-2.8010000000000001E-3</v>
      </c>
      <c r="J45" s="63"/>
      <c r="K45" s="25"/>
      <c r="AI45" s="8"/>
    </row>
    <row r="46" spans="1:35" x14ac:dyDescent="0.25">
      <c r="A46" s="1">
        <v>45</v>
      </c>
      <c r="B46" s="1">
        <v>0.24</v>
      </c>
      <c r="C46" s="1">
        <v>315</v>
      </c>
      <c r="D46" s="42">
        <v>2254</v>
      </c>
      <c r="E46" s="42">
        <v>-8455</v>
      </c>
      <c r="F46" s="42">
        <v>11920</v>
      </c>
      <c r="G46" s="42">
        <v>-5824</v>
      </c>
      <c r="H46" s="42">
        <v>-2.8010000000000001E-3</v>
      </c>
      <c r="J46" s="63"/>
      <c r="K46" s="25"/>
      <c r="AI46" s="8"/>
    </row>
    <row r="47" spans="1:35" ht="15" customHeight="1" x14ac:dyDescent="0.25">
      <c r="A47" s="7">
        <v>47</v>
      </c>
      <c r="B47" s="7">
        <v>0.25</v>
      </c>
      <c r="C47" s="7">
        <v>280</v>
      </c>
      <c r="D47" s="42">
        <v>2205</v>
      </c>
      <c r="E47" s="42">
        <v>-8417</v>
      </c>
      <c r="F47" s="42">
        <v>11720</v>
      </c>
      <c r="G47" s="42">
        <v>-5785</v>
      </c>
      <c r="H47" s="42">
        <v>-2.7759999999999998E-3</v>
      </c>
      <c r="J47" s="63"/>
      <c r="K47" s="25"/>
      <c r="AI47" s="8"/>
    </row>
    <row r="48" spans="1:35" x14ac:dyDescent="0.25">
      <c r="A48" s="1">
        <v>50</v>
      </c>
      <c r="B48" s="1">
        <v>0.26500000000000001</v>
      </c>
      <c r="C48" s="1">
        <v>266</v>
      </c>
      <c r="D48" s="42">
        <v>2167</v>
      </c>
      <c r="E48" s="42">
        <v>-8422</v>
      </c>
      <c r="F48" s="42">
        <v>11590</v>
      </c>
      <c r="G48" s="42">
        <v>-5791</v>
      </c>
      <c r="H48" s="42">
        <v>-2.7789999999999998E-3</v>
      </c>
      <c r="J48" s="63"/>
      <c r="K48" s="25"/>
      <c r="AI48" s="8"/>
    </row>
    <row r="49" spans="1:35" x14ac:dyDescent="0.25">
      <c r="A49" s="1">
        <v>51</v>
      </c>
      <c r="B49" s="1">
        <v>0.27</v>
      </c>
      <c r="C49" s="1">
        <v>247</v>
      </c>
      <c r="D49" s="42">
        <v>2177</v>
      </c>
      <c r="E49" s="42">
        <v>-8456</v>
      </c>
      <c r="F49" s="42">
        <v>11640</v>
      </c>
      <c r="G49" s="42">
        <v>-5816</v>
      </c>
      <c r="H49" s="42">
        <v>-2.7920000000000002E-3</v>
      </c>
      <c r="J49" s="80">
        <f>ROUNDUP(MIN(F5:F999),3)</f>
        <v>5507</v>
      </c>
      <c r="K49" s="24"/>
      <c r="AI49" s="8"/>
    </row>
    <row r="50" spans="1:35" x14ac:dyDescent="0.25">
      <c r="A50" s="1">
        <v>53</v>
      </c>
      <c r="B50" s="1">
        <v>0.28000000000000003</v>
      </c>
      <c r="C50" s="1">
        <v>234</v>
      </c>
      <c r="D50" s="42">
        <v>2134</v>
      </c>
      <c r="E50" s="42">
        <v>-8432</v>
      </c>
      <c r="F50" s="42">
        <v>11500</v>
      </c>
      <c r="G50" s="42">
        <v>-5809</v>
      </c>
      <c r="H50" s="42">
        <v>-2.7799999999999999E-3</v>
      </c>
      <c r="J50" s="80"/>
      <c r="K50" s="24"/>
      <c r="AI50" s="8"/>
    </row>
    <row r="51" spans="1:35" x14ac:dyDescent="0.25">
      <c r="A51" s="1">
        <v>56</v>
      </c>
      <c r="B51" s="1">
        <v>0.29499999999999998</v>
      </c>
      <c r="C51" s="1">
        <v>204</v>
      </c>
      <c r="D51" s="42">
        <v>2068</v>
      </c>
      <c r="E51" s="42">
        <v>-8407</v>
      </c>
      <c r="F51" s="42">
        <v>11250</v>
      </c>
      <c r="G51" s="42">
        <v>-5766</v>
      </c>
      <c r="H51" s="42">
        <v>-2.7620000000000001E-3</v>
      </c>
      <c r="J51" s="80"/>
      <c r="K51" s="24"/>
      <c r="AI51" s="8"/>
    </row>
    <row r="52" spans="1:35" ht="15" customHeight="1" x14ac:dyDescent="0.25">
      <c r="A52" s="1">
        <v>60</v>
      </c>
      <c r="B52" s="1">
        <v>0.315</v>
      </c>
      <c r="C52" s="1">
        <v>192</v>
      </c>
      <c r="D52" s="42">
        <v>2014</v>
      </c>
      <c r="E52" s="42">
        <v>-8367</v>
      </c>
      <c r="F52" s="42">
        <v>11070</v>
      </c>
      <c r="G52" s="42">
        <v>-5769</v>
      </c>
      <c r="H52" s="42">
        <v>-2.751E-3</v>
      </c>
      <c r="J52" s="80"/>
      <c r="K52" s="24"/>
      <c r="AI52" s="16"/>
    </row>
    <row r="53" spans="1:35" x14ac:dyDescent="0.25">
      <c r="A53" s="1">
        <v>61</v>
      </c>
      <c r="B53" s="1">
        <v>0.32</v>
      </c>
      <c r="C53" s="1">
        <v>176</v>
      </c>
      <c r="D53" s="42">
        <v>2027</v>
      </c>
      <c r="E53" s="42">
        <v>-8415</v>
      </c>
      <c r="F53" s="42">
        <v>11140</v>
      </c>
      <c r="G53" s="42">
        <v>-5801</v>
      </c>
      <c r="H53" s="42">
        <v>-2.7669999999999999E-3</v>
      </c>
      <c r="AI53" s="14"/>
    </row>
    <row r="54" spans="1:35" x14ac:dyDescent="0.25">
      <c r="A54" s="1">
        <v>64</v>
      </c>
      <c r="B54" s="1">
        <v>0.33500000000000002</v>
      </c>
      <c r="C54" s="1">
        <v>165</v>
      </c>
      <c r="D54" s="42">
        <v>1966</v>
      </c>
      <c r="E54" s="42">
        <v>-8446</v>
      </c>
      <c r="F54" s="42">
        <v>10940</v>
      </c>
      <c r="G54" s="42">
        <v>-5797</v>
      </c>
      <c r="H54" s="42">
        <v>-2.7729999999999999E-3</v>
      </c>
      <c r="J54" s="81">
        <f>ROUNDUP(MAX(G5:G999),3)</f>
        <v>-5210</v>
      </c>
      <c r="K54" s="24"/>
      <c r="AI54" s="14"/>
    </row>
    <row r="55" spans="1:35" x14ac:dyDescent="0.25">
      <c r="A55" s="1">
        <v>67</v>
      </c>
      <c r="B55" s="1">
        <v>0.35</v>
      </c>
      <c r="C55" s="1">
        <v>150</v>
      </c>
      <c r="D55" s="42">
        <v>1938</v>
      </c>
      <c r="E55" s="42">
        <v>-8382</v>
      </c>
      <c r="F55" s="42">
        <v>10810</v>
      </c>
      <c r="G55" s="42">
        <v>-5719</v>
      </c>
      <c r="H55" s="42">
        <v>-2.7330000000000002E-3</v>
      </c>
      <c r="J55" s="81"/>
      <c r="K55" s="24"/>
      <c r="AI55" s="14"/>
    </row>
    <row r="56" spans="1:35" ht="15" customHeight="1" x14ac:dyDescent="0.25">
      <c r="A56" s="1">
        <v>69</v>
      </c>
      <c r="B56" s="1">
        <v>0.36</v>
      </c>
      <c r="C56" s="1">
        <v>140</v>
      </c>
      <c r="D56" s="42">
        <v>1869</v>
      </c>
      <c r="E56" s="42">
        <v>-8354</v>
      </c>
      <c r="F56" s="42">
        <v>10590</v>
      </c>
      <c r="G56" s="42">
        <v>-5736</v>
      </c>
      <c r="H56" s="42">
        <v>-2.7260000000000001E-3</v>
      </c>
      <c r="J56" s="81"/>
      <c r="K56" s="24"/>
      <c r="AI56" s="14"/>
    </row>
    <row r="57" spans="1:35" x14ac:dyDescent="0.25">
      <c r="A57" s="1">
        <v>74</v>
      </c>
      <c r="B57" s="1">
        <v>0.38500000000000001</v>
      </c>
      <c r="C57" s="1">
        <v>130</v>
      </c>
      <c r="D57" s="42">
        <v>1789</v>
      </c>
      <c r="E57" s="42">
        <v>-8361</v>
      </c>
      <c r="F57" s="42">
        <v>10350</v>
      </c>
      <c r="G57" s="42">
        <v>-5730</v>
      </c>
      <c r="H57" s="42">
        <v>-2.7239999999999999E-3</v>
      </c>
      <c r="J57" s="81"/>
      <c r="K57" s="24"/>
      <c r="AI57" s="14"/>
    </row>
    <row r="58" spans="1:35" x14ac:dyDescent="0.25">
      <c r="A58" s="1">
        <v>75</v>
      </c>
      <c r="B58" s="1">
        <v>0.39</v>
      </c>
      <c r="C58" s="1">
        <v>117</v>
      </c>
      <c r="D58" s="42">
        <v>1805</v>
      </c>
      <c r="E58" s="42">
        <v>-8432</v>
      </c>
      <c r="F58" s="42">
        <v>10440</v>
      </c>
      <c r="G58" s="42">
        <v>-5774</v>
      </c>
      <c r="H58" s="42">
        <v>-2.745E-3</v>
      </c>
      <c r="J58" s="63" t="str">
        <f>G4</f>
        <v xml:space="preserve"> MIN MY</v>
      </c>
      <c r="K58" s="25"/>
      <c r="AI58" s="14"/>
    </row>
    <row r="59" spans="1:35" x14ac:dyDescent="0.25">
      <c r="A59" s="1">
        <v>81</v>
      </c>
      <c r="B59" s="1">
        <v>0.42</v>
      </c>
      <c r="C59" s="1">
        <v>108</v>
      </c>
      <c r="D59" s="42">
        <v>1711</v>
      </c>
      <c r="E59" s="42">
        <v>-8424</v>
      </c>
      <c r="F59" s="42">
        <v>10160</v>
      </c>
      <c r="G59" s="42">
        <v>-5790</v>
      </c>
      <c r="H59" s="42">
        <v>-2.745E-3</v>
      </c>
      <c r="J59" s="63"/>
      <c r="K59" s="25"/>
      <c r="AI59" s="14"/>
    </row>
    <row r="60" spans="1:35" x14ac:dyDescent="0.25">
      <c r="A60" s="1">
        <v>85</v>
      </c>
      <c r="B60" s="1">
        <v>0.44</v>
      </c>
      <c r="C60" s="1">
        <v>96</v>
      </c>
      <c r="D60" s="42">
        <v>1671</v>
      </c>
      <c r="E60" s="42">
        <v>-8326</v>
      </c>
      <c r="F60" s="42">
        <v>9955</v>
      </c>
      <c r="G60" s="42">
        <v>-5665</v>
      </c>
      <c r="H60" s="42">
        <v>-2.6809999999999998E-3</v>
      </c>
      <c r="J60" s="63"/>
      <c r="K60" s="25"/>
      <c r="AI60" s="14"/>
    </row>
    <row r="61" spans="1:35" x14ac:dyDescent="0.25">
      <c r="A61" s="1">
        <v>88</v>
      </c>
      <c r="B61" s="1">
        <v>0.45500000000000002</v>
      </c>
      <c r="C61" s="1">
        <v>88</v>
      </c>
      <c r="D61" s="42">
        <v>1561</v>
      </c>
      <c r="E61" s="42">
        <v>-8290</v>
      </c>
      <c r="F61" s="42">
        <v>9646</v>
      </c>
      <c r="G61" s="42">
        <v>-5679</v>
      </c>
      <c r="H61" s="42">
        <v>-2.663E-3</v>
      </c>
      <c r="J61" s="63"/>
      <c r="K61" s="25"/>
      <c r="AI61" s="14"/>
    </row>
    <row r="62" spans="1:35" x14ac:dyDescent="0.25">
      <c r="A62" s="1">
        <v>97</v>
      </c>
      <c r="B62" s="1">
        <v>0.5</v>
      </c>
      <c r="C62" s="1">
        <v>70</v>
      </c>
      <c r="D62" s="42">
        <v>1451</v>
      </c>
      <c r="E62" s="42">
        <v>-8437</v>
      </c>
      <c r="F62" s="42">
        <v>9405</v>
      </c>
      <c r="G62" s="42">
        <v>-5727</v>
      </c>
      <c r="H62" s="42">
        <v>-2.7039999999999998E-3</v>
      </c>
      <c r="J62" s="63"/>
      <c r="K62" s="25"/>
      <c r="AI62" s="14"/>
    </row>
    <row r="63" spans="1:35" ht="15" customHeight="1" x14ac:dyDescent="0.25">
      <c r="A63" s="1">
        <v>109</v>
      </c>
      <c r="B63" s="1">
        <v>0.56000000000000005</v>
      </c>
      <c r="C63" s="1">
        <v>63</v>
      </c>
      <c r="D63" s="42">
        <v>1289</v>
      </c>
      <c r="E63" s="42">
        <v>-8306</v>
      </c>
      <c r="F63" s="42">
        <v>8986</v>
      </c>
      <c r="G63" s="42">
        <v>-5782</v>
      </c>
      <c r="H63" s="42">
        <v>-2.6540000000000001E-3</v>
      </c>
      <c r="J63" s="63"/>
      <c r="K63" s="25"/>
      <c r="AI63" s="14"/>
    </row>
    <row r="64" spans="1:35" x14ac:dyDescent="0.25">
      <c r="A64" s="1">
        <v>114</v>
      </c>
      <c r="B64" s="1">
        <v>0.58499999999999996</v>
      </c>
      <c r="C64" s="1">
        <v>54</v>
      </c>
      <c r="D64" s="42">
        <v>1218</v>
      </c>
      <c r="E64" s="42">
        <v>-8132</v>
      </c>
      <c r="F64" s="42">
        <v>8639</v>
      </c>
      <c r="G64" s="42">
        <v>-5550</v>
      </c>
      <c r="H64" s="42">
        <v>-2.5370000000000002E-3</v>
      </c>
      <c r="J64" s="63"/>
      <c r="K64" s="25"/>
      <c r="AI64" s="14"/>
    </row>
    <row r="65" spans="1:35" x14ac:dyDescent="0.25">
      <c r="A65" s="1">
        <v>122</v>
      </c>
      <c r="B65" s="1">
        <v>0.625</v>
      </c>
      <c r="C65" s="1">
        <v>48</v>
      </c>
      <c r="D65" s="42">
        <v>1020</v>
      </c>
      <c r="E65" s="42">
        <v>-8232</v>
      </c>
      <c r="F65" s="42">
        <v>8162</v>
      </c>
      <c r="G65" s="42">
        <v>-5560</v>
      </c>
      <c r="H65" s="42">
        <v>-2.5699999999999998E-3</v>
      </c>
      <c r="J65" s="80">
        <f>ROUNDUP(MIN(G5:G999),3)</f>
        <v>-5890</v>
      </c>
      <c r="K65" s="24"/>
      <c r="AI65" s="14"/>
    </row>
    <row r="66" spans="1:35" x14ac:dyDescent="0.25">
      <c r="A66" s="1">
        <v>137</v>
      </c>
      <c r="B66" s="1">
        <v>0.7</v>
      </c>
      <c r="C66" s="1">
        <v>40</v>
      </c>
      <c r="D66" s="42">
        <v>1045</v>
      </c>
      <c r="E66" s="42">
        <v>-8464</v>
      </c>
      <c r="F66" s="42">
        <v>8316</v>
      </c>
      <c r="G66" s="42">
        <v>-5645</v>
      </c>
      <c r="H66" s="42">
        <v>-2.6059999999999998E-3</v>
      </c>
      <c r="J66" s="80"/>
      <c r="K66" s="24"/>
      <c r="AI66" s="14"/>
    </row>
    <row r="67" spans="1:35" x14ac:dyDescent="0.25">
      <c r="A67" s="1">
        <v>140</v>
      </c>
      <c r="B67" s="1">
        <v>0.71499999999999997</v>
      </c>
      <c r="C67" s="1">
        <v>35</v>
      </c>
      <c r="D67" s="42">
        <v>789.2</v>
      </c>
      <c r="E67" s="42">
        <v>-8285</v>
      </c>
      <c r="F67" s="42">
        <v>7736</v>
      </c>
      <c r="G67" s="42">
        <v>-5689</v>
      </c>
      <c r="H67" s="42">
        <v>-2.5500000000000002E-3</v>
      </c>
      <c r="J67" s="80"/>
      <c r="K67" s="24"/>
      <c r="AI67" s="14"/>
    </row>
    <row r="68" spans="1:35" x14ac:dyDescent="0.25">
      <c r="A68" s="1">
        <v>164</v>
      </c>
      <c r="B68" s="1">
        <v>0.83499999999999996</v>
      </c>
      <c r="C68" s="1">
        <v>30</v>
      </c>
      <c r="D68" s="42">
        <v>455.6</v>
      </c>
      <c r="E68" s="42">
        <v>-8372</v>
      </c>
      <c r="F68" s="42">
        <v>7035</v>
      </c>
      <c r="G68" s="42">
        <v>-5788</v>
      </c>
      <c r="H68" s="42">
        <v>-2.565E-3</v>
      </c>
      <c r="J68" s="80"/>
      <c r="K68" s="24"/>
      <c r="AI68" s="14"/>
    </row>
    <row r="69" spans="1:35" x14ac:dyDescent="0.25">
      <c r="A69" s="1">
        <v>172</v>
      </c>
      <c r="B69" s="1">
        <v>0.875</v>
      </c>
      <c r="C69" s="1">
        <v>24</v>
      </c>
      <c r="D69" s="42">
        <v>291.7</v>
      </c>
      <c r="E69" s="42">
        <v>-7956</v>
      </c>
      <c r="F69" s="42">
        <v>6291</v>
      </c>
      <c r="G69" s="42">
        <v>-5210</v>
      </c>
      <c r="H69" s="42">
        <v>-2.284E-3</v>
      </c>
      <c r="AI69" s="14"/>
    </row>
    <row r="70" spans="1:35" x14ac:dyDescent="0.25">
      <c r="A70" s="1">
        <v>197</v>
      </c>
      <c r="B70" s="1">
        <v>1</v>
      </c>
      <c r="C70" s="1">
        <v>20</v>
      </c>
      <c r="D70" s="42">
        <v>-131.80000000000001</v>
      </c>
      <c r="E70" s="42">
        <v>-7769</v>
      </c>
      <c r="F70" s="42">
        <v>5507</v>
      </c>
      <c r="G70" s="42">
        <v>-5252</v>
      </c>
      <c r="H70" s="42">
        <v>-2.2209999999999999E-3</v>
      </c>
      <c r="J70" s="69">
        <f>ROUNDUP(MAX(H5:H999),8)</f>
        <v>-2.2209999999999999E-3</v>
      </c>
      <c r="K70" s="24"/>
      <c r="L70" s="14"/>
      <c r="M70" s="14"/>
      <c r="N70" s="14"/>
      <c r="O70" s="14"/>
      <c r="P70" s="14"/>
      <c r="Q70" s="14"/>
      <c r="R70" s="14"/>
      <c r="S70" s="14"/>
      <c r="T70" s="14"/>
      <c r="U70" s="14"/>
      <c r="V70" s="14"/>
      <c r="W70" s="14"/>
      <c r="X70" s="14"/>
      <c r="Y70" s="14"/>
      <c r="Z70" s="14"/>
      <c r="AI70" s="14"/>
    </row>
    <row r="71" spans="1:35" x14ac:dyDescent="0.25">
      <c r="J71" s="69"/>
      <c r="K71" s="24"/>
      <c r="L71" s="14"/>
      <c r="M71" s="14"/>
      <c r="N71" s="14"/>
      <c r="O71" s="14"/>
      <c r="P71" s="14"/>
      <c r="Q71" s="14"/>
      <c r="R71" s="14"/>
      <c r="S71" s="14"/>
      <c r="T71" s="14"/>
      <c r="U71" s="14"/>
      <c r="V71" s="14"/>
      <c r="W71" s="14"/>
      <c r="X71" s="14"/>
      <c r="Y71" s="14"/>
      <c r="Z71" s="14"/>
      <c r="AI71" s="14"/>
    </row>
    <row r="72" spans="1:35" x14ac:dyDescent="0.25">
      <c r="J72" s="69"/>
      <c r="K72" s="24"/>
      <c r="L72" s="14"/>
      <c r="M72" s="14"/>
      <c r="N72" s="14"/>
      <c r="O72" s="14"/>
      <c r="P72" s="14"/>
      <c r="Q72" s="14"/>
      <c r="R72" s="14"/>
      <c r="S72" s="14"/>
      <c r="T72" s="14"/>
      <c r="U72" s="14"/>
      <c r="V72" s="14"/>
      <c r="W72" s="14"/>
      <c r="X72" s="14"/>
      <c r="Y72" s="14"/>
      <c r="Z72" s="14"/>
      <c r="AI72" s="14"/>
    </row>
    <row r="73" spans="1:35" x14ac:dyDescent="0.25">
      <c r="J73" s="69"/>
      <c r="K73" s="24"/>
      <c r="L73" s="14"/>
      <c r="M73" s="14"/>
      <c r="N73" s="14"/>
      <c r="O73" s="14"/>
      <c r="P73" s="14"/>
      <c r="Q73" s="14"/>
      <c r="R73" s="14"/>
      <c r="S73" s="14"/>
      <c r="T73" s="14"/>
      <c r="U73" s="14"/>
      <c r="V73" s="14"/>
      <c r="W73" s="14"/>
      <c r="X73" s="14"/>
      <c r="Y73" s="14"/>
      <c r="Z73" s="14"/>
      <c r="AI73" s="14"/>
    </row>
    <row r="74" spans="1:35" x14ac:dyDescent="0.25">
      <c r="J74" s="63" t="str">
        <f>H4</f>
        <v xml:space="preserve"> MAX UY</v>
      </c>
      <c r="K74" s="25"/>
      <c r="L74" s="14"/>
      <c r="M74" s="14"/>
      <c r="N74" s="14"/>
      <c r="O74" s="14"/>
      <c r="P74" s="14"/>
      <c r="Q74" s="14"/>
      <c r="R74" s="14"/>
      <c r="S74" s="14"/>
      <c r="T74" s="14"/>
      <c r="U74" s="14"/>
      <c r="V74" s="14"/>
      <c r="W74" s="14"/>
      <c r="X74" s="14"/>
      <c r="Y74" s="14"/>
      <c r="Z74" s="14"/>
      <c r="AI74" s="14"/>
    </row>
    <row r="75" spans="1:35" x14ac:dyDescent="0.25">
      <c r="J75" s="63"/>
      <c r="K75" s="25"/>
      <c r="L75" s="14"/>
      <c r="M75" s="14"/>
      <c r="N75" s="14"/>
      <c r="O75" s="14"/>
      <c r="P75" s="14"/>
      <c r="Q75" s="14"/>
      <c r="R75" s="14"/>
      <c r="S75" s="14"/>
      <c r="T75" s="14"/>
      <c r="U75" s="14"/>
      <c r="V75" s="14"/>
      <c r="W75" s="14"/>
      <c r="X75" s="14"/>
      <c r="Y75" s="14"/>
      <c r="Z75" s="14"/>
      <c r="AI75" s="14"/>
    </row>
    <row r="76" spans="1:35" x14ac:dyDescent="0.25">
      <c r="J76" s="63"/>
      <c r="K76" s="25"/>
      <c r="L76" s="14"/>
      <c r="M76" s="14"/>
      <c r="N76" s="14"/>
      <c r="O76" s="14"/>
      <c r="P76" s="14"/>
      <c r="Q76" s="14"/>
      <c r="R76" s="14"/>
      <c r="S76" s="14"/>
      <c r="T76" s="14"/>
      <c r="U76" s="14"/>
      <c r="V76" s="14"/>
      <c r="W76" s="14"/>
      <c r="X76" s="14"/>
      <c r="Y76" s="14"/>
      <c r="Z76" s="14"/>
    </row>
    <row r="77" spans="1:35" x14ac:dyDescent="0.25">
      <c r="J77" s="63"/>
      <c r="K77" s="25"/>
      <c r="L77" s="14"/>
      <c r="M77" s="14"/>
      <c r="N77" s="14"/>
      <c r="O77" s="14"/>
      <c r="P77" s="14"/>
      <c r="Q77" s="14"/>
      <c r="R77" s="14"/>
      <c r="S77" s="14"/>
      <c r="T77" s="14"/>
      <c r="U77" s="14"/>
      <c r="V77" s="14"/>
      <c r="W77" s="14"/>
      <c r="X77" s="14"/>
      <c r="Y77" s="14"/>
      <c r="Z77" s="14"/>
    </row>
    <row r="78" spans="1:35" x14ac:dyDescent="0.25">
      <c r="J78" s="63"/>
      <c r="K78" s="25"/>
      <c r="L78" s="14"/>
      <c r="M78" s="14"/>
      <c r="N78" s="14"/>
      <c r="O78" s="14"/>
      <c r="P78" s="14"/>
      <c r="Q78" s="14"/>
      <c r="R78" s="14"/>
      <c r="S78" s="14"/>
      <c r="T78" s="14"/>
      <c r="U78" s="14"/>
      <c r="V78" s="14"/>
      <c r="W78" s="14"/>
      <c r="X78" s="14"/>
      <c r="Y78" s="14"/>
      <c r="Z78" s="14"/>
    </row>
    <row r="79" spans="1:35" x14ac:dyDescent="0.25">
      <c r="J79" s="63"/>
      <c r="K79" s="25"/>
      <c r="L79" s="14"/>
      <c r="M79" s="14"/>
      <c r="N79" s="14"/>
      <c r="O79" s="14"/>
      <c r="P79" s="14"/>
      <c r="Q79" s="14"/>
      <c r="R79" s="14"/>
      <c r="S79" s="14"/>
      <c r="T79" s="14"/>
      <c r="U79" s="14"/>
      <c r="V79" s="14"/>
      <c r="W79" s="14"/>
      <c r="X79" s="14"/>
      <c r="Y79" s="14"/>
      <c r="Z79" s="14"/>
    </row>
    <row r="80" spans="1:35" x14ac:dyDescent="0.25">
      <c r="J80" s="63"/>
      <c r="K80" s="25"/>
      <c r="L80" s="14"/>
      <c r="M80" s="14"/>
      <c r="N80" s="14"/>
      <c r="O80" s="14"/>
      <c r="P80" s="14"/>
      <c r="Q80" s="14"/>
      <c r="R80" s="14"/>
      <c r="S80" s="14"/>
      <c r="T80" s="14"/>
      <c r="U80" s="14"/>
      <c r="V80" s="14"/>
      <c r="W80" s="14"/>
      <c r="X80" s="14"/>
      <c r="Y80" s="14"/>
      <c r="Z80" s="14"/>
    </row>
    <row r="81" spans="10:26" x14ac:dyDescent="0.25">
      <c r="J81" s="70">
        <f>ROUNDUP(MIN(H5:H999),8)</f>
        <v>-2.8540000000000002E-3</v>
      </c>
      <c r="K81" s="24"/>
      <c r="L81" s="14"/>
      <c r="M81" s="14"/>
      <c r="N81" s="14"/>
      <c r="O81" s="14"/>
      <c r="P81" s="14"/>
      <c r="Q81" s="14"/>
      <c r="R81" s="14"/>
      <c r="S81" s="14"/>
      <c r="T81" s="14"/>
      <c r="U81" s="14"/>
      <c r="V81" s="14"/>
      <c r="W81" s="14"/>
      <c r="X81" s="14"/>
      <c r="Y81" s="14"/>
      <c r="Z81" s="14"/>
    </row>
    <row r="82" spans="10:26" x14ac:dyDescent="0.25">
      <c r="J82" s="70"/>
      <c r="K82" s="24"/>
      <c r="L82" s="14"/>
      <c r="M82" s="14"/>
      <c r="N82" s="14"/>
      <c r="O82" s="14"/>
      <c r="P82" s="14"/>
      <c r="Q82" s="14"/>
      <c r="R82" s="14"/>
      <c r="S82" s="14"/>
      <c r="T82" s="14"/>
      <c r="U82" s="14"/>
      <c r="V82" s="14"/>
      <c r="W82" s="14"/>
      <c r="X82" s="14"/>
      <c r="Y82" s="14"/>
      <c r="Z82" s="14"/>
    </row>
    <row r="83" spans="10:26" x14ac:dyDescent="0.25">
      <c r="J83" s="70"/>
      <c r="K83" s="24"/>
      <c r="L83" s="14"/>
      <c r="M83" s="14"/>
      <c r="N83" s="14"/>
      <c r="O83" s="14"/>
      <c r="P83" s="14"/>
      <c r="Q83" s="14"/>
      <c r="R83" s="14"/>
      <c r="S83" s="14"/>
      <c r="T83" s="14"/>
      <c r="U83" s="14"/>
      <c r="V83" s="14"/>
      <c r="W83" s="14"/>
      <c r="X83" s="14"/>
      <c r="Y83" s="14"/>
      <c r="Z83" s="14"/>
    </row>
    <row r="84" spans="10:26" x14ac:dyDescent="0.25">
      <c r="J84" s="70"/>
      <c r="K84" s="24"/>
      <c r="L84" s="14"/>
      <c r="M84" s="14"/>
      <c r="N84" s="14"/>
      <c r="O84" s="14"/>
      <c r="P84" s="14"/>
      <c r="Q84" s="14"/>
      <c r="R84" s="14"/>
      <c r="S84" s="14"/>
      <c r="T84" s="14"/>
      <c r="U84" s="14"/>
      <c r="V84" s="14"/>
      <c r="W84" s="14"/>
      <c r="X84" s="14"/>
      <c r="Y84" s="14"/>
      <c r="Z84" s="14"/>
    </row>
  </sheetData>
  <mergeCells count="24">
    <mergeCell ref="J70:J73"/>
    <mergeCell ref="J74:J80"/>
    <mergeCell ref="J81:J84"/>
    <mergeCell ref="AB1:AE1"/>
    <mergeCell ref="AB2:AD3"/>
    <mergeCell ref="AB5:AE5"/>
    <mergeCell ref="AB11:AE11"/>
    <mergeCell ref="J49:J52"/>
    <mergeCell ref="J54:J57"/>
    <mergeCell ref="J65:J68"/>
    <mergeCell ref="J17:J20"/>
    <mergeCell ref="J22:J25"/>
    <mergeCell ref="J33:J36"/>
    <mergeCell ref="J38:J41"/>
    <mergeCell ref="J26:J32"/>
    <mergeCell ref="J42:J48"/>
    <mergeCell ref="J58:J64"/>
    <mergeCell ref="A1:H1"/>
    <mergeCell ref="A3:H3"/>
    <mergeCell ref="M4:Q4"/>
    <mergeCell ref="U4:Y4"/>
    <mergeCell ref="J10:J16"/>
    <mergeCell ref="A2:H2"/>
    <mergeCell ref="J6:J9"/>
  </mergeCells>
  <pageMargins left="0.511811024" right="0.511811024" top="0.78740157499999996" bottom="0.78740157499999996" header="0.31496062000000002" footer="0.31496062000000002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Spinner 1">
              <controlPr defaultSize="0" autoPict="0">
                <anchor moveWithCells="1" sizeWithCells="1">
                  <from>
                    <xdr:col>30</xdr:col>
                    <xdr:colOff>0</xdr:colOff>
                    <xdr:row>0</xdr:row>
                    <xdr:rowOff>190500</xdr:rowOff>
                  </from>
                  <to>
                    <xdr:col>30</xdr:col>
                    <xdr:colOff>314325</xdr:colOff>
                    <xdr:row>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Spinner 2">
              <controlPr defaultSize="0" autoPict="0">
                <anchor moveWithCells="1" sizeWithCells="1">
                  <from>
                    <xdr:col>30</xdr:col>
                    <xdr:colOff>314325</xdr:colOff>
                    <xdr:row>1</xdr:row>
                    <xdr:rowOff>0</xdr:rowOff>
                  </from>
                  <to>
                    <xdr:col>31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AC2"/>
  <sheetViews>
    <sheetView showGridLines="0" workbookViewId="0">
      <selection activeCell="AD30" sqref="AD30"/>
    </sheetView>
  </sheetViews>
  <sheetFormatPr defaultRowHeight="15" x14ac:dyDescent="0.25"/>
  <cols>
    <col min="1" max="1" width="2.85546875" customWidth="1"/>
  </cols>
  <sheetData>
    <row r="2" spans="2:29" s="62" customFormat="1" ht="30" customHeight="1" x14ac:dyDescent="0.25">
      <c r="B2" s="83" t="s">
        <v>37</v>
      </c>
      <c r="C2" s="83"/>
      <c r="D2" s="83"/>
      <c r="E2" s="83"/>
      <c r="F2" s="83"/>
      <c r="G2" s="83"/>
      <c r="H2" s="83"/>
      <c r="I2" s="83"/>
      <c r="J2" s="83"/>
      <c r="K2" s="83"/>
      <c r="L2" s="83"/>
      <c r="M2" s="83"/>
      <c r="N2" s="83"/>
      <c r="O2" s="83"/>
      <c r="P2" s="83"/>
      <c r="Q2" s="83"/>
      <c r="R2" s="83"/>
      <c r="S2" s="83"/>
      <c r="T2" s="83"/>
      <c r="U2" s="83"/>
      <c r="V2" s="83"/>
      <c r="W2" s="83"/>
      <c r="X2" s="83"/>
      <c r="Y2" s="83"/>
      <c r="Z2" s="83"/>
      <c r="AA2" s="83"/>
      <c r="AB2" s="83"/>
      <c r="AC2" s="83"/>
    </row>
  </sheetData>
  <mergeCells count="1">
    <mergeCell ref="B2:AC2"/>
  </mergeCells>
  <pageMargins left="0.511811024" right="0.511811024" top="0.78740157499999996" bottom="0.78740157499999996" header="0.31496062000000002" footer="0.31496062000000002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AC2"/>
  <sheetViews>
    <sheetView showGridLines="0" workbookViewId="0">
      <selection activeCell="AD34" sqref="AD34"/>
    </sheetView>
  </sheetViews>
  <sheetFormatPr defaultRowHeight="15" x14ac:dyDescent="0.25"/>
  <cols>
    <col min="1" max="1" width="2.85546875" customWidth="1"/>
  </cols>
  <sheetData>
    <row r="2" spans="1:29" ht="30" customHeight="1" x14ac:dyDescent="0.25">
      <c r="A2" s="62"/>
      <c r="B2" s="83" t="s">
        <v>36</v>
      </c>
      <c r="C2" s="83"/>
      <c r="D2" s="83"/>
      <c r="E2" s="83"/>
      <c r="F2" s="83"/>
      <c r="G2" s="83"/>
      <c r="H2" s="83"/>
      <c r="I2" s="83"/>
      <c r="J2" s="83"/>
      <c r="K2" s="83"/>
      <c r="L2" s="83"/>
      <c r="M2" s="83"/>
      <c r="N2" s="83"/>
      <c r="O2" s="83"/>
      <c r="P2" s="83"/>
      <c r="Q2" s="83"/>
      <c r="R2" s="83"/>
      <c r="S2" s="83"/>
      <c r="T2" s="83"/>
      <c r="U2" s="83"/>
      <c r="V2" s="83"/>
      <c r="W2" s="83"/>
      <c r="X2" s="83"/>
      <c r="Y2" s="83"/>
      <c r="Z2" s="83"/>
      <c r="AA2" s="83"/>
      <c r="AB2" s="83"/>
      <c r="AC2" s="83"/>
    </row>
  </sheetData>
  <mergeCells count="1">
    <mergeCell ref="B2:AC2"/>
  </mergeCells>
  <pageMargins left="0.511811024" right="0.511811024" top="0.78740157499999996" bottom="0.78740157499999996" header="0.31496062000000002" footer="0.31496062000000002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AC2"/>
  <sheetViews>
    <sheetView showGridLines="0" workbookViewId="0">
      <selection activeCell="AD21" sqref="AD21"/>
    </sheetView>
  </sheetViews>
  <sheetFormatPr defaultRowHeight="15" x14ac:dyDescent="0.25"/>
  <cols>
    <col min="1" max="1" width="2.85546875" customWidth="1"/>
  </cols>
  <sheetData>
    <row r="2" spans="1:29" ht="30" customHeight="1" x14ac:dyDescent="0.25">
      <c r="A2" s="62"/>
      <c r="B2" s="83" t="s">
        <v>35</v>
      </c>
      <c r="C2" s="83"/>
      <c r="D2" s="83"/>
      <c r="E2" s="83"/>
      <c r="F2" s="83"/>
      <c r="G2" s="83"/>
      <c r="H2" s="83"/>
      <c r="I2" s="83"/>
      <c r="J2" s="83"/>
      <c r="K2" s="83"/>
      <c r="L2" s="83"/>
      <c r="M2" s="83"/>
      <c r="N2" s="83"/>
      <c r="O2" s="83"/>
      <c r="P2" s="83"/>
      <c r="Q2" s="83"/>
      <c r="R2" s="83"/>
      <c r="S2" s="83"/>
      <c r="T2" s="83"/>
      <c r="U2" s="83"/>
      <c r="V2" s="83"/>
      <c r="W2" s="83"/>
      <c r="X2" s="83"/>
      <c r="Y2" s="83"/>
      <c r="Z2" s="83"/>
      <c r="AA2" s="83"/>
      <c r="AB2" s="83"/>
      <c r="AC2" s="83"/>
    </row>
  </sheetData>
  <mergeCells count="1">
    <mergeCell ref="B2:AC2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AC2"/>
  <sheetViews>
    <sheetView showGridLines="0" workbookViewId="0">
      <selection activeCell="AD34" sqref="AD34"/>
    </sheetView>
  </sheetViews>
  <sheetFormatPr defaultRowHeight="15" x14ac:dyDescent="0.25"/>
  <cols>
    <col min="1" max="1" width="2.85546875" customWidth="1"/>
  </cols>
  <sheetData>
    <row r="2" spans="1:29" ht="30" customHeight="1" x14ac:dyDescent="0.25">
      <c r="A2" s="62"/>
      <c r="B2" s="83" t="s">
        <v>34</v>
      </c>
      <c r="C2" s="83"/>
      <c r="D2" s="83"/>
      <c r="E2" s="83"/>
      <c r="F2" s="83"/>
      <c r="G2" s="83"/>
      <c r="H2" s="83"/>
      <c r="I2" s="83"/>
      <c r="J2" s="83"/>
      <c r="K2" s="83"/>
      <c r="L2" s="83"/>
      <c r="M2" s="83"/>
      <c r="N2" s="83"/>
      <c r="O2" s="83"/>
      <c r="P2" s="83"/>
      <c r="Q2" s="83"/>
      <c r="R2" s="83"/>
      <c r="S2" s="83"/>
      <c r="T2" s="83"/>
      <c r="U2" s="83"/>
      <c r="V2" s="83"/>
      <c r="W2" s="83"/>
      <c r="X2" s="83"/>
      <c r="Y2" s="83"/>
      <c r="Z2" s="83"/>
      <c r="AA2" s="83"/>
      <c r="AB2" s="83"/>
      <c r="AC2" s="83"/>
    </row>
  </sheetData>
  <mergeCells count="1">
    <mergeCell ref="B2:AC2"/>
  </mergeCells>
  <pageMargins left="0.511811024" right="0.511811024" top="0.78740157499999996" bottom="0.78740157499999996" header="0.31496062000000002" footer="0.31496062000000002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AC2"/>
  <sheetViews>
    <sheetView showGridLines="0" workbookViewId="0">
      <selection activeCell="AD34" sqref="AD34"/>
    </sheetView>
  </sheetViews>
  <sheetFormatPr defaultRowHeight="15" x14ac:dyDescent="0.25"/>
  <cols>
    <col min="1" max="1" width="2.85546875" customWidth="1"/>
  </cols>
  <sheetData>
    <row r="2" spans="1:29" ht="26.25" x14ac:dyDescent="0.25">
      <c r="A2" s="62"/>
      <c r="B2" s="83" t="s">
        <v>33</v>
      </c>
      <c r="C2" s="83"/>
      <c r="D2" s="83"/>
      <c r="E2" s="83"/>
      <c r="F2" s="83"/>
      <c r="G2" s="83"/>
      <c r="H2" s="83"/>
      <c r="I2" s="83"/>
      <c r="J2" s="83"/>
      <c r="K2" s="83"/>
      <c r="L2" s="83"/>
      <c r="M2" s="83"/>
      <c r="N2" s="83"/>
      <c r="O2" s="83"/>
      <c r="P2" s="83"/>
      <c r="Q2" s="83"/>
      <c r="R2" s="83"/>
      <c r="S2" s="83"/>
      <c r="T2" s="83"/>
      <c r="U2" s="83"/>
      <c r="V2" s="83"/>
      <c r="W2" s="83"/>
      <c r="X2" s="83"/>
      <c r="Y2" s="83"/>
      <c r="Z2" s="83"/>
      <c r="AA2" s="83"/>
      <c r="AB2" s="83"/>
      <c r="AC2" s="83"/>
    </row>
  </sheetData>
  <mergeCells count="1">
    <mergeCell ref="B2:AC2"/>
  </mergeCells>
  <pageMargins left="0.511811024" right="0.511811024" top="0.78740157499999996" bottom="0.78740157499999996" header="0.31496062000000002" footer="0.31496062000000002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W1000"/>
  <sheetViews>
    <sheetView workbookViewId="0"/>
  </sheetViews>
  <sheetFormatPr defaultRowHeight="15" x14ac:dyDescent="0.25"/>
  <cols>
    <col min="1" max="1" width="12.7109375" style="13" customWidth="1"/>
    <col min="2" max="2" width="14.7109375" style="37" customWidth="1"/>
    <col min="3" max="3" width="14.7109375" style="54" customWidth="1"/>
    <col min="4" max="4" width="14.7109375" style="57" customWidth="1"/>
    <col min="5" max="5" width="14.7109375" style="54" customWidth="1"/>
    <col min="6" max="6" width="14.7109375" style="57" customWidth="1"/>
    <col min="7" max="7" width="14.7109375" style="54" customWidth="1"/>
    <col min="8" max="10" width="12.7109375" style="7" customWidth="1"/>
    <col min="11" max="11" width="12.7109375" style="14" customWidth="1"/>
    <col min="12" max="12" width="12.7109375" style="7" customWidth="1"/>
    <col min="13" max="14" width="3.7109375" style="14" customWidth="1"/>
    <col min="15" max="17" width="9.140625" style="7"/>
    <col min="18" max="18" width="9.140625" style="7" customWidth="1"/>
    <col min="19" max="19" width="9.140625" style="7"/>
    <col min="20" max="21" width="10.7109375" style="7" customWidth="1"/>
    <col min="22" max="22" width="9.140625" style="7"/>
    <col min="23" max="23" width="12.42578125" style="7" bestFit="1" customWidth="1"/>
    <col min="24" max="16384" width="9.140625" style="7"/>
  </cols>
  <sheetData>
    <row r="1" spans="1:23" ht="20.100000000000001" customHeight="1" x14ac:dyDescent="0.25">
      <c r="A1" s="31" t="s">
        <v>2</v>
      </c>
      <c r="B1" s="35" t="s">
        <v>3</v>
      </c>
      <c r="C1" s="52" t="s">
        <v>16</v>
      </c>
      <c r="D1" s="55" t="s">
        <v>17</v>
      </c>
      <c r="E1" s="52" t="s">
        <v>18</v>
      </c>
      <c r="F1" s="55" t="s">
        <v>19</v>
      </c>
      <c r="G1" s="52" t="s">
        <v>20</v>
      </c>
      <c r="H1" s="6" t="s">
        <v>22</v>
      </c>
      <c r="I1" s="40" t="s">
        <v>24</v>
      </c>
      <c r="J1" s="40" t="s">
        <v>23</v>
      </c>
      <c r="K1" s="40" t="s">
        <v>25</v>
      </c>
      <c r="L1" s="40" t="s">
        <v>26</v>
      </c>
      <c r="M1" s="58" t="s">
        <v>31</v>
      </c>
      <c r="N1" s="58" t="s">
        <v>32</v>
      </c>
      <c r="P1" s="32" t="s">
        <v>8</v>
      </c>
      <c r="Q1" s="32" t="s">
        <v>9</v>
      </c>
      <c r="R1" s="32" t="s">
        <v>4</v>
      </c>
      <c r="S1" s="32" t="s">
        <v>5</v>
      </c>
      <c r="U1" s="90" t="s">
        <v>10</v>
      </c>
      <c r="V1" s="91"/>
    </row>
    <row r="2" spans="1:23" ht="20.100000000000001" customHeight="1" thickBot="1" x14ac:dyDescent="0.3">
      <c r="A2" s="13">
        <v>1</v>
      </c>
      <c r="B2" s="37">
        <v>20</v>
      </c>
      <c r="C2" s="53">
        <v>-131.80000000000001</v>
      </c>
      <c r="D2" s="56">
        <v>-7769</v>
      </c>
      <c r="E2" s="53">
        <v>5507</v>
      </c>
      <c r="F2" s="56">
        <v>-5252</v>
      </c>
      <c r="G2" s="53">
        <v>-2.2209999999999999E-3</v>
      </c>
      <c r="H2" s="43">
        <f>IFERROR(ABS(C2/VLOOKUP(2*$B2,$B3:C36,2,TRUE)),"--")</f>
        <v>0.12612440191387561</v>
      </c>
      <c r="I2" s="43">
        <f>IFERROR(ABS(D2/VLOOKUP(2*$B2,$B3:D36,3,TRUE)),"--")</f>
        <v>0.91788752362948955</v>
      </c>
      <c r="J2" s="43">
        <f>IFERROR(ABS(E2/VLOOKUP(2*$B2,$B3:E36,4,TRUE)),"--")</f>
        <v>0.66221741221741226</v>
      </c>
      <c r="K2" s="43">
        <f>IFERROR(ABS(F2/VLOOKUP(2*$B2,$B3:F36,5,TRUE)),"--")</f>
        <v>0.93038086802480069</v>
      </c>
      <c r="L2" s="43">
        <f>IFERROR(ABS(G2/VLOOKUP(2*$B2,$B3:G36,6,TRUE)),"--")</f>
        <v>0.85226400613967768</v>
      </c>
      <c r="M2" s="38">
        <f>IF(AND(1+$Q$6&gt;H2,1-$Q$6&lt;H2,1+$Q$6&gt;I2,1-$Q$6&lt;I2,1+$Q$6&gt;J2,1-$Q$6&lt;J2,1+$Q$6&gt;K2,1-$Q$6&lt;K2,1+$Q$6&gt;L2,1-$Q$6&lt;L2),IF(SUM($M1:M$2)=0,1,0),0)</f>
        <v>0</v>
      </c>
      <c r="N2" s="38">
        <f>IF(AND(1+$Q$7&gt;H2,1-$Q$7&lt;H2,1+$Q$7&gt;I2,1-$Q$7&lt;I2,1+$Q$7&gt;J2,1-$Q$7&lt;J2,1+$Q$7&gt;K2,1-$Q$7&lt;K2,1+$Q$7&gt;L2,1-$Q$7&lt;L2),IF(SUM($N1:N$2)=0,1,0),0)</f>
        <v>0</v>
      </c>
      <c r="O2" s="34">
        <f>A2</f>
        <v>1</v>
      </c>
      <c r="P2" s="33">
        <f>MIN(C2:C1000)/MAX(C2:C1000)</f>
        <v>-4.5463953087271476E-2</v>
      </c>
      <c r="Q2" s="33">
        <f>MIN(D2:D1000)/MAX(D2:D1000)</f>
        <v>1.0973098210837946</v>
      </c>
      <c r="R2" s="33">
        <f>MIN(E2:E1000)/MAX(E2:E1000)</f>
        <v>0.37900894700619409</v>
      </c>
      <c r="S2" s="33">
        <f>MIN(G2:G1000)/MAX(G2:G1000)</f>
        <v>1.2850067537145431</v>
      </c>
      <c r="U2" s="10" t="s">
        <v>7</v>
      </c>
      <c r="V2" s="11">
        <f>VLOOKUP(1,N2:O1000,2,FALSE)</f>
        <v>0.08</v>
      </c>
      <c r="W2" s="39"/>
    </row>
    <row r="3" spans="1:23" ht="20.100000000000001" customHeight="1" thickBot="1" x14ac:dyDescent="0.3">
      <c r="A3" s="13">
        <v>0.875</v>
      </c>
      <c r="B3" s="37">
        <v>24</v>
      </c>
      <c r="C3" s="53">
        <v>291.7</v>
      </c>
      <c r="D3" s="56">
        <v>-7956</v>
      </c>
      <c r="E3" s="53">
        <v>6291</v>
      </c>
      <c r="F3" s="56">
        <v>-5210</v>
      </c>
      <c r="G3" s="53">
        <v>-2.284E-3</v>
      </c>
      <c r="H3" s="43">
        <f>IFERROR(ABS(C3/VLOOKUP(2*$B3,$B4:C37,2,TRUE)),"--")</f>
        <v>0.28598039215686272</v>
      </c>
      <c r="I3" s="43">
        <f>IFERROR(ABS(D3/VLOOKUP(2*$B3,$B4:D37,3,TRUE)),"--")</f>
        <v>0.96647230320699706</v>
      </c>
      <c r="J3" s="43">
        <f>IFERROR(ABS(E3/VLOOKUP(2*$B3,$B4:E37,4,TRUE)),"--")</f>
        <v>0.77076696888017637</v>
      </c>
      <c r="K3" s="43">
        <f>IFERROR(ABS(F3/VLOOKUP(2*$B3,$B4:F37,5,TRUE)),"--")</f>
        <v>0.93705035971223016</v>
      </c>
      <c r="L3" s="43">
        <f>IFERROR(ABS(G3/VLOOKUP(2*$B3,$B4:G37,6,TRUE)),"--")</f>
        <v>0.88871595330739306</v>
      </c>
      <c r="M3" s="38">
        <f>IF(AND(1+$Q$6&gt;H3,1-$Q$6&lt;H3,1+$Q$6&gt;I3,1-$Q$6&lt;I3,1+$Q$6&gt;J3,1-$Q$6&lt;J3,1+$Q$6&gt;K3,1-$Q$6&lt;K3,1+$Q$6&gt;L3,1-$Q$6&lt;L3),IF(SUM($M$2:M2)=0,1,0),0)</f>
        <v>0</v>
      </c>
      <c r="N3" s="38">
        <f>IF(AND(1+$Q$7&gt;H3,1-$Q$7&lt;H3,1+$Q$7&gt;I3,1-$Q$7&lt;I3,1+$Q$7&gt;J3,1-$Q$7&lt;J3,1+$Q$7&gt;K3,1-$Q$7&lt;K3,1+$Q$7&gt;L3,1-$Q$7&lt;L3),IF(SUM($N$2:N2)=0,1,0),0)</f>
        <v>0</v>
      </c>
      <c r="O3" s="34">
        <f t="shared" ref="O3:O66" si="0">A3</f>
        <v>0.875</v>
      </c>
      <c r="P3" s="94" t="s">
        <v>15</v>
      </c>
      <c r="Q3" s="94"/>
      <c r="R3" s="94"/>
      <c r="S3" s="94"/>
    </row>
    <row r="4" spans="1:23" ht="20.100000000000001" customHeight="1" thickBot="1" x14ac:dyDescent="0.3">
      <c r="A4" s="13">
        <v>0.83499999999999996</v>
      </c>
      <c r="B4" s="37">
        <v>30</v>
      </c>
      <c r="C4" s="53">
        <v>455.6</v>
      </c>
      <c r="D4" s="56">
        <v>-8372</v>
      </c>
      <c r="E4" s="53">
        <v>7035</v>
      </c>
      <c r="F4" s="56">
        <v>-5788</v>
      </c>
      <c r="G4" s="53">
        <v>-2.565E-3</v>
      </c>
      <c r="H4" s="43">
        <f>IFERROR(ABS(C4/VLOOKUP(2*$B4,$B5:C38,2,TRUE)),"--")</f>
        <v>0.37405582922824304</v>
      </c>
      <c r="I4" s="43">
        <f>IFERROR(ABS(D4/VLOOKUP(2*$B4,$B5:D38,3,TRUE)),"--")</f>
        <v>1.029513034923758</v>
      </c>
      <c r="J4" s="43">
        <f>IFERROR(ABS(E4/VLOOKUP(2*$B4,$B5:E38,4,TRUE)),"--")</f>
        <v>0.81433036231045264</v>
      </c>
      <c r="K4" s="43">
        <f>IFERROR(ABS(F4/VLOOKUP(2*$B4,$B5:F38,5,TRUE)),"--")</f>
        <v>1.0428828828828829</v>
      </c>
      <c r="L4" s="43">
        <f>IFERROR(ABS(G4/VLOOKUP(2*$B4,$B5:G38,6,TRUE)),"--")</f>
        <v>1.011036657469452</v>
      </c>
      <c r="M4" s="38">
        <f>IF(AND(1+$Q$6&gt;H4,1-$Q$6&lt;H4,1+$Q$6&gt;I4,1-$Q$6&lt;I4,1+$Q$6&gt;J4,1-$Q$6&lt;J4,1+$Q$6&gt;K4,1-$Q$6&lt;K4,1+$Q$6&gt;L4,1-$Q$6&lt;L4),IF(SUM($M$2:M3)=0,1,0),0)</f>
        <v>0</v>
      </c>
      <c r="N4" s="38">
        <f>IF(AND(1+$Q$7&gt;H4,1-$Q$7&lt;H4,1+$Q$7&gt;I4,1-$Q$7&lt;I4,1+$Q$7&gt;J4,1-$Q$7&lt;J4,1+$Q$7&gt;K4,1-$Q$7&lt;K4,1+$Q$7&gt;L4,1-$Q$7&lt;L4),IF(SUM($N$2:N3)=0,1,0),0)</f>
        <v>0</v>
      </c>
      <c r="O4" s="34">
        <f t="shared" si="0"/>
        <v>0.83499999999999996</v>
      </c>
      <c r="U4" s="92" t="s">
        <v>11</v>
      </c>
      <c r="V4" s="93"/>
    </row>
    <row r="5" spans="1:23" ht="20.100000000000001" customHeight="1" thickBot="1" x14ac:dyDescent="0.3">
      <c r="A5" s="13">
        <v>0.71499999999999997</v>
      </c>
      <c r="B5" s="37">
        <v>35</v>
      </c>
      <c r="C5" s="53">
        <v>789.2</v>
      </c>
      <c r="D5" s="56">
        <v>-8285</v>
      </c>
      <c r="E5" s="53">
        <v>7736</v>
      </c>
      <c r="F5" s="56">
        <v>-5689</v>
      </c>
      <c r="G5" s="53">
        <v>-2.5500000000000002E-3</v>
      </c>
      <c r="H5" s="43">
        <f>IFERROR(ABS(C5/VLOOKUP(2*$B5,$B6:C39,2,TRUE)),"--")</f>
        <v>0.54390075809786353</v>
      </c>
      <c r="I5" s="43">
        <f>IFERROR(ABS(D5/VLOOKUP(2*$B5,$B6:D39,3,TRUE)),"--")</f>
        <v>0.98198411757733794</v>
      </c>
      <c r="J5" s="43">
        <f>IFERROR(ABS(E5/VLOOKUP(2*$B5,$B6:E39,4,TRUE)),"--")</f>
        <v>0.82254120148856991</v>
      </c>
      <c r="K5" s="43">
        <f>IFERROR(ABS(F5/VLOOKUP(2*$B5,$B6:F39,5,TRUE)),"--")</f>
        <v>0.99336476340143176</v>
      </c>
      <c r="L5" s="43">
        <f>IFERROR(ABS(G5/VLOOKUP(2*$B5,$B6:G39,6,TRUE)),"--")</f>
        <v>0.94304733727810663</v>
      </c>
      <c r="M5" s="38">
        <f>IF(AND(1+$Q$6&gt;H5,1-$Q$6&lt;H5,1+$Q$6&gt;I5,1-$Q$6&lt;I5,1+$Q$6&gt;J5,1-$Q$6&lt;J5,1+$Q$6&gt;K5,1-$Q$6&lt;K5,1+$Q$6&gt;L5,1-$Q$6&lt;L5),IF(SUM($M$2:M4)=0,1,0),0)</f>
        <v>0</v>
      </c>
      <c r="N5" s="38">
        <f>IF(AND(1+$Q$7&gt;H5,1-$Q$7&lt;H5,1+$Q$7&gt;I5,1-$Q$7&lt;I5,1+$Q$7&gt;J5,1-$Q$7&lt;J5,1+$Q$7&gt;K5,1-$Q$7&lt;K5,1+$Q$7&gt;L5,1-$Q$7&lt;L5),IF(SUM($N$2:N4)=0,1,0),0)</f>
        <v>0</v>
      </c>
      <c r="O5" s="34">
        <f t="shared" si="0"/>
        <v>0.71499999999999997</v>
      </c>
      <c r="P5" s="71" t="s">
        <v>28</v>
      </c>
      <c r="Q5" s="72"/>
      <c r="R5" s="72"/>
      <c r="S5" s="73"/>
      <c r="U5" s="10" t="s">
        <v>7</v>
      </c>
      <c r="V5" s="12">
        <f>VLOOKUP(1,M2:O1000,3,FALSE)</f>
        <v>0.155</v>
      </c>
    </row>
    <row r="6" spans="1:23" ht="20.100000000000001" customHeight="1" x14ac:dyDescent="0.25">
      <c r="A6" s="13">
        <v>0.7</v>
      </c>
      <c r="B6" s="37">
        <v>40</v>
      </c>
      <c r="C6" s="53">
        <v>1045</v>
      </c>
      <c r="D6" s="56">
        <v>-8464</v>
      </c>
      <c r="E6" s="53">
        <v>8316</v>
      </c>
      <c r="F6" s="56">
        <v>-5645</v>
      </c>
      <c r="G6" s="53">
        <v>-2.6059999999999998E-3</v>
      </c>
      <c r="H6" s="43">
        <f>IFERROR(ABS(C6/VLOOKUP(2*$B6,$B7:C40,2,TRUE)),"--")</f>
        <v>0.72019297036526531</v>
      </c>
      <c r="I6" s="43">
        <f>IFERROR(ABS(D6/VLOOKUP(2*$B6,$B7:D40,3,TRUE)),"--")</f>
        <v>1.0032001896408675</v>
      </c>
      <c r="J6" s="43">
        <f>IFERROR(ABS(E6/VLOOKUP(2*$B6,$B7:E40,4,TRUE)),"--")</f>
        <v>0.88421052631578945</v>
      </c>
      <c r="K6" s="43">
        <f>IFERROR(ABS(F6/VLOOKUP(2*$B6,$B7:F40,5,TRUE)),"--")</f>
        <v>0.98568185786624762</v>
      </c>
      <c r="L6" s="43">
        <f>IFERROR(ABS(G6/VLOOKUP(2*$B6,$B7:G40,6,TRUE)),"--")</f>
        <v>0.96375739644970415</v>
      </c>
      <c r="M6" s="38">
        <f>IF(AND(1+$Q$6&gt;H6,1-$Q$6&lt;H6,1+$Q$6&gt;I6,1-$Q$6&lt;I6,1+$Q$6&gt;J6,1-$Q$6&lt;J6,1+$Q$6&gt;K6,1-$Q$6&lt;K6,1+$Q$6&gt;L6,1-$Q$6&lt;L6),IF(SUM($M$2:M5)=0,1,0),0)</f>
        <v>0</v>
      </c>
      <c r="N6" s="38">
        <f>IF(AND(1+$Q$7&gt;H6,1-$Q$7&lt;H6,1+$Q$7&gt;I6,1-$Q$7&lt;I6,1+$Q$7&gt;J6,1-$Q$7&lt;J6,1+$Q$7&gt;K6,1-$Q$7&lt;K6,1+$Q$7&gt;L6,1-$Q$7&lt;L6),IF(SUM($N$2:N5)=0,1,0),0)</f>
        <v>0</v>
      </c>
      <c r="O6" s="34">
        <f t="shared" si="0"/>
        <v>0.7</v>
      </c>
      <c r="P6" s="48" t="s">
        <v>29</v>
      </c>
      <c r="Q6" s="86">
        <f>Resumo!AB2/100</f>
        <v>0.05</v>
      </c>
      <c r="R6" s="86"/>
      <c r="S6" s="87"/>
    </row>
    <row r="7" spans="1:23" ht="20.100000000000001" customHeight="1" thickBot="1" x14ac:dyDescent="0.3">
      <c r="A7" s="13">
        <v>0.625</v>
      </c>
      <c r="B7" s="37">
        <v>48</v>
      </c>
      <c r="C7" s="53">
        <v>1020</v>
      </c>
      <c r="D7" s="56">
        <v>-8232</v>
      </c>
      <c r="E7" s="53">
        <v>8162</v>
      </c>
      <c r="F7" s="56">
        <v>-5560</v>
      </c>
      <c r="G7" s="53">
        <v>-2.5699999999999998E-3</v>
      </c>
      <c r="H7" s="43">
        <f>IFERROR(ABS(C7/VLOOKUP(2*$B7,$B8:C41,2,TRUE)),"--")</f>
        <v>0.61041292639138245</v>
      </c>
      <c r="I7" s="43">
        <f>IFERROR(ABS(D7/VLOOKUP(2*$B7,$B8:D41,3,TRUE)),"--")</f>
        <v>0.98871006485707424</v>
      </c>
      <c r="J7" s="43">
        <f>IFERROR(ABS(E7/VLOOKUP(2*$B7,$B8:E41,4,TRUE)),"--")</f>
        <v>0.81988950276243089</v>
      </c>
      <c r="K7" s="43">
        <f>IFERROR(ABS(F7/VLOOKUP(2*$B7,$B8:F41,5,TRUE)),"--")</f>
        <v>0.98146513680494263</v>
      </c>
      <c r="L7" s="43">
        <f>IFERROR(ABS(G7/VLOOKUP(2*$B7,$B8:G41,6,TRUE)),"--")</f>
        <v>0.958597538232003</v>
      </c>
      <c r="M7" s="38">
        <f>IF(AND(1+$Q$6&gt;H7,1-$Q$6&lt;H7,1+$Q$6&gt;I7,1-$Q$6&lt;I7,1+$Q$6&gt;J7,1-$Q$6&lt;J7,1+$Q$6&gt;K7,1-$Q$6&lt;K7,1+$Q$6&gt;L7,1-$Q$6&lt;L7),IF(SUM($M$2:M6)=0,1,0),0)</f>
        <v>0</v>
      </c>
      <c r="N7" s="38">
        <f>IF(AND(1+$Q$7&gt;H7,1-$Q$7&lt;H7,1+$Q$7&gt;I7,1-$Q$7&lt;I7,1+$Q$7&gt;J7,1-$Q$7&lt;J7,1+$Q$7&gt;K7,1-$Q$7&lt;K7,1+$Q$7&gt;L7,1-$Q$7&lt;L7),IF(SUM($N$2:N6)=0,1,0),0)</f>
        <v>0</v>
      </c>
      <c r="O7" s="34">
        <f t="shared" si="0"/>
        <v>0.625</v>
      </c>
      <c r="P7" s="49" t="s">
        <v>30</v>
      </c>
      <c r="Q7" s="88">
        <f>Q6/T7</f>
        <v>2.5000000000000001E-2</v>
      </c>
      <c r="R7" s="88"/>
      <c r="S7" s="89"/>
      <c r="T7" s="50">
        <v>2</v>
      </c>
    </row>
    <row r="8" spans="1:23" ht="20.100000000000001" customHeight="1" x14ac:dyDescent="0.25">
      <c r="A8" s="13">
        <v>0.58499999999999996</v>
      </c>
      <c r="B8" s="37">
        <v>54</v>
      </c>
      <c r="C8" s="53">
        <v>1218</v>
      </c>
      <c r="D8" s="56">
        <v>-8132</v>
      </c>
      <c r="E8" s="53">
        <v>8639</v>
      </c>
      <c r="F8" s="56">
        <v>-5550</v>
      </c>
      <c r="G8" s="53">
        <v>-2.5370000000000002E-3</v>
      </c>
      <c r="H8" s="43">
        <f>IFERROR(ABS(C8/VLOOKUP(2*$B8,$B9:C42,2,TRUE)),"--")</f>
        <v>0.71186440677966101</v>
      </c>
      <c r="I8" s="43">
        <f>IFERROR(ABS(D8/VLOOKUP(2*$B8,$B9:D42,3,TRUE)),"--")</f>
        <v>0.96533713200379867</v>
      </c>
      <c r="J8" s="43">
        <f>IFERROR(ABS(E8/VLOOKUP(2*$B8,$B9:E42,4,TRUE)),"--")</f>
        <v>0.85029527559055118</v>
      </c>
      <c r="K8" s="43">
        <f>IFERROR(ABS(F8/VLOOKUP(2*$B8,$B9:F42,5,TRUE)),"--")</f>
        <v>0.95854922279792742</v>
      </c>
      <c r="L8" s="43">
        <f>IFERROR(ABS(G8/VLOOKUP(2*$B8,$B9:G42,6,TRUE)),"--")</f>
        <v>0.92422586520947181</v>
      </c>
      <c r="M8" s="38">
        <f>IF(AND(1+$Q$6&gt;H8,1-$Q$6&lt;H8,1+$Q$6&gt;I8,1-$Q$6&lt;I8,1+$Q$6&gt;J8,1-$Q$6&lt;J8,1+$Q$6&gt;K8,1-$Q$6&lt;K8,1+$Q$6&gt;L8,1-$Q$6&lt;L8),IF(SUM($M$2:M7)=0,1,0),0)</f>
        <v>0</v>
      </c>
      <c r="N8" s="38">
        <f>IF(AND(1+$Q$7&gt;H8,1-$Q$7&lt;H8,1+$Q$7&gt;I8,1-$Q$7&lt;I8,1+$Q$7&gt;J8,1-$Q$7&lt;J8,1+$Q$7&gt;K8,1-$Q$7&lt;K8,1+$Q$7&gt;L8,1-$Q$7&lt;L8),IF(SUM($N$2:N7)=0,1,0),0)</f>
        <v>0</v>
      </c>
      <c r="O8" s="34">
        <f t="shared" si="0"/>
        <v>0.58499999999999996</v>
      </c>
    </row>
    <row r="9" spans="1:23" ht="20.100000000000001" customHeight="1" x14ac:dyDescent="0.25">
      <c r="A9" s="13">
        <v>0.56000000000000005</v>
      </c>
      <c r="B9" s="37">
        <v>63</v>
      </c>
      <c r="C9" s="53">
        <v>1289</v>
      </c>
      <c r="D9" s="56">
        <v>-8306</v>
      </c>
      <c r="E9" s="53">
        <v>8986</v>
      </c>
      <c r="F9" s="56">
        <v>-5782</v>
      </c>
      <c r="G9" s="53">
        <v>-2.6540000000000001E-3</v>
      </c>
      <c r="H9" s="43">
        <f>IFERROR(ABS(C9/VLOOKUP(2*$B9,$B10:C43,2,TRUE)),"--")</f>
        <v>0.71412742382271466</v>
      </c>
      <c r="I9" s="43">
        <f>IFERROR(ABS(D9/VLOOKUP(2*$B9,$B10:D43,3,TRUE)),"--")</f>
        <v>0.98505692599620498</v>
      </c>
      <c r="J9" s="43">
        <f>IFERROR(ABS(E9/VLOOKUP(2*$B9,$B10:E43,4,TRUE)),"--")</f>
        <v>0.86072796934865903</v>
      </c>
      <c r="K9" s="43">
        <f>IFERROR(ABS(F9/VLOOKUP(2*$B9,$B10:F43,5,TRUE)),"--")</f>
        <v>1.0013855213023901</v>
      </c>
      <c r="L9" s="43">
        <f>IFERROR(ABS(G9/VLOOKUP(2*$B9,$B10:G43,6,TRUE)),"--")</f>
        <v>0.96684881602914396</v>
      </c>
      <c r="M9" s="38">
        <f>IF(AND(1+$Q$6&gt;H9,1-$Q$6&lt;H9,1+$Q$6&gt;I9,1-$Q$6&lt;I9,1+$Q$6&gt;J9,1-$Q$6&lt;J9,1+$Q$6&gt;K9,1-$Q$6&lt;K9,1+$Q$6&gt;L9,1-$Q$6&lt;L9),IF(SUM($M$2:M8)=0,1,0),0)</f>
        <v>0</v>
      </c>
      <c r="N9" s="38">
        <f>IF(AND(1+$Q$7&gt;H9,1-$Q$7&lt;H9,1+$Q$7&gt;I9,1-$Q$7&lt;I9,1+$Q$7&gt;J9,1-$Q$7&lt;J9,1+$Q$7&gt;K9,1-$Q$7&lt;K9,1+$Q$7&gt;L9,1-$Q$7&lt;L9),IF(SUM($N$2:N8)=0,1,0),0)</f>
        <v>0</v>
      </c>
      <c r="O9" s="34">
        <f t="shared" si="0"/>
        <v>0.56000000000000005</v>
      </c>
    </row>
    <row r="10" spans="1:23" ht="20.100000000000001" customHeight="1" x14ac:dyDescent="0.25">
      <c r="A10" s="13">
        <v>0.5</v>
      </c>
      <c r="B10" s="37">
        <v>70</v>
      </c>
      <c r="C10" s="53">
        <v>1451</v>
      </c>
      <c r="D10" s="56">
        <v>-8437</v>
      </c>
      <c r="E10" s="53">
        <v>9405</v>
      </c>
      <c r="F10" s="56">
        <v>-5727</v>
      </c>
      <c r="G10" s="53">
        <v>-2.7039999999999998E-3</v>
      </c>
      <c r="H10" s="43">
        <f>IFERROR(ABS(C10/VLOOKUP(2*$B10,$B11:C44,2,TRUE)),"--")</f>
        <v>0.77635098983413586</v>
      </c>
      <c r="I10" s="43">
        <f>IFERROR(ABS(D10/VLOOKUP(2*$B10,$B11:D44,3,TRUE)),"--")</f>
        <v>1.00993536030644</v>
      </c>
      <c r="J10" s="43">
        <f>IFERROR(ABS(E10/VLOOKUP(2*$B10,$B11:E44,4,TRUE)),"--")</f>
        <v>0.88810198300283283</v>
      </c>
      <c r="K10" s="43">
        <f>IFERROR(ABS(F10/VLOOKUP(2*$B10,$B11:F44,5,TRUE)),"--")</f>
        <v>0.99843096234309625</v>
      </c>
      <c r="L10" s="43">
        <f>IFERROR(ABS(G10/VLOOKUP(2*$B10,$B11:G44,6,TRUE)),"--")</f>
        <v>0.99192956713132785</v>
      </c>
      <c r="M10" s="38">
        <f>IF(AND(1+$Q$6&gt;H10,1-$Q$6&lt;H10,1+$Q$6&gt;I10,1-$Q$6&lt;I10,1+$Q$6&gt;J10,1-$Q$6&lt;J10,1+$Q$6&gt;K10,1-$Q$6&lt;K10,1+$Q$6&gt;L10,1-$Q$6&lt;L10),IF(SUM($M$2:M9)=0,1,0),0)</f>
        <v>0</v>
      </c>
      <c r="N10" s="38">
        <f>IF(AND(1+$Q$7&gt;H10,1-$Q$7&lt;H10,1+$Q$7&gt;I10,1-$Q$7&lt;I10,1+$Q$7&gt;J10,1-$Q$7&lt;J10,1+$Q$7&gt;K10,1-$Q$7&lt;K10,1+$Q$7&gt;L10,1-$Q$7&lt;L10),IF(SUM($N$2:N9)=0,1,0),0)</f>
        <v>0</v>
      </c>
      <c r="O10" s="34">
        <f t="shared" si="0"/>
        <v>0.5</v>
      </c>
    </row>
    <row r="11" spans="1:23" ht="20.100000000000001" customHeight="1" x14ac:dyDescent="0.25">
      <c r="A11" s="13">
        <v>0.45500000000000002</v>
      </c>
      <c r="B11" s="37">
        <v>88</v>
      </c>
      <c r="C11" s="53">
        <v>1561</v>
      </c>
      <c r="D11" s="56">
        <v>-8290</v>
      </c>
      <c r="E11" s="53">
        <v>9646</v>
      </c>
      <c r="F11" s="56">
        <v>-5679</v>
      </c>
      <c r="G11" s="53">
        <v>-2.663E-3</v>
      </c>
      <c r="H11" s="43">
        <f>IFERROR(ABS(C11/VLOOKUP(2*$B11,$B12:C45,2,TRUE)),"--")</f>
        <v>0.7701036013813517</v>
      </c>
      <c r="I11" s="43">
        <f>IFERROR(ABS(D11/VLOOKUP(2*$B11,$B12:D45,3,TRUE)),"--")</f>
        <v>0.9851455733808675</v>
      </c>
      <c r="J11" s="43">
        <f>IFERROR(ABS(E11/VLOOKUP(2*$B11,$B12:E45,4,TRUE)),"--")</f>
        <v>0.86588868940754038</v>
      </c>
      <c r="K11" s="43">
        <f>IFERROR(ABS(F11/VLOOKUP(2*$B11,$B12:F45,5,TRUE)),"--")</f>
        <v>0.97896914325116358</v>
      </c>
      <c r="L11" s="43">
        <f>IFERROR(ABS(G11/VLOOKUP(2*$B11,$B12:G45,6,TRUE)),"--")</f>
        <v>0.96241416696783522</v>
      </c>
      <c r="M11" s="38">
        <f>IF(AND(1+$Q$6&gt;H11,1-$Q$6&lt;H11,1+$Q$6&gt;I11,1-$Q$6&lt;I11,1+$Q$6&gt;J11,1-$Q$6&lt;J11,1+$Q$6&gt;K11,1-$Q$6&lt;K11,1+$Q$6&gt;L11,1-$Q$6&lt;L11),IF(SUM($M$2:M10)=0,1,0),0)</f>
        <v>0</v>
      </c>
      <c r="N11" s="38">
        <f>IF(AND(1+$Q$7&gt;H11,1-$Q$7&lt;H11,1+$Q$7&gt;I11,1-$Q$7&lt;I11,1+$Q$7&gt;J11,1-$Q$7&lt;J11,1+$Q$7&gt;K11,1-$Q$7&lt;K11,1+$Q$7&gt;L11,1-$Q$7&lt;L11),IF(SUM($N$2:N10)=0,1,0),0)</f>
        <v>0</v>
      </c>
      <c r="O11" s="34">
        <f t="shared" si="0"/>
        <v>0.45500000000000002</v>
      </c>
    </row>
    <row r="12" spans="1:23" ht="20.100000000000001" customHeight="1" x14ac:dyDescent="0.25">
      <c r="A12" s="13">
        <v>0.44</v>
      </c>
      <c r="B12" s="37">
        <v>96</v>
      </c>
      <c r="C12" s="53">
        <v>1671</v>
      </c>
      <c r="D12" s="56">
        <v>-8326</v>
      </c>
      <c r="E12" s="53">
        <v>9955</v>
      </c>
      <c r="F12" s="56">
        <v>-5665</v>
      </c>
      <c r="G12" s="53">
        <v>-2.6809999999999998E-3</v>
      </c>
      <c r="H12" s="43">
        <f>IFERROR(ABS(C12/VLOOKUP(2*$B12,$B13:C46,2,TRUE)),"--")</f>
        <v>0.8296921549155909</v>
      </c>
      <c r="I12" s="43">
        <f>IFERROR(ABS(D12/VLOOKUP(2*$B12,$B13:D46,3,TRUE)),"--")</f>
        <v>0.99509979682084382</v>
      </c>
      <c r="J12" s="43">
        <f>IFERROR(ABS(E12/VLOOKUP(2*$B12,$B13:E46,4,TRUE)),"--")</f>
        <v>0.89927732610659439</v>
      </c>
      <c r="K12" s="43">
        <f>IFERROR(ABS(F12/VLOOKUP(2*$B12,$B13:F46,5,TRUE)),"--")</f>
        <v>0.98197261223782284</v>
      </c>
      <c r="L12" s="43">
        <f>IFERROR(ABS(G12/VLOOKUP(2*$B12,$B13:G46,6,TRUE)),"--")</f>
        <v>0.97455470737913474</v>
      </c>
      <c r="M12" s="38">
        <f>IF(AND(1+$Q$6&gt;H12,1-$Q$6&lt;H12,1+$Q$6&gt;I12,1-$Q$6&lt;I12,1+$Q$6&gt;J12,1-$Q$6&lt;J12,1+$Q$6&gt;K12,1-$Q$6&lt;K12,1+$Q$6&gt;L12,1-$Q$6&lt;L12),IF(SUM($M$2:M11)=0,1,0),0)</f>
        <v>0</v>
      </c>
      <c r="N12" s="38">
        <f>IF(AND(1+$Q$7&gt;H12,1-$Q$7&lt;H12,1+$Q$7&gt;I12,1-$Q$7&lt;I12,1+$Q$7&gt;J12,1-$Q$7&lt;J12,1+$Q$7&gt;K12,1-$Q$7&lt;K12,1+$Q$7&gt;L12,1-$Q$7&lt;L12),IF(SUM($N$2:N11)=0,1,0),0)</f>
        <v>0</v>
      </c>
      <c r="O12" s="34">
        <f t="shared" si="0"/>
        <v>0.44</v>
      </c>
    </row>
    <row r="13" spans="1:23" ht="20.100000000000001" customHeight="1" x14ac:dyDescent="0.25">
      <c r="A13" s="13">
        <v>0.42</v>
      </c>
      <c r="B13" s="37">
        <v>108</v>
      </c>
      <c r="C13" s="53">
        <v>1711</v>
      </c>
      <c r="D13" s="56">
        <v>-8424</v>
      </c>
      <c r="E13" s="53">
        <v>10160</v>
      </c>
      <c r="F13" s="56">
        <v>-5790</v>
      </c>
      <c r="G13" s="53">
        <v>-2.745E-3</v>
      </c>
      <c r="H13" s="43">
        <f>IFERROR(ABS(C13/VLOOKUP(2*$B13,$B14:C47,2,TRUE)),"--")</f>
        <v>0.82736943907156668</v>
      </c>
      <c r="I13" s="43">
        <f>IFERROR(ABS(D13/VLOOKUP(2*$B13,$B14:D47,3,TRUE)),"--")</f>
        <v>1.0020221244201262</v>
      </c>
      <c r="J13" s="43">
        <f>IFERROR(ABS(E13/VLOOKUP(2*$B13,$B14:E47,4,TRUE)),"--")</f>
        <v>0.90311111111111109</v>
      </c>
      <c r="K13" s="43">
        <f>IFERROR(ABS(F13/VLOOKUP(2*$B13,$B14:F47,5,TRUE)),"--")</f>
        <v>1.0041623309053069</v>
      </c>
      <c r="L13" s="43">
        <f>IFERROR(ABS(G13/VLOOKUP(2*$B13,$B14:G47,6,TRUE)),"--")</f>
        <v>0.99384503982621286</v>
      </c>
      <c r="M13" s="38">
        <f>IF(AND(1+$Q$6&gt;H13,1-$Q$6&lt;H13,1+$Q$6&gt;I13,1-$Q$6&lt;I13,1+$Q$6&gt;J13,1-$Q$6&lt;J13,1+$Q$6&gt;K13,1-$Q$6&lt;K13,1+$Q$6&gt;L13,1-$Q$6&lt;L13),IF(SUM($M$2:M12)=0,1,0),0)</f>
        <v>0</v>
      </c>
      <c r="N13" s="38">
        <f>IF(AND(1+$Q$7&gt;H13,1-$Q$7&lt;H13,1+$Q$7&gt;I13,1-$Q$7&lt;I13,1+$Q$7&gt;J13,1-$Q$7&lt;J13,1+$Q$7&gt;K13,1-$Q$7&lt;K13,1+$Q$7&gt;L13,1-$Q$7&lt;L13),IF(SUM($N$2:N12)=0,1,0),0)</f>
        <v>0</v>
      </c>
      <c r="O13" s="34">
        <f t="shared" si="0"/>
        <v>0.42</v>
      </c>
      <c r="Q13" s="59"/>
      <c r="R13" s="59"/>
      <c r="S13" s="59"/>
      <c r="T13" s="59"/>
      <c r="U13" s="59"/>
      <c r="V13" s="59"/>
      <c r="W13" s="59"/>
    </row>
    <row r="14" spans="1:23" ht="20.100000000000001" customHeight="1" x14ac:dyDescent="0.25">
      <c r="A14" s="13">
        <v>0.39</v>
      </c>
      <c r="B14" s="37">
        <v>117</v>
      </c>
      <c r="C14" s="53">
        <v>1805</v>
      </c>
      <c r="D14" s="56">
        <v>-8432</v>
      </c>
      <c r="E14" s="53">
        <v>10440</v>
      </c>
      <c r="F14" s="56">
        <v>-5774</v>
      </c>
      <c r="G14" s="53">
        <v>-2.745E-3</v>
      </c>
      <c r="H14" s="43">
        <f>IFERROR(ABS(C14/VLOOKUP(2*$B14,$B15:C48,2,TRUE)),"--")</f>
        <v>0.84582942830365515</v>
      </c>
      <c r="I14" s="43">
        <f>IFERROR(ABS(D14/VLOOKUP(2*$B14,$B15:D48,3,TRUE)),"--")</f>
        <v>1</v>
      </c>
      <c r="J14" s="43">
        <f>IFERROR(ABS(E14/VLOOKUP(2*$B14,$B15:E48,4,TRUE)),"--")</f>
        <v>0.90782608695652178</v>
      </c>
      <c r="K14" s="43">
        <f>IFERROR(ABS(F14/VLOOKUP(2*$B14,$B15:F48,5,TRUE)),"--")</f>
        <v>0.99397486658633161</v>
      </c>
      <c r="L14" s="43">
        <f>IFERROR(ABS(G14/VLOOKUP(2*$B14,$B15:G48,6,TRUE)),"--")</f>
        <v>0.98741007194244612</v>
      </c>
      <c r="M14" s="38">
        <f>IF(AND(1+$Q$6&gt;H14,1-$Q$6&lt;H14,1+$Q$6&gt;I14,1-$Q$6&lt;I14,1+$Q$6&gt;J14,1-$Q$6&lt;J14,1+$Q$6&gt;K14,1-$Q$6&lt;K14,1+$Q$6&gt;L14,1-$Q$6&lt;L14),IF(SUM($M$2:M13)=0,1,0),0)</f>
        <v>0</v>
      </c>
      <c r="N14" s="38">
        <f>IF(AND(1+$Q$7&gt;H14,1-$Q$7&lt;H14,1+$Q$7&gt;I14,1-$Q$7&lt;I14,1+$Q$7&gt;J14,1-$Q$7&lt;J14,1+$Q$7&gt;K14,1-$Q$7&lt;K14,1+$Q$7&gt;L14,1-$Q$7&lt;L14),IF(SUM($N$2:N13)=0,1,0),0)</f>
        <v>0</v>
      </c>
      <c r="O14" s="34">
        <f t="shared" si="0"/>
        <v>0.39</v>
      </c>
      <c r="Q14" s="59"/>
      <c r="R14" s="59"/>
      <c r="S14" s="59"/>
      <c r="T14" s="59"/>
      <c r="U14" s="59"/>
      <c r="V14" s="59"/>
      <c r="W14" s="59"/>
    </row>
    <row r="15" spans="1:23" ht="20.100000000000001" customHeight="1" x14ac:dyDescent="0.25">
      <c r="A15" s="13">
        <v>0.38500000000000001</v>
      </c>
      <c r="B15" s="37">
        <v>130</v>
      </c>
      <c r="C15" s="53">
        <v>1789</v>
      </c>
      <c r="D15" s="56">
        <v>-8361</v>
      </c>
      <c r="E15" s="53">
        <v>10350</v>
      </c>
      <c r="F15" s="56">
        <v>-5730</v>
      </c>
      <c r="G15" s="53">
        <v>-2.7239999999999999E-3</v>
      </c>
      <c r="H15" s="43">
        <f>IFERROR(ABS(C15/VLOOKUP(2*$B15,$B16:C49,2,TRUE)),"--")</f>
        <v>0.82177308222324297</v>
      </c>
      <c r="I15" s="43">
        <f>IFERROR(ABS(D15/VLOOKUP(2*$B15,$B16:D49,3,TRUE)),"--")</f>
        <v>0.98876537369914852</v>
      </c>
      <c r="J15" s="43">
        <f>IFERROR(ABS(E15/VLOOKUP(2*$B15,$B16:E49,4,TRUE)),"--")</f>
        <v>0.88917525773195871</v>
      </c>
      <c r="K15" s="43">
        <f>IFERROR(ABS(F15/VLOOKUP(2*$B15,$B16:F49,5,TRUE)),"--")</f>
        <v>0.98521320495185694</v>
      </c>
      <c r="L15" s="43">
        <f>IFERROR(ABS(G15/VLOOKUP(2*$B15,$B16:G49,6,TRUE)),"--")</f>
        <v>0.97564469914040097</v>
      </c>
      <c r="M15" s="38">
        <f>IF(AND(1+$Q$6&gt;H15,1-$Q$6&lt;H15,1+$Q$6&gt;I15,1-$Q$6&lt;I15,1+$Q$6&gt;J15,1-$Q$6&lt;J15,1+$Q$6&gt;K15,1-$Q$6&lt;K15,1+$Q$6&gt;L15,1-$Q$6&lt;L15),IF(SUM($M$2:M14)=0,1,0),0)</f>
        <v>0</v>
      </c>
      <c r="N15" s="38">
        <f>IF(AND(1+$Q$7&gt;H15,1-$Q$7&lt;H15,1+$Q$7&gt;I15,1-$Q$7&lt;I15,1+$Q$7&gt;J15,1-$Q$7&lt;J15,1+$Q$7&gt;K15,1-$Q$7&lt;K15,1+$Q$7&gt;L15,1-$Q$7&lt;L15),IF(SUM($N$2:N14)=0,1,0),0)</f>
        <v>0</v>
      </c>
      <c r="O15" s="34">
        <f t="shared" si="0"/>
        <v>0.38500000000000001</v>
      </c>
      <c r="Q15" s="59"/>
      <c r="R15" s="84"/>
      <c r="S15" s="84"/>
      <c r="T15" s="84"/>
      <c r="U15" s="84"/>
      <c r="V15" s="59"/>
      <c r="W15" s="59"/>
    </row>
    <row r="16" spans="1:23" ht="20.100000000000001" customHeight="1" x14ac:dyDescent="0.25">
      <c r="A16" s="13">
        <v>0.36</v>
      </c>
      <c r="B16" s="37">
        <v>140</v>
      </c>
      <c r="C16" s="53">
        <v>1869</v>
      </c>
      <c r="D16" s="56">
        <v>-8354</v>
      </c>
      <c r="E16" s="53">
        <v>10590</v>
      </c>
      <c r="F16" s="56">
        <v>-5736</v>
      </c>
      <c r="G16" s="53">
        <v>-2.7260000000000001E-3</v>
      </c>
      <c r="H16" s="43">
        <f>IFERROR(ABS(C16/VLOOKUP(2*$B16,$B17:C50,2,TRUE)),"--")</f>
        <v>0.84761904761904761</v>
      </c>
      <c r="I16" s="43">
        <f>IFERROR(ABS(D16/VLOOKUP(2*$B16,$B17:D50,3,TRUE)),"--")</f>
        <v>0.99251514791493411</v>
      </c>
      <c r="J16" s="43">
        <f>IFERROR(ABS(E16/VLOOKUP(2*$B16,$B17:E50,4,TRUE)),"--")</f>
        <v>0.90358361774744023</v>
      </c>
      <c r="K16" s="43">
        <f>IFERROR(ABS(F16/VLOOKUP(2*$B16,$B17:F50,5,TRUE)),"--")</f>
        <v>0.99152981849611066</v>
      </c>
      <c r="L16" s="43">
        <f>IFERROR(ABS(G16/VLOOKUP(2*$B16,$B17:G50,6,TRUE)),"--")</f>
        <v>0.98198847262247846</v>
      </c>
      <c r="M16" s="38">
        <f>IF(AND(1+$Q$6&gt;H16,1-$Q$6&lt;H16,1+$Q$6&gt;I16,1-$Q$6&lt;I16,1+$Q$6&gt;J16,1-$Q$6&lt;J16,1+$Q$6&gt;K16,1-$Q$6&lt;K16,1+$Q$6&gt;L16,1-$Q$6&lt;L16),IF(SUM($M$2:M15)=0,1,0),0)</f>
        <v>0</v>
      </c>
      <c r="N16" s="38">
        <f>IF(AND(1+$Q$7&gt;H16,1-$Q$7&lt;H16,1+$Q$7&gt;I16,1-$Q$7&lt;I16,1+$Q$7&gt;J16,1-$Q$7&lt;J16,1+$Q$7&gt;K16,1-$Q$7&lt;K16,1+$Q$7&gt;L16,1-$Q$7&lt;L16),IF(SUM($N$2:N15)=0,1,0),0)</f>
        <v>0</v>
      </c>
      <c r="O16" s="34">
        <f t="shared" si="0"/>
        <v>0.36</v>
      </c>
      <c r="Q16" s="59"/>
      <c r="R16" s="85"/>
      <c r="S16" s="85"/>
      <c r="T16" s="85"/>
      <c r="U16" s="60"/>
      <c r="V16" s="59"/>
      <c r="W16" s="59"/>
    </row>
    <row r="17" spans="1:23" ht="20.100000000000001" customHeight="1" x14ac:dyDescent="0.25">
      <c r="A17" s="13">
        <v>0.35</v>
      </c>
      <c r="B17" s="37">
        <v>150</v>
      </c>
      <c r="C17" s="53">
        <v>1938</v>
      </c>
      <c r="D17" s="56">
        <v>-8382</v>
      </c>
      <c r="E17" s="53">
        <v>10810</v>
      </c>
      <c r="F17" s="56">
        <v>-5719</v>
      </c>
      <c r="G17" s="53">
        <v>-2.7330000000000002E-3</v>
      </c>
      <c r="H17" s="43">
        <f>IFERROR(ABS(C17/VLOOKUP(2*$B17,$B18:C51,2,TRUE)),"--")</f>
        <v>0.87891156462585029</v>
      </c>
      <c r="I17" s="43">
        <f>IFERROR(ABS(D17/VLOOKUP(2*$B17,$B18:D51,3,TRUE)),"--")</f>
        <v>0.99584174884163001</v>
      </c>
      <c r="J17" s="43">
        <f>IFERROR(ABS(E17/VLOOKUP(2*$B17,$B18:E51,4,TRUE)),"--")</f>
        <v>0.92235494880546076</v>
      </c>
      <c r="K17" s="43">
        <f>IFERROR(ABS(F17/VLOOKUP(2*$B17,$B18:F51,5,TRUE)),"--")</f>
        <v>0.98859118409680202</v>
      </c>
      <c r="L17" s="43">
        <f>IFERROR(ABS(G17/VLOOKUP(2*$B17,$B18:G51,6,TRUE)),"--")</f>
        <v>0.98451008645533156</v>
      </c>
      <c r="M17" s="38">
        <f>IF(AND(1+$Q$6&gt;H17,1-$Q$6&lt;H17,1+$Q$6&gt;I17,1-$Q$6&lt;I17,1+$Q$6&gt;J17,1-$Q$6&lt;J17,1+$Q$6&gt;K17,1-$Q$6&lt;K17,1+$Q$6&gt;L17,1-$Q$6&lt;L17),IF(SUM($M$2:M16)=0,1,0),0)</f>
        <v>0</v>
      </c>
      <c r="N17" s="38">
        <f>IF(AND(1+$Q$7&gt;H17,1-$Q$7&lt;H17,1+$Q$7&gt;I17,1-$Q$7&lt;I17,1+$Q$7&gt;J17,1-$Q$7&lt;J17,1+$Q$7&gt;K17,1-$Q$7&lt;K17,1+$Q$7&gt;L17,1-$Q$7&lt;L17),IF(SUM($N$2:N16)=0,1,0),0)</f>
        <v>0</v>
      </c>
      <c r="O17" s="34">
        <f t="shared" si="0"/>
        <v>0.35</v>
      </c>
      <c r="Q17" s="59"/>
      <c r="R17" s="85"/>
      <c r="S17" s="85"/>
      <c r="T17" s="85"/>
      <c r="U17" s="61"/>
      <c r="V17" s="59"/>
      <c r="W17" s="59"/>
    </row>
    <row r="18" spans="1:23" ht="20.100000000000001" customHeight="1" x14ac:dyDescent="0.25">
      <c r="A18" s="13">
        <v>0.33500000000000002</v>
      </c>
      <c r="B18" s="37">
        <v>165</v>
      </c>
      <c r="C18" s="53">
        <v>1966</v>
      </c>
      <c r="D18" s="56">
        <v>-8446</v>
      </c>
      <c r="E18" s="53">
        <v>10940</v>
      </c>
      <c r="F18" s="56">
        <v>-5797</v>
      </c>
      <c r="G18" s="53">
        <v>-2.7729999999999999E-3</v>
      </c>
      <c r="H18" s="43">
        <f>IFERROR(ABS(C18/VLOOKUP(2*$B18,$B19:C52,2,TRUE)),"--")</f>
        <v>0.86039387308533921</v>
      </c>
      <c r="I18" s="43">
        <f>IFERROR(ABS(D18/VLOOKUP(2*$B18,$B19:D52,3,TRUE)),"--")</f>
        <v>0.99810919404396126</v>
      </c>
      <c r="J18" s="43">
        <f>IFERROR(ABS(E18/VLOOKUP(2*$B18,$B19:E52,4,TRUE)),"--")</f>
        <v>0.90939318370739819</v>
      </c>
      <c r="K18" s="43">
        <f>IFERROR(ABS(F18/VLOOKUP(2*$B18,$B19:F52,5,TRUE)),"--")</f>
        <v>0.99519313304721035</v>
      </c>
      <c r="L18" s="43">
        <f>IFERROR(ABS(G18/VLOOKUP(2*$B18,$B19:G52,6,TRUE)),"--")</f>
        <v>0.99000357015351648</v>
      </c>
      <c r="M18" s="38">
        <f>IF(AND(1+$Q$6&gt;H18,1-$Q$6&lt;H18,1+$Q$6&gt;I18,1-$Q$6&lt;I18,1+$Q$6&gt;J18,1-$Q$6&lt;J18,1+$Q$6&gt;K18,1-$Q$6&lt;K18,1+$Q$6&gt;L18,1-$Q$6&lt;L18),IF(SUM($M$2:M17)=0,1,0),0)</f>
        <v>0</v>
      </c>
      <c r="N18" s="38">
        <f>IF(AND(1+$Q$7&gt;H18,1-$Q$7&lt;H18,1+$Q$7&gt;I18,1-$Q$7&lt;I18,1+$Q$7&gt;J18,1-$Q$7&lt;J18,1+$Q$7&gt;K18,1-$Q$7&lt;K18,1+$Q$7&gt;L18,1-$Q$7&lt;L18),IF(SUM($N$2:N17)=0,1,0),0)</f>
        <v>0</v>
      </c>
      <c r="O18" s="34">
        <f t="shared" si="0"/>
        <v>0.33500000000000002</v>
      </c>
      <c r="Q18" s="59"/>
      <c r="R18" s="59"/>
      <c r="S18" s="59"/>
      <c r="T18" s="59"/>
      <c r="U18" s="59"/>
      <c r="V18" s="59"/>
      <c r="W18" s="59"/>
    </row>
    <row r="19" spans="1:23" ht="20.100000000000001" customHeight="1" x14ac:dyDescent="0.25">
      <c r="A19" s="13">
        <v>0.32</v>
      </c>
      <c r="B19" s="37">
        <v>176</v>
      </c>
      <c r="C19" s="53">
        <v>2027</v>
      </c>
      <c r="D19" s="56">
        <v>-8415</v>
      </c>
      <c r="E19" s="53">
        <v>11140</v>
      </c>
      <c r="F19" s="56">
        <v>-5801</v>
      </c>
      <c r="G19" s="53">
        <v>-2.7669999999999999E-3</v>
      </c>
      <c r="H19" s="43">
        <f>IFERROR(ABS(C19/VLOOKUP(2*$B19,$B20:C53,2,TRUE)),"--")</f>
        <v>0.8902064119455424</v>
      </c>
      <c r="I19" s="43">
        <f>IFERROR(ABS(D19/VLOOKUP(2*$B19,$B20:D53,3,TRUE)),"--")</f>
        <v>0.99751066856330017</v>
      </c>
      <c r="J19" s="43">
        <f>IFERROR(ABS(E19/VLOOKUP(2*$B19,$B20:E53,4,TRUE)),"--")</f>
        <v>0.92910758965804841</v>
      </c>
      <c r="K19" s="43">
        <f>IFERROR(ABS(F19/VLOOKUP(2*$B19,$B20:F53,5,TRUE)),"--")</f>
        <v>0.99913882190837067</v>
      </c>
      <c r="L19" s="43">
        <f>IFERROR(ABS(G19/VLOOKUP(2*$B19,$B20:G53,6,TRUE)),"--")</f>
        <v>0.99140093156574705</v>
      </c>
      <c r="M19" s="38">
        <f>IF(AND(1+$Q$6&gt;H19,1-$Q$6&lt;H19,1+$Q$6&gt;I19,1-$Q$6&lt;I19,1+$Q$6&gt;J19,1-$Q$6&lt;J19,1+$Q$6&gt;K19,1-$Q$6&lt;K19,1+$Q$6&gt;L19,1-$Q$6&lt;L19),IF(SUM($M$2:M18)=0,1,0),0)</f>
        <v>0</v>
      </c>
      <c r="N19" s="38">
        <f>IF(AND(1+$Q$7&gt;H19,1-$Q$7&lt;H19,1+$Q$7&gt;I19,1-$Q$7&lt;I19,1+$Q$7&gt;J19,1-$Q$7&lt;J19,1+$Q$7&gt;K19,1-$Q$7&lt;K19,1+$Q$7&gt;L19,1-$Q$7&lt;L19),IF(SUM($N$2:N18)=0,1,0),0)</f>
        <v>0</v>
      </c>
      <c r="O19" s="34">
        <f t="shared" si="0"/>
        <v>0.32</v>
      </c>
      <c r="Q19" s="59"/>
      <c r="R19" s="59"/>
      <c r="S19" s="59"/>
      <c r="T19" s="59"/>
      <c r="U19" s="59"/>
      <c r="V19" s="59"/>
      <c r="W19" s="59"/>
    </row>
    <row r="20" spans="1:23" ht="20.100000000000001" customHeight="1" x14ac:dyDescent="0.25">
      <c r="A20" s="13">
        <v>0.315</v>
      </c>
      <c r="B20" s="37">
        <v>192</v>
      </c>
      <c r="C20" s="53">
        <v>2014</v>
      </c>
      <c r="D20" s="56">
        <v>-8367</v>
      </c>
      <c r="E20" s="53">
        <v>11070</v>
      </c>
      <c r="F20" s="56">
        <v>-5769</v>
      </c>
      <c r="G20" s="53">
        <v>-2.751E-3</v>
      </c>
      <c r="H20" s="43">
        <f>IFERROR(ABS(C20/VLOOKUP(2*$B20,$B21:C54,2,TRUE)),"--")</f>
        <v>0.87337380745880311</v>
      </c>
      <c r="I20" s="43">
        <f>IFERROR(ABS(D20/VLOOKUP(2*$B20,$B21:D54,3,TRUE)),"--")</f>
        <v>0.99276222116753676</v>
      </c>
      <c r="J20" s="43">
        <f>IFERROR(ABS(E20/VLOOKUP(2*$B20,$B21:E54,4,TRUE)),"--")</f>
        <v>0.91563275434243174</v>
      </c>
      <c r="K20" s="43">
        <f>IFERROR(ABS(F20/VLOOKUP(2*$B20,$B21:F54,5,TRUE)),"--")</f>
        <v>0.99499827526733353</v>
      </c>
      <c r="L20" s="43">
        <f>IFERROR(ABS(G20/VLOOKUP(2*$B20,$B21:G54,6,TRUE)),"--")</f>
        <v>0.98566821927624504</v>
      </c>
      <c r="M20" s="38">
        <f>IF(AND(1+$Q$6&gt;H20,1-$Q$6&lt;H20,1+$Q$6&gt;I20,1-$Q$6&lt;I20,1+$Q$6&gt;J20,1-$Q$6&lt;J20,1+$Q$6&gt;K20,1-$Q$6&lt;K20,1+$Q$6&gt;L20,1-$Q$6&lt;L20),IF(SUM($M$2:M19)=0,1,0),0)</f>
        <v>0</v>
      </c>
      <c r="N20" s="38">
        <f>IF(AND(1+$Q$7&gt;H20,1-$Q$7&lt;H20,1+$Q$7&gt;I20,1-$Q$7&lt;I20,1+$Q$7&gt;J20,1-$Q$7&lt;J20,1+$Q$7&gt;K20,1-$Q$7&lt;K20,1+$Q$7&gt;L20,1-$Q$7&lt;L20),IF(SUM($N$2:N19)=0,1,0),0)</f>
        <v>0</v>
      </c>
      <c r="O20" s="34">
        <f t="shared" si="0"/>
        <v>0.315</v>
      </c>
    </row>
    <row r="21" spans="1:23" ht="20.100000000000001" customHeight="1" x14ac:dyDescent="0.25">
      <c r="A21" s="13">
        <v>0.29499999999999998</v>
      </c>
      <c r="B21" s="37">
        <v>204</v>
      </c>
      <c r="C21" s="53">
        <v>2068</v>
      </c>
      <c r="D21" s="56">
        <v>-8407</v>
      </c>
      <c r="E21" s="53">
        <v>11250</v>
      </c>
      <c r="F21" s="56">
        <v>-5766</v>
      </c>
      <c r="G21" s="53">
        <v>-2.7620000000000001E-3</v>
      </c>
      <c r="H21" s="43">
        <f>IFERROR(ABS(C21/VLOOKUP(2*$B21,$B22:C55,2,TRUE)),"--")</f>
        <v>0.88262910798122063</v>
      </c>
      <c r="I21" s="43">
        <f>IFERROR(ABS(D21/VLOOKUP(2*$B21,$B22:D55,3,TRUE)),"--")</f>
        <v>0.99279641001417096</v>
      </c>
      <c r="J21" s="43">
        <f>IFERROR(ABS(E21/VLOOKUP(2*$B21,$B22:E55,4,TRUE)),"--")</f>
        <v>0.91911764705882348</v>
      </c>
      <c r="K21" s="43">
        <f>IFERROR(ABS(F21/VLOOKUP(2*$B21,$B22:F55,5,TRUE)),"--")</f>
        <v>0.98851362935024856</v>
      </c>
      <c r="L21" s="43">
        <f>IFERROR(ABS(G21/VLOOKUP(2*$B21,$B22:G55,6,TRUE)),"--")</f>
        <v>0.98326806692773239</v>
      </c>
      <c r="M21" s="38">
        <f>IF(AND(1+$Q$6&gt;H21,1-$Q$6&lt;H21,1+$Q$6&gt;I21,1-$Q$6&lt;I21,1+$Q$6&gt;J21,1-$Q$6&lt;J21,1+$Q$6&gt;K21,1-$Q$6&lt;K21,1+$Q$6&gt;L21,1-$Q$6&lt;L21),IF(SUM($M$2:M20)=0,1,0),0)</f>
        <v>0</v>
      </c>
      <c r="N21" s="38">
        <f>IF(AND(1+$Q$7&gt;H21,1-$Q$7&lt;H21,1+$Q$7&gt;I21,1-$Q$7&lt;I21,1+$Q$7&gt;J21,1-$Q$7&lt;J21,1+$Q$7&gt;K21,1-$Q$7&lt;K21,1+$Q$7&gt;L21,1-$Q$7&lt;L21),IF(SUM($N$2:N20)=0,1,0),0)</f>
        <v>0</v>
      </c>
      <c r="O21" s="34">
        <f t="shared" si="0"/>
        <v>0.29499999999999998</v>
      </c>
    </row>
    <row r="22" spans="1:23" ht="20.100000000000001" customHeight="1" x14ac:dyDescent="0.25">
      <c r="A22" s="13">
        <v>0.28000000000000003</v>
      </c>
      <c r="B22" s="37">
        <v>234</v>
      </c>
      <c r="C22" s="53">
        <v>2134</v>
      </c>
      <c r="D22" s="56">
        <v>-8432</v>
      </c>
      <c r="E22" s="53">
        <v>11500</v>
      </c>
      <c r="F22" s="56">
        <v>-5809</v>
      </c>
      <c r="G22" s="53">
        <v>-2.7799999999999999E-3</v>
      </c>
      <c r="H22" s="43">
        <f>IFERROR(ABS(C22/VLOOKUP(2*$B22,$B23:C56,2,TRUE)),"--")</f>
        <v>0.89550986151909362</v>
      </c>
      <c r="I22" s="43">
        <f>IFERROR(ABS(D22/VLOOKUP(2*$B22,$B23:D56,3,TRUE)),"--")</f>
        <v>0.9977517453555792</v>
      </c>
      <c r="J22" s="43">
        <f>IFERROR(ABS(E22/VLOOKUP(2*$B22,$B23:E56,4,TRUE)),"--")</f>
        <v>0.92891760904684972</v>
      </c>
      <c r="K22" s="43">
        <f>IFERROR(ABS(F22/VLOOKUP(2*$B22,$B23:F56,5,TRUE)),"--")</f>
        <v>0.99914000687994498</v>
      </c>
      <c r="L22" s="43">
        <f>IFERROR(ABS(G22/VLOOKUP(2*$B22,$B23:G56,6,TRUE)),"--")</f>
        <v>0.99179450588655016</v>
      </c>
      <c r="M22" s="38">
        <f>IF(AND(1+$Q$6&gt;H22,1-$Q$6&lt;H22,1+$Q$6&gt;I22,1-$Q$6&lt;I22,1+$Q$6&gt;J22,1-$Q$6&lt;J22,1+$Q$6&gt;K22,1-$Q$6&lt;K22,1+$Q$6&gt;L22,1-$Q$6&lt;L22),IF(SUM($M$2:M21)=0,1,0),0)</f>
        <v>0</v>
      </c>
      <c r="N22" s="38">
        <f>IF(AND(1+$Q$7&gt;H22,1-$Q$7&lt;H22,1+$Q$7&gt;I22,1-$Q$7&lt;I22,1+$Q$7&gt;J22,1-$Q$7&lt;J22,1+$Q$7&gt;K22,1-$Q$7&lt;K22,1+$Q$7&gt;L22,1-$Q$7&lt;L22),IF(SUM($N$2:N21)=0,1,0),0)</f>
        <v>0</v>
      </c>
      <c r="O22" s="34">
        <f t="shared" si="0"/>
        <v>0.28000000000000003</v>
      </c>
    </row>
    <row r="23" spans="1:23" ht="20.100000000000001" customHeight="1" x14ac:dyDescent="0.25">
      <c r="A23" s="13">
        <v>0.27</v>
      </c>
      <c r="B23" s="37">
        <v>247</v>
      </c>
      <c r="C23" s="53">
        <v>2177</v>
      </c>
      <c r="D23" s="56">
        <v>-8456</v>
      </c>
      <c r="E23" s="53">
        <v>11640</v>
      </c>
      <c r="F23" s="56">
        <v>-5816</v>
      </c>
      <c r="G23" s="53">
        <v>-2.7920000000000002E-3</v>
      </c>
      <c r="H23" s="43">
        <f>IFERROR(ABS(C23/VLOOKUP(2*$B23,$B24:C57,2,TRUE)),"--")</f>
        <v>0.91355434326479223</v>
      </c>
      <c r="I23" s="43">
        <f>IFERROR(ABS(D23/VLOOKUP(2*$B23,$B24:D57,3,TRUE)),"--")</f>
        <v>1.000591645959058</v>
      </c>
      <c r="J23" s="43">
        <f>IFERROR(ABS(E23/VLOOKUP(2*$B23,$B24:E57,4,TRUE)),"--")</f>
        <v>0.94022617124394181</v>
      </c>
      <c r="K23" s="43">
        <f>IFERROR(ABS(F23/VLOOKUP(2*$B23,$B24:F57,5,TRUE)),"--")</f>
        <v>1.0003439972480219</v>
      </c>
      <c r="L23" s="43">
        <f>IFERROR(ABS(G23/VLOOKUP(2*$B23,$B24:G57,6,TRUE)),"--")</f>
        <v>0.9960756332500893</v>
      </c>
      <c r="M23" s="38">
        <f>IF(AND(1+$Q$6&gt;H23,1-$Q$6&lt;H23,1+$Q$6&gt;I23,1-$Q$6&lt;I23,1+$Q$6&gt;J23,1-$Q$6&lt;J23,1+$Q$6&gt;K23,1-$Q$6&lt;K23,1+$Q$6&gt;L23,1-$Q$6&lt;L23),IF(SUM($M$2:M22)=0,1,0),0)</f>
        <v>0</v>
      </c>
      <c r="N23" s="38">
        <f>IF(AND(1+$Q$7&gt;H23,1-$Q$7&lt;H23,1+$Q$7&gt;I23,1-$Q$7&lt;I23,1+$Q$7&gt;J23,1-$Q$7&lt;J23,1+$Q$7&gt;K23,1-$Q$7&lt;K23,1+$Q$7&gt;L23,1-$Q$7&lt;L23),IF(SUM($N$2:N22)=0,1,0),0)</f>
        <v>0</v>
      </c>
      <c r="O23" s="34">
        <f t="shared" si="0"/>
        <v>0.27</v>
      </c>
    </row>
    <row r="24" spans="1:23" ht="20.100000000000001" customHeight="1" x14ac:dyDescent="0.25">
      <c r="A24" s="13">
        <v>0.26500000000000001</v>
      </c>
      <c r="B24" s="37">
        <v>266</v>
      </c>
      <c r="C24" s="53">
        <v>2167</v>
      </c>
      <c r="D24" s="56">
        <v>-8422</v>
      </c>
      <c r="E24" s="53">
        <v>11590</v>
      </c>
      <c r="F24" s="56">
        <v>-5791</v>
      </c>
      <c r="G24" s="53">
        <v>-2.7789999999999998E-3</v>
      </c>
      <c r="H24" s="43">
        <f>IFERROR(ABS(C24/VLOOKUP(2*$B24,$B25:C58,2,TRUE)),"--")</f>
        <v>0.89140271493212675</v>
      </c>
      <c r="I24" s="43">
        <f>IFERROR(ABS(D24/VLOOKUP(2*$B24,$B25:D58,3,TRUE)),"--")</f>
        <v>0.99398088044376254</v>
      </c>
      <c r="J24" s="43">
        <f>IFERROR(ABS(E24/VLOOKUP(2*$B24,$B25:E58,4,TRUE)),"--")</f>
        <v>0.92203659506762137</v>
      </c>
      <c r="K24" s="43">
        <f>IFERROR(ABS(F24/VLOOKUP(2*$B24,$B25:F58,5,TRUE)),"--")</f>
        <v>0.99245929734361615</v>
      </c>
      <c r="L24" s="43">
        <f>IFERROR(ABS(G24/VLOOKUP(2*$B24,$B25:G58,6,TRUE)),"--")</f>
        <v>0.98686079545454541</v>
      </c>
      <c r="M24" s="38">
        <f>IF(AND(1+$Q$6&gt;H24,1-$Q$6&lt;H24,1+$Q$6&gt;I24,1-$Q$6&lt;I24,1+$Q$6&gt;J24,1-$Q$6&lt;J24,1+$Q$6&gt;K24,1-$Q$6&lt;K24,1+$Q$6&gt;L24,1-$Q$6&lt;L24),IF(SUM($M$2:M23)=0,1,0),0)</f>
        <v>0</v>
      </c>
      <c r="N24" s="38">
        <f>IF(AND(1+$Q$7&gt;H24,1-$Q$7&lt;H24,1+$Q$7&gt;I24,1-$Q$7&lt;I24,1+$Q$7&gt;J24,1-$Q$7&lt;J24,1+$Q$7&gt;K24,1-$Q$7&lt;K24,1+$Q$7&gt;L24,1-$Q$7&lt;L24),IF(SUM($N$2:N23)=0,1,0),0)</f>
        <v>0</v>
      </c>
      <c r="O24" s="34">
        <f t="shared" si="0"/>
        <v>0.26500000000000001</v>
      </c>
    </row>
    <row r="25" spans="1:23" ht="20.100000000000001" customHeight="1" x14ac:dyDescent="0.25">
      <c r="A25" s="13">
        <v>0.25</v>
      </c>
      <c r="B25" s="37">
        <v>280</v>
      </c>
      <c r="C25" s="53">
        <v>2205</v>
      </c>
      <c r="D25" s="56">
        <v>-8417</v>
      </c>
      <c r="E25" s="53">
        <v>11720</v>
      </c>
      <c r="F25" s="56">
        <v>-5785</v>
      </c>
      <c r="G25" s="53">
        <v>-2.7759999999999998E-3</v>
      </c>
      <c r="H25" s="43">
        <f>IFERROR(ABS(C25/VLOOKUP(2*$B25,$B26:C59,2,TRUE)),"--")</f>
        <v>0.90890354492992576</v>
      </c>
      <c r="I25" s="43">
        <f>IFERROR(ABS(D25/VLOOKUP(2*$B25,$B26:D59,3,TRUE)),"--")</f>
        <v>0.99527019037483744</v>
      </c>
      <c r="J25" s="43">
        <f>IFERROR(ABS(E25/VLOOKUP(2*$B25,$B26:E59,4,TRUE)),"--")</f>
        <v>0.93386454183266931</v>
      </c>
      <c r="K25" s="43">
        <f>IFERROR(ABS(F25/VLOOKUP(2*$B25,$B26:F59,5,TRUE)),"--")</f>
        <v>0.9934741542160398</v>
      </c>
      <c r="L25" s="43">
        <f>IFERROR(ABS(G25/VLOOKUP(2*$B25,$B26:G59,6,TRUE)),"--")</f>
        <v>0.98790035587188607</v>
      </c>
      <c r="M25" s="38">
        <f>IF(AND(1+$Q$6&gt;H25,1-$Q$6&lt;H25,1+$Q$6&gt;I25,1-$Q$6&lt;I25,1+$Q$6&gt;J25,1-$Q$6&lt;J25,1+$Q$6&gt;K25,1-$Q$6&lt;K25,1+$Q$6&gt;L25,1-$Q$6&lt;L25),IF(SUM($M$2:M24)=0,1,0),0)</f>
        <v>0</v>
      </c>
      <c r="N25" s="38">
        <f>IF(AND(1+$Q$7&gt;H25,1-$Q$7&lt;H25,1+$Q$7&gt;I25,1-$Q$7&lt;I25,1+$Q$7&gt;J25,1-$Q$7&lt;J25,1+$Q$7&gt;K25,1-$Q$7&lt;K25,1+$Q$7&gt;L25,1-$Q$7&lt;L25),IF(SUM($N$2:N24)=0,1,0),0)</f>
        <v>0</v>
      </c>
      <c r="O25" s="34">
        <f t="shared" si="0"/>
        <v>0.25</v>
      </c>
    </row>
    <row r="26" spans="1:23" ht="20.100000000000001" customHeight="1" x14ac:dyDescent="0.25">
      <c r="A26" s="13">
        <v>0.24</v>
      </c>
      <c r="B26" s="37">
        <v>315</v>
      </c>
      <c r="C26" s="53">
        <v>2254</v>
      </c>
      <c r="D26" s="56">
        <v>-8455</v>
      </c>
      <c r="E26" s="53">
        <v>11920</v>
      </c>
      <c r="F26" s="56">
        <v>-5824</v>
      </c>
      <c r="G26" s="53">
        <v>-2.8010000000000001E-3</v>
      </c>
      <c r="H26" s="43">
        <f>IFERROR(ABS(C26/VLOOKUP(2*$B26,$B27:C60,2,TRUE)),"--")</f>
        <v>0.91366031617349008</v>
      </c>
      <c r="I26" s="43">
        <f>IFERROR(ABS(D26/VLOOKUP(2*$B26,$B27:D60,3,TRUE)),"--")</f>
        <v>0.99775784753363228</v>
      </c>
      <c r="J26" s="43">
        <f>IFERROR(ABS(E26/VLOOKUP(2*$B26,$B27:E60,4,TRUE)),"--")</f>
        <v>0.93784421715184896</v>
      </c>
      <c r="K26" s="43">
        <f>IFERROR(ABS(F26/VLOOKUP(2*$B26,$B27:F60,5,TRUE)),"--")</f>
        <v>0.99657768651608492</v>
      </c>
      <c r="L26" s="43">
        <f>IFERROR(ABS(G26/VLOOKUP(2*$B26,$B27:G60,6,TRUE)),"--")</f>
        <v>0.9932624113475178</v>
      </c>
      <c r="M26" s="38">
        <f>IF(AND(1+$Q$6&gt;H26,1-$Q$6&lt;H26,1+$Q$6&gt;I26,1-$Q$6&lt;I26,1+$Q$6&gt;J26,1-$Q$6&lt;J26,1+$Q$6&gt;K26,1-$Q$6&lt;K26,1+$Q$6&gt;L26,1-$Q$6&lt;L26),IF(SUM($M$2:M25)=0,1,0),0)</f>
        <v>0</v>
      </c>
      <c r="N26" s="38">
        <f>IF(AND(1+$Q$7&gt;H26,1-$Q$7&lt;H26,1+$Q$7&gt;I26,1-$Q$7&lt;I26,1+$Q$7&gt;J26,1-$Q$7&lt;J26,1+$Q$7&gt;K26,1-$Q$7&lt;K26,1+$Q$7&gt;L26,1-$Q$7&lt;L26),IF(SUM($N$2:N25)=0,1,0),0)</f>
        <v>0</v>
      </c>
      <c r="O26" s="34">
        <f t="shared" si="0"/>
        <v>0.24</v>
      </c>
      <c r="S26" s="51"/>
    </row>
    <row r="27" spans="1:23" ht="20.100000000000001" customHeight="1" x14ac:dyDescent="0.25">
      <c r="A27" s="2">
        <v>0.23499999999999999</v>
      </c>
      <c r="B27" s="36">
        <v>330</v>
      </c>
      <c r="C27" s="53">
        <v>2285</v>
      </c>
      <c r="D27" s="56">
        <v>-8462</v>
      </c>
      <c r="E27" s="53">
        <v>12030</v>
      </c>
      <c r="F27" s="56">
        <v>-5825</v>
      </c>
      <c r="G27" s="53">
        <v>-2.8010000000000001E-3</v>
      </c>
      <c r="H27" s="43">
        <f>IFERROR(ABS(C27/VLOOKUP(2*$B27,$B28:C61,2,TRUE)),"--")</f>
        <v>0.92622618565058779</v>
      </c>
      <c r="I27" s="43">
        <f>IFERROR(ABS(D27/VLOOKUP(2*$B27,$B28:D61,3,TRUE)),"--")</f>
        <v>0.99858390370545203</v>
      </c>
      <c r="J27" s="43">
        <f>IFERROR(ABS(E27/VLOOKUP(2*$B27,$B28:E61,4,TRUE)),"--")</f>
        <v>0.94649881982690798</v>
      </c>
      <c r="K27" s="43">
        <f>IFERROR(ABS(F27/VLOOKUP(2*$B27,$B28:F61,5,TRUE)),"--")</f>
        <v>0.99674880219028061</v>
      </c>
      <c r="L27" s="43">
        <f>IFERROR(ABS(G27/VLOOKUP(2*$B27,$B28:G61,6,TRUE)),"--")</f>
        <v>0.9932624113475178</v>
      </c>
      <c r="M27" s="38">
        <f>IF(AND(1+$Q$6&gt;H27,1-$Q$6&lt;H27,1+$Q$6&gt;I27,1-$Q$6&lt;I27,1+$Q$6&gt;J27,1-$Q$6&lt;J27,1+$Q$6&gt;K27,1-$Q$6&lt;K27,1+$Q$6&gt;L27,1-$Q$6&lt;L27),IF(SUM($M$2:M26)=0,1,0),0)</f>
        <v>0</v>
      </c>
      <c r="N27" s="38">
        <f>IF(AND(1+$Q$7&gt;H27,1-$Q$7&lt;H27,1+$Q$7&gt;I27,1-$Q$7&lt;I27,1+$Q$7&gt;J27,1-$Q$7&lt;J27,1+$Q$7&gt;K27,1-$Q$7&lt;K27,1+$Q$7&gt;L27,1-$Q$7&lt;L27),IF(SUM($N$2:N26)=0,1,0),0)</f>
        <v>0</v>
      </c>
      <c r="O27" s="34">
        <f t="shared" si="0"/>
        <v>0.23499999999999999</v>
      </c>
    </row>
    <row r="28" spans="1:23" ht="20.100000000000001" customHeight="1" x14ac:dyDescent="0.25">
      <c r="A28" s="2">
        <v>0.23</v>
      </c>
      <c r="B28" s="36">
        <v>352</v>
      </c>
      <c r="C28" s="53">
        <v>2277</v>
      </c>
      <c r="D28" s="56">
        <v>-8436</v>
      </c>
      <c r="E28" s="53">
        <v>11990</v>
      </c>
      <c r="F28" s="56">
        <v>-5806</v>
      </c>
      <c r="G28" s="53">
        <v>-2.7910000000000001E-3</v>
      </c>
      <c r="H28" s="43">
        <f>IFERROR(ABS(C28/VLOOKUP(2*$B28,$B29:C62,2,TRUE)),"--")</f>
        <v>0.91335740072202165</v>
      </c>
      <c r="I28" s="43">
        <f>IFERROR(ABS(D28/VLOOKUP(2*$B28,$B29:D62,3,TRUE)),"--")</f>
        <v>0.99728100248256291</v>
      </c>
      <c r="J28" s="43">
        <f>IFERROR(ABS(E28/VLOOKUP(2*$B28,$B29:E62,4,TRUE)),"--")</f>
        <v>0.9359875097580016</v>
      </c>
      <c r="K28" s="43">
        <f>IFERROR(ABS(F28/VLOOKUP(2*$B28,$B29:F62,5,TRUE)),"--")</f>
        <v>0.99520054850874184</v>
      </c>
      <c r="L28" s="43">
        <f>IFERROR(ABS(G28/VLOOKUP(2*$B28,$B29:G62,6,TRUE)),"--")</f>
        <v>0.99147424511545301</v>
      </c>
      <c r="M28" s="38">
        <f>IF(AND(1+$Q$6&gt;H28,1-$Q$6&lt;H28,1+$Q$6&gt;I28,1-$Q$6&lt;I28,1+$Q$6&gt;J28,1-$Q$6&lt;J28,1+$Q$6&gt;K28,1-$Q$6&lt;K28,1+$Q$6&gt;L28,1-$Q$6&lt;L28),IF(SUM($M$2:M27)=0,1,0),0)</f>
        <v>0</v>
      </c>
      <c r="N28" s="38">
        <f>IF(AND(1+$Q$7&gt;H28,1-$Q$7&lt;H28,1+$Q$7&gt;I28,1-$Q$7&lt;I28,1+$Q$7&gt;J28,1-$Q$7&lt;J28,1+$Q$7&gt;K28,1-$Q$7&lt;K28,1+$Q$7&gt;L28,1-$Q$7&lt;L28),IF(SUM($N$2:N27)=0,1,0),0)</f>
        <v>0</v>
      </c>
      <c r="O28" s="34">
        <f t="shared" si="0"/>
        <v>0.23</v>
      </c>
    </row>
    <row r="29" spans="1:23" ht="20.100000000000001" customHeight="1" x14ac:dyDescent="0.25">
      <c r="A29" s="2">
        <v>0.22</v>
      </c>
      <c r="B29" s="36">
        <v>368</v>
      </c>
      <c r="C29" s="53">
        <v>2306</v>
      </c>
      <c r="D29" s="56">
        <v>-8428</v>
      </c>
      <c r="E29" s="53">
        <v>12090</v>
      </c>
      <c r="F29" s="56">
        <v>-5798</v>
      </c>
      <c r="G29" s="53">
        <v>-2.7910000000000001E-3</v>
      </c>
      <c r="H29" s="43">
        <f>IFERROR(ABS(C29/VLOOKUP(2*$B29,$B30:C63,2,TRUE)),"--")</f>
        <v>0.92498997192137988</v>
      </c>
      <c r="I29" s="43">
        <f>IFERROR(ABS(D29/VLOOKUP(2*$B29,$B30:D63,3,TRUE)),"--")</f>
        <v>0.99633526421562835</v>
      </c>
      <c r="J29" s="43">
        <f>IFERROR(ABS(E29/VLOOKUP(2*$B29,$B30:E63,4,TRUE)),"--")</f>
        <v>0.94379391100702581</v>
      </c>
      <c r="K29" s="43">
        <f>IFERROR(ABS(F29/VLOOKUP(2*$B29,$B30:F63,5,TRUE)),"--")</f>
        <v>0.9938292766540967</v>
      </c>
      <c r="L29" s="43">
        <f>IFERROR(ABS(G29/VLOOKUP(2*$B29,$B30:G63,6,TRUE)),"--")</f>
        <v>0.99147424511545301</v>
      </c>
      <c r="M29" s="38">
        <f>IF(AND(1+$Q$6&gt;H29,1-$Q$6&lt;H29,1+$Q$6&gt;I29,1-$Q$6&lt;I29,1+$Q$6&gt;J29,1-$Q$6&lt;J29,1+$Q$6&gt;K29,1-$Q$6&lt;K29,1+$Q$6&gt;L29,1-$Q$6&lt;L29),IF(SUM($M$2:M28)=0,1,0),0)</f>
        <v>0</v>
      </c>
      <c r="N29" s="38">
        <f>IF(AND(1+$Q$7&gt;H29,1-$Q$7&lt;H29,1+$Q$7&gt;I29,1-$Q$7&lt;I29,1+$Q$7&gt;J29,1-$Q$7&lt;J29,1+$Q$7&gt;K29,1-$Q$7&lt;K29,1+$Q$7&gt;L29,1-$Q$7&lt;L29),IF(SUM($N$2:N28)=0,1,0),0)</f>
        <v>0</v>
      </c>
      <c r="O29" s="34">
        <f t="shared" si="0"/>
        <v>0.22</v>
      </c>
    </row>
    <row r="30" spans="1:23" ht="20.100000000000001" customHeight="1" x14ac:dyDescent="0.25">
      <c r="A30" s="2">
        <v>0.21</v>
      </c>
      <c r="B30" s="36">
        <v>408</v>
      </c>
      <c r="C30" s="53">
        <v>2343</v>
      </c>
      <c r="D30" s="56">
        <v>-8468</v>
      </c>
      <c r="E30" s="53">
        <v>12240</v>
      </c>
      <c r="F30" s="56">
        <v>-5833</v>
      </c>
      <c r="G30" s="53">
        <v>-2.8089999999999999E-3</v>
      </c>
      <c r="H30" s="43">
        <f>IFERROR(ABS(C30/VLOOKUP(2*$B30,$B31:C64,2,TRUE)),"--")</f>
        <v>0.92939309797699321</v>
      </c>
      <c r="I30" s="43">
        <f>IFERROR(ABS(D30/VLOOKUP(2*$B30,$B31:D64,3,TRUE)),"--")</f>
        <v>1.0002362390739428</v>
      </c>
      <c r="J30" s="43">
        <f>IFERROR(ABS(E30/VLOOKUP(2*$B30,$B31:E64,4,TRUE)),"--")</f>
        <v>0.94736842105263153</v>
      </c>
      <c r="K30" s="43">
        <f>IFERROR(ABS(F30/VLOOKUP(2*$B30,$B31:F64,5,TRUE)),"--")</f>
        <v>0.99880136986301371</v>
      </c>
      <c r="L30" s="43">
        <f>IFERROR(ABS(G30/VLOOKUP(2*$B30,$B31:G64,6,TRUE)),"--")</f>
        <v>0.99680624556422981</v>
      </c>
      <c r="M30" s="38">
        <f>IF(AND(1+$Q$6&gt;H30,1-$Q$6&lt;H30,1+$Q$6&gt;I30,1-$Q$6&lt;I30,1+$Q$6&gt;J30,1-$Q$6&lt;J30,1+$Q$6&gt;K30,1-$Q$6&lt;K30,1+$Q$6&gt;L30,1-$Q$6&lt;L30),IF(SUM($M$2:M29)=0,1,0),0)</f>
        <v>0</v>
      </c>
      <c r="N30" s="38">
        <f>IF(AND(1+$Q$7&gt;H30,1-$Q$7&lt;H30,1+$Q$7&gt;I30,1-$Q$7&lt;I30,1+$Q$7&gt;J30,1-$Q$7&lt;J30,1+$Q$7&gt;K30,1-$Q$7&lt;K30,1+$Q$7&gt;L30,1-$Q$7&lt;L30),IF(SUM($N$2:N29)=0,1,0),0)</f>
        <v>0</v>
      </c>
      <c r="O30" s="34">
        <f t="shared" si="0"/>
        <v>0.21</v>
      </c>
    </row>
    <row r="31" spans="1:23" ht="20.100000000000001" customHeight="1" x14ac:dyDescent="0.25">
      <c r="A31" s="2">
        <v>0.2</v>
      </c>
      <c r="B31" s="36">
        <v>450</v>
      </c>
      <c r="C31" s="53">
        <v>2361</v>
      </c>
      <c r="D31" s="56">
        <v>-8434</v>
      </c>
      <c r="E31" s="53">
        <v>12300</v>
      </c>
      <c r="F31" s="56">
        <v>-5816</v>
      </c>
      <c r="G31" s="53">
        <v>-2.7980000000000001E-3</v>
      </c>
      <c r="H31" s="43">
        <f>IFERROR(ABS(C31/VLOOKUP(2*$B31,$B32:C65,2,TRUE)),"--")</f>
        <v>0.92588235294117649</v>
      </c>
      <c r="I31" s="43">
        <f>IFERROR(ABS(D31/VLOOKUP(2*$B31,$B32:D65,3,TRUE)),"--")</f>
        <v>0.99410655351249411</v>
      </c>
      <c r="J31" s="43">
        <f>IFERROR(ABS(E31/VLOOKUP(2*$B31,$B32:E65,4,TRUE)),"--")</f>
        <v>0.94325153374233128</v>
      </c>
      <c r="K31" s="43">
        <f>IFERROR(ABS(F31/VLOOKUP(2*$B31,$B32:F65,5,TRUE)),"--")</f>
        <v>0.99401811656127159</v>
      </c>
      <c r="L31" s="43">
        <f>IFERROR(ABS(G31/VLOOKUP(2*$B31,$B32:G65,6,TRUE)),"--")</f>
        <v>0.99009200283085641</v>
      </c>
      <c r="M31" s="38">
        <f>IF(AND(1+$Q$6&gt;H31,1-$Q$6&lt;H31,1+$Q$6&gt;I31,1-$Q$6&lt;I31,1+$Q$6&gt;J31,1-$Q$6&lt;J31,1+$Q$6&gt;K31,1-$Q$6&lt;K31,1+$Q$6&gt;L31,1-$Q$6&lt;L31),IF(SUM($M$2:M30)=0,1,0),0)</f>
        <v>0</v>
      </c>
      <c r="N31" s="38">
        <f>IF(AND(1+$Q$7&gt;H31,1-$Q$7&lt;H31,1+$Q$7&gt;I31,1-$Q$7&lt;I31,1+$Q$7&gt;J31,1-$Q$7&lt;J31,1+$Q$7&gt;K31,1-$Q$7&lt;K31,1+$Q$7&gt;L31,1-$Q$7&lt;L31),IF(SUM($N$2:N30)=0,1,0),0)</f>
        <v>0</v>
      </c>
      <c r="O31" s="34">
        <f t="shared" si="0"/>
        <v>0.2</v>
      </c>
    </row>
    <row r="32" spans="1:23" ht="20.100000000000001" customHeight="1" x14ac:dyDescent="0.25">
      <c r="A32" s="2">
        <v>0.19500000000000001</v>
      </c>
      <c r="B32" s="36">
        <v>468</v>
      </c>
      <c r="C32" s="53">
        <v>2383</v>
      </c>
      <c r="D32" s="56">
        <v>-8451</v>
      </c>
      <c r="E32" s="53">
        <v>12380</v>
      </c>
      <c r="F32" s="56">
        <v>-5814</v>
      </c>
      <c r="G32" s="53">
        <v>-2.8029999999999999E-3</v>
      </c>
      <c r="H32" s="43">
        <f>IFERROR(ABS(C32/VLOOKUP(2*$B32,$B33:C66,2,TRUE)),"--")</f>
        <v>0.93450980392156868</v>
      </c>
      <c r="I32" s="43">
        <f>IFERROR(ABS(D32/VLOOKUP(2*$B32,$B33:D66,3,TRUE)),"--")</f>
        <v>0.99611032531824606</v>
      </c>
      <c r="J32" s="43">
        <f>IFERROR(ABS(E32/VLOOKUP(2*$B32,$B33:E66,4,TRUE)),"--")</f>
        <v>0.94938650306748462</v>
      </c>
      <c r="K32" s="43">
        <f>IFERROR(ABS(F32/VLOOKUP(2*$B32,$B33:F66,5,TRUE)),"--")</f>
        <v>0.99367629465048712</v>
      </c>
      <c r="L32" s="43">
        <f>IFERROR(ABS(G32/VLOOKUP(2*$B32,$B33:G66,6,TRUE)),"--")</f>
        <v>0.99186128803963203</v>
      </c>
      <c r="M32" s="38">
        <f>IF(AND(1+$Q$6&gt;H32,1-$Q$6&lt;H32,1+$Q$6&gt;I32,1-$Q$6&lt;I32,1+$Q$6&gt;J32,1-$Q$6&lt;J32,1+$Q$6&gt;K32,1-$Q$6&lt;K32,1+$Q$6&gt;L32,1-$Q$6&lt;L32),IF(SUM($M$2:M31)=0,1,0),0)</f>
        <v>0</v>
      </c>
      <c r="N32" s="38">
        <f>IF(AND(1+$Q$7&gt;H32,1-$Q$7&lt;H32,1+$Q$7&gt;I32,1-$Q$7&lt;I32,1+$Q$7&gt;J32,1-$Q$7&lt;J32,1+$Q$7&gt;K32,1-$Q$7&lt;K32,1+$Q$7&gt;L32,1-$Q$7&lt;L32),IF(SUM($N$2:N31)=0,1,0),0)</f>
        <v>0</v>
      </c>
      <c r="O32" s="34">
        <f t="shared" si="0"/>
        <v>0.19500000000000001</v>
      </c>
    </row>
    <row r="33" spans="1:15" ht="20.100000000000001" customHeight="1" x14ac:dyDescent="0.25">
      <c r="A33" s="2">
        <v>0.19</v>
      </c>
      <c r="B33" s="36">
        <v>513</v>
      </c>
      <c r="C33" s="53">
        <v>2412</v>
      </c>
      <c r="D33" s="56">
        <v>-8466</v>
      </c>
      <c r="E33" s="53">
        <v>12500</v>
      </c>
      <c r="F33" s="56">
        <v>-5840</v>
      </c>
      <c r="G33" s="53">
        <v>-2.8119999999999998E-3</v>
      </c>
      <c r="H33" s="43">
        <f>IFERROR(ABS(C33/VLOOKUP(2*$B33,$B34:C67,2,TRUE)),"--")</f>
        <v>0.93961823139851963</v>
      </c>
      <c r="I33" s="43">
        <f>IFERROR(ABS(D33/VLOOKUP(2*$B33,$B34:D67,3,TRUE)),"--")</f>
        <v>0.99846680033022761</v>
      </c>
      <c r="J33" s="43">
        <f>IFERROR(ABS(E33/VLOOKUP(2*$B33,$B34:E67,4,TRUE)),"--")</f>
        <v>0.95347063310450042</v>
      </c>
      <c r="K33" s="43">
        <f>IFERROR(ABS(F33/VLOOKUP(2*$B33,$B34:F67,5,TRUE)),"--")</f>
        <v>0.99914456800684348</v>
      </c>
      <c r="L33" s="43">
        <f>IFERROR(ABS(G33/VLOOKUP(2*$B33,$B34:G67,6,TRUE)),"--")</f>
        <v>0.99575070821529732</v>
      </c>
      <c r="M33" s="38">
        <f>IF(AND(1+$Q$6&gt;H33,1-$Q$6&lt;H33,1+$Q$6&gt;I33,1-$Q$6&lt;I33,1+$Q$6&gt;J33,1-$Q$6&lt;J33,1+$Q$6&gt;K33,1-$Q$6&lt;K33,1+$Q$6&gt;L33,1-$Q$6&lt;L33),IF(SUM($M$2:M32)=0,1,0),0)</f>
        <v>0</v>
      </c>
      <c r="N33" s="38">
        <f>IF(AND(1+$Q$7&gt;H33,1-$Q$7&lt;H33,1+$Q$7&gt;I33,1-$Q$7&lt;I33,1+$Q$7&gt;J33,1-$Q$7&lt;J33,1+$Q$7&gt;K33,1-$Q$7&lt;K33,1+$Q$7&gt;L33,1-$Q$7&lt;L33),IF(SUM($N$2:N32)=0,1,0),0)</f>
        <v>0</v>
      </c>
      <c r="O33" s="34">
        <f t="shared" si="0"/>
        <v>0.19</v>
      </c>
    </row>
    <row r="34" spans="1:15" ht="20.100000000000001" customHeight="1" x14ac:dyDescent="0.25">
      <c r="A34" s="2">
        <v>0.185</v>
      </c>
      <c r="B34" s="36">
        <v>532</v>
      </c>
      <c r="C34" s="53">
        <v>2431</v>
      </c>
      <c r="D34" s="56">
        <v>-8473</v>
      </c>
      <c r="E34" s="53">
        <v>12570</v>
      </c>
      <c r="F34" s="56">
        <v>-5835</v>
      </c>
      <c r="G34" s="53">
        <v>-2.8159999999999999E-3</v>
      </c>
      <c r="H34" s="43">
        <f>IFERROR(ABS(C34/VLOOKUP(2*$B34,$B35:C68,2,TRUE)),"--")</f>
        <v>0.94188299108872531</v>
      </c>
      <c r="I34" s="43">
        <f>IFERROR(ABS(D34/VLOOKUP(2*$B34,$B35:D68,3,TRUE)),"--")</f>
        <v>0.99846806504831487</v>
      </c>
      <c r="J34" s="43">
        <f>IFERROR(ABS(E34/VLOOKUP(2*$B34,$B35:E68,4,TRUE)),"--")</f>
        <v>0.95444191343963558</v>
      </c>
      <c r="K34" s="43">
        <f>IFERROR(ABS(F34/VLOOKUP(2*$B34,$B35:F68,5,TRUE)),"--")</f>
        <v>0.9964139344262295</v>
      </c>
      <c r="L34" s="43">
        <f>IFERROR(ABS(G34/VLOOKUP(2*$B34,$B35:G68,6,TRUE)),"--")</f>
        <v>0.99505300353356885</v>
      </c>
      <c r="M34" s="38">
        <f>IF(AND(1+$Q$6&gt;H34,1-$Q$6&lt;H34,1+$Q$6&gt;I34,1-$Q$6&lt;I34,1+$Q$6&gt;J34,1-$Q$6&lt;J34,1+$Q$6&gt;K34,1-$Q$6&lt;K34,1+$Q$6&gt;L34,1-$Q$6&lt;L34),IF(SUM($M$2:M33)=0,1,0),0)</f>
        <v>0</v>
      </c>
      <c r="N34" s="38">
        <f>IF(AND(1+$Q$7&gt;H34,1-$Q$7&lt;H34,1+$Q$7&gt;I34,1-$Q$7&lt;I34,1+$Q$7&gt;J34,1-$Q$7&lt;J34,1+$Q$7&gt;K34,1-$Q$7&lt;K34,1+$Q$7&gt;L34,1-$Q$7&lt;L34),IF(SUM($N$2:N33)=0,1,0),0)</f>
        <v>0</v>
      </c>
      <c r="O34" s="34">
        <f t="shared" si="0"/>
        <v>0.185</v>
      </c>
    </row>
    <row r="35" spans="1:15" ht="20.100000000000001" customHeight="1" x14ac:dyDescent="0.25">
      <c r="A35" s="2">
        <v>0.18</v>
      </c>
      <c r="B35" s="36">
        <v>560</v>
      </c>
      <c r="C35" s="53">
        <v>2426</v>
      </c>
      <c r="D35" s="56">
        <v>-8457</v>
      </c>
      <c r="E35" s="53">
        <v>12550</v>
      </c>
      <c r="F35" s="56">
        <v>-5823</v>
      </c>
      <c r="G35" s="53">
        <v>-2.81E-3</v>
      </c>
      <c r="H35" s="43">
        <f>IFERROR(ABS(C35/VLOOKUP(2*$B35,$B36:C69,2,TRUE)),"--")</f>
        <v>0.93776575183610356</v>
      </c>
      <c r="I35" s="43">
        <f>IFERROR(ABS(D35/VLOOKUP(2*$B35,$B36:D69,3,TRUE)),"--")</f>
        <v>0.99693504656371568</v>
      </c>
      <c r="J35" s="43">
        <f>IFERROR(ABS(E35/VLOOKUP(2*$B35,$B36:E69,4,TRUE)),"--")</f>
        <v>0.95147839272175894</v>
      </c>
      <c r="K35" s="43">
        <f>IFERROR(ABS(F35/VLOOKUP(2*$B35,$B36:F69,5,TRUE)),"--")</f>
        <v>0.99538461538461542</v>
      </c>
      <c r="L35" s="43">
        <f>IFERROR(ABS(G35/VLOOKUP(2*$B35,$B36:G69,6,TRUE)),"--")</f>
        <v>0.99398655818889281</v>
      </c>
      <c r="M35" s="38">
        <f>IF(AND(1+$Q$6&gt;H35,1-$Q$6&lt;H35,1+$Q$6&gt;I35,1-$Q$6&lt;I35,1+$Q$6&gt;J35,1-$Q$6&lt;J35,1+$Q$6&gt;K35,1-$Q$6&lt;K35,1+$Q$6&gt;L35,1-$Q$6&lt;L35),IF(SUM($M$2:M34)=0,1,0),0)</f>
        <v>0</v>
      </c>
      <c r="N35" s="38">
        <f>IF(AND(1+$Q$7&gt;H35,1-$Q$7&lt;H35,1+$Q$7&gt;I35,1-$Q$7&lt;I35,1+$Q$7&gt;J35,1-$Q$7&lt;J35,1+$Q$7&gt;K35,1-$Q$7&lt;K35,1+$Q$7&gt;L35,1-$Q$7&lt;L35),IF(SUM($N$2:N34)=0,1,0),0)</f>
        <v>0</v>
      </c>
      <c r="O35" s="34">
        <f t="shared" si="0"/>
        <v>0.18</v>
      </c>
    </row>
    <row r="36" spans="1:15" ht="20.100000000000001" customHeight="1" x14ac:dyDescent="0.25">
      <c r="A36" s="2">
        <v>0.17499999999999999</v>
      </c>
      <c r="B36" s="36">
        <v>580</v>
      </c>
      <c r="C36" s="53">
        <v>2444</v>
      </c>
      <c r="D36" s="56">
        <v>-8458</v>
      </c>
      <c r="E36" s="53">
        <v>12610</v>
      </c>
      <c r="F36" s="56">
        <v>-5826</v>
      </c>
      <c r="G36" s="53">
        <v>-2.8080000000000002E-3</v>
      </c>
      <c r="H36" s="43">
        <f>IFERROR(ABS(C36/VLOOKUP(2*$B36,$B37:C70,2,TRUE)),"--")</f>
        <v>0.94472361809045224</v>
      </c>
      <c r="I36" s="43">
        <f>IFERROR(ABS(D36/VLOOKUP(2*$B36,$B37:D70,3,TRUE)),"--")</f>
        <v>0.99705292938818812</v>
      </c>
      <c r="J36" s="43">
        <f>IFERROR(ABS(E36/VLOOKUP(2*$B36,$B37:E70,4,TRUE)),"--")</f>
        <v>0.95602729340409398</v>
      </c>
      <c r="K36" s="43">
        <f>IFERROR(ABS(F36/VLOOKUP(2*$B36,$B37:F70,5,TRUE)),"--")</f>
        <v>0.99589743589743585</v>
      </c>
      <c r="L36" s="43">
        <f>IFERROR(ABS(G36/VLOOKUP(2*$B36,$B37:G70,6,TRUE)),"--")</f>
        <v>0.99327909444640961</v>
      </c>
      <c r="M36" s="38">
        <f>IF(AND(1+$Q$6&gt;H36,1-$Q$6&lt;H36,1+$Q$6&gt;I36,1-$Q$6&lt;I36,1+$Q$6&gt;J36,1-$Q$6&lt;J36,1+$Q$6&gt;K36,1-$Q$6&lt;K36,1+$Q$6&gt;L36,1-$Q$6&lt;L36),IF(SUM($M$2:M35)=0,1,0),0)</f>
        <v>0</v>
      </c>
      <c r="N36" s="38">
        <f>IF(AND(1+$Q$7&gt;H36,1-$Q$7&lt;H36,1+$Q$7&gt;I36,1-$Q$7&lt;I36,1+$Q$7&gt;J36,1-$Q$7&lt;J36,1+$Q$7&gt;K36,1-$Q$7&lt;K36,1+$Q$7&gt;L36,1-$Q$7&lt;L36),IF(SUM($N$2:N35)=0,1,0),0)</f>
        <v>0</v>
      </c>
      <c r="O36" s="34">
        <f t="shared" si="0"/>
        <v>0.17499999999999999</v>
      </c>
    </row>
    <row r="37" spans="1:15" ht="20.100000000000001" customHeight="1" x14ac:dyDescent="0.25">
      <c r="A37" s="2">
        <v>0.17</v>
      </c>
      <c r="B37" s="36">
        <v>630</v>
      </c>
      <c r="C37" s="53">
        <v>2467</v>
      </c>
      <c r="D37" s="56">
        <v>-8474</v>
      </c>
      <c r="E37" s="53">
        <v>12710</v>
      </c>
      <c r="F37" s="56">
        <v>-5844</v>
      </c>
      <c r="G37" s="53">
        <v>-2.82E-3</v>
      </c>
      <c r="H37" s="43">
        <f>IFERROR(ABS(C37/VLOOKUP(2*$B37,$B38:C71,2,TRUE)),"--")</f>
        <v>0.94666155026861087</v>
      </c>
      <c r="I37" s="43">
        <f>IFERROR(ABS(D37/VLOOKUP(2*$B37,$B38:D71,3,TRUE)),"--")</f>
        <v>0.99846824555202074</v>
      </c>
      <c r="J37" s="43">
        <f>IFERROR(ABS(E37/VLOOKUP(2*$B37,$B38:E71,4,TRUE)),"--")</f>
        <v>0.95852187028657621</v>
      </c>
      <c r="K37" s="43">
        <f>IFERROR(ABS(F37/VLOOKUP(2*$B37,$B38:F71,5,TRUE)),"--")</f>
        <v>0.9982917663136317</v>
      </c>
      <c r="L37" s="43">
        <f>IFERROR(ABS(G37/VLOOKUP(2*$B37,$B38:G71,6,TRUE)),"--")</f>
        <v>0.99646643109540634</v>
      </c>
      <c r="M37" s="38">
        <f>IF(AND(1+$Q$6&gt;H37,1-$Q$6&lt;H37,1+$Q$6&gt;I37,1-$Q$6&lt;I37,1+$Q$6&gt;J37,1-$Q$6&lt;J37,1+$Q$6&gt;K37,1-$Q$6&lt;K37,1+$Q$6&gt;L37,1-$Q$6&lt;L37),IF(SUM($M$2:M36)=0,1,0),0)</f>
        <v>0</v>
      </c>
      <c r="N37" s="38">
        <f>IF(AND(1+$Q$7&gt;H37,1-$Q$7&lt;H37,1+$Q$7&gt;I37,1-$Q$7&lt;I37,1+$Q$7&gt;J37,1-$Q$7&lt;J37,1+$Q$7&gt;K37,1-$Q$7&lt;K37,1+$Q$7&gt;L37,1-$Q$7&lt;L37),IF(SUM($N$2:N36)=0,1,0),0)</f>
        <v>0</v>
      </c>
      <c r="O37" s="34">
        <f t="shared" si="0"/>
        <v>0.17</v>
      </c>
    </row>
    <row r="38" spans="1:15" ht="20.100000000000001" customHeight="1" x14ac:dyDescent="0.25">
      <c r="A38" s="2">
        <v>0.16500000000000001</v>
      </c>
      <c r="B38" s="36">
        <v>682</v>
      </c>
      <c r="C38" s="53">
        <v>2478</v>
      </c>
      <c r="D38" s="56">
        <v>-8466</v>
      </c>
      <c r="E38" s="53">
        <v>12750</v>
      </c>
      <c r="F38" s="56">
        <v>-5832</v>
      </c>
      <c r="G38" s="53">
        <v>-2.8149999999999998E-3</v>
      </c>
      <c r="H38" s="43">
        <f>IFERROR(ABS(C38/VLOOKUP(2*$B38,$B39:C72,2,TRUE)),"--")</f>
        <v>0.94399999999999995</v>
      </c>
      <c r="I38" s="43">
        <f>IFERROR(ABS(D38/VLOOKUP(2*$B38,$B39:D72,3,TRUE)),"--")</f>
        <v>0.99658622719246615</v>
      </c>
      <c r="J38" s="43">
        <f>IFERROR(ABS(E38/VLOOKUP(2*$B38,$B39:E72,4,TRUE)),"--")</f>
        <v>0.95577211394302852</v>
      </c>
      <c r="K38" s="43">
        <f>IFERROR(ABS(F38/VLOOKUP(2*$B38,$B39:F72,5,TRUE)),"--")</f>
        <v>0.99488229273285567</v>
      </c>
      <c r="L38" s="43">
        <f>IFERROR(ABS(G38/VLOOKUP(2*$B38,$B39:G72,6,TRUE)),"--")</f>
        <v>0.99294532627865961</v>
      </c>
      <c r="M38" s="38">
        <f>IF(AND(1+$Q$6&gt;H38,1-$Q$6&lt;H38,1+$Q$6&gt;I38,1-$Q$6&lt;I38,1+$Q$6&gt;J38,1-$Q$6&lt;J38,1+$Q$6&gt;K38,1-$Q$6&lt;K38,1+$Q$6&gt;L38,1-$Q$6&lt;L38),IF(SUM($M$2:M37)=0,1,0),0)</f>
        <v>0</v>
      </c>
      <c r="N38" s="38">
        <f>IF(AND(1+$Q$7&gt;H38,1-$Q$7&lt;H38,1+$Q$7&gt;I38,1-$Q$7&lt;I38,1+$Q$7&gt;J38,1-$Q$7&lt;J38,1+$Q$7&gt;K38,1-$Q$7&lt;K38,1+$Q$7&gt;L38,1-$Q$7&lt;L38),IF(SUM($N$2:N37)=0,1,0),0)</f>
        <v>0</v>
      </c>
      <c r="O38" s="34">
        <f t="shared" si="0"/>
        <v>0.16500000000000001</v>
      </c>
    </row>
    <row r="39" spans="1:15" ht="20.100000000000001" customHeight="1" x14ac:dyDescent="0.25">
      <c r="A39" s="2">
        <v>0.16</v>
      </c>
      <c r="B39" s="36">
        <v>704</v>
      </c>
      <c r="C39" s="53">
        <v>2493</v>
      </c>
      <c r="D39" s="56">
        <v>-8459</v>
      </c>
      <c r="E39" s="53">
        <v>12810</v>
      </c>
      <c r="F39" s="56">
        <v>-5834</v>
      </c>
      <c r="G39" s="53">
        <v>-2.8149999999999998E-3</v>
      </c>
      <c r="H39" s="43">
        <f>IFERROR(ABS(C39/VLOOKUP(2*$B39,$B40:C73,2,TRUE)),"--")</f>
        <v>0.94971428571428573</v>
      </c>
      <c r="I39" s="43">
        <f>IFERROR(ABS(D39/VLOOKUP(2*$B39,$B40:D73,3,TRUE)),"--")</f>
        <v>0.99576221306650969</v>
      </c>
      <c r="J39" s="43">
        <f>IFERROR(ABS(E39/VLOOKUP(2*$B39,$B40:E73,4,TRUE)),"--")</f>
        <v>0.96026986506746626</v>
      </c>
      <c r="K39" s="43">
        <f>IFERROR(ABS(F39/VLOOKUP(2*$B39,$B40:F73,5,TRUE)),"--")</f>
        <v>0.99522347321733196</v>
      </c>
      <c r="L39" s="43">
        <f>IFERROR(ABS(G39/VLOOKUP(2*$B39,$B40:G73,6,TRUE)),"--")</f>
        <v>0.99294532627865961</v>
      </c>
      <c r="M39" s="38">
        <f>IF(AND(1+$Q$6&gt;H39,1-$Q$6&lt;H39,1+$Q$6&gt;I39,1-$Q$6&lt;I39,1+$Q$6&gt;J39,1-$Q$6&lt;J39,1+$Q$6&gt;K39,1-$Q$6&lt;K39,1+$Q$6&gt;L39,1-$Q$6&lt;L39),IF(SUM($M$2:M38)=0,1,0),0)</f>
        <v>0</v>
      </c>
      <c r="N39" s="38">
        <f>IF(AND(1+$Q$7&gt;H39,1-$Q$7&lt;H39,1+$Q$7&gt;I39,1-$Q$7&lt;I39,1+$Q$7&gt;J39,1-$Q$7&lt;J39,1+$Q$7&gt;K39,1-$Q$7&lt;K39,1+$Q$7&gt;L39,1-$Q$7&lt;L39),IF(SUM($N$2:N38)=0,1,0),0)</f>
        <v>0</v>
      </c>
      <c r="O39" s="34">
        <f t="shared" si="0"/>
        <v>0.16</v>
      </c>
    </row>
    <row r="40" spans="1:15" ht="20.100000000000001" customHeight="1" x14ac:dyDescent="0.25">
      <c r="A40" s="2">
        <v>0.155</v>
      </c>
      <c r="B40" s="36">
        <v>759</v>
      </c>
      <c r="C40" s="53">
        <v>2512</v>
      </c>
      <c r="D40" s="56">
        <v>-8483</v>
      </c>
      <c r="E40" s="53">
        <v>12890</v>
      </c>
      <c r="F40" s="56">
        <v>-5847</v>
      </c>
      <c r="G40" s="53">
        <v>-2.8249999999999998E-3</v>
      </c>
      <c r="H40" s="43">
        <f>IFERROR(ABS(C40/VLOOKUP(2*$B40,$B41:C74,2,TRUE)),"--")</f>
        <v>0.95295902883156303</v>
      </c>
      <c r="I40" s="43">
        <f>IFERROR(ABS(D40/VLOOKUP(2*$B40,$B41:D74,3,TRUE)),"--")</f>
        <v>0.99929320296854751</v>
      </c>
      <c r="J40" s="43">
        <f>IFERROR(ABS(E40/VLOOKUP(2*$B40,$B41:E74,4,TRUE)),"--")</f>
        <v>0.96265870052277824</v>
      </c>
      <c r="K40" s="43">
        <f>IFERROR(ABS(F40/VLOOKUP(2*$B40,$B41:F74,5,TRUE)),"--")</f>
        <v>0.9982926412839338</v>
      </c>
      <c r="L40" s="43">
        <f>IFERROR(ABS(G40/VLOOKUP(2*$B40,$B41:G74,6,TRUE)),"--")</f>
        <v>0.99717613836921981</v>
      </c>
      <c r="M40" s="38">
        <f>IF(AND(1+$Q$6&gt;H40,1-$Q$6&lt;H40,1+$Q$6&gt;I40,1-$Q$6&lt;I40,1+$Q$6&gt;J40,1-$Q$6&lt;J40,1+$Q$6&gt;K40,1-$Q$6&lt;K40,1+$Q$6&gt;L40,1-$Q$6&lt;L40),IF(SUM($M$2:M39)=0,1,0),0)</f>
        <v>1</v>
      </c>
      <c r="N40" s="38">
        <f>IF(AND(1+$Q$7&gt;H40,1-$Q$7&lt;H40,1+$Q$7&gt;I40,1-$Q$7&lt;I40,1+$Q$7&gt;J40,1-$Q$7&lt;J40,1+$Q$7&gt;K40,1-$Q$7&lt;K40,1+$Q$7&gt;L40,1-$Q$7&lt;L40),IF(SUM($N$2:N39)=0,1,0),0)</f>
        <v>0</v>
      </c>
      <c r="O40" s="34">
        <f t="shared" si="0"/>
        <v>0.155</v>
      </c>
    </row>
    <row r="41" spans="1:15" ht="20.100000000000001" customHeight="1" x14ac:dyDescent="0.25">
      <c r="A41" s="2">
        <v>0.15</v>
      </c>
      <c r="B41" s="36">
        <v>816</v>
      </c>
      <c r="C41" s="53">
        <v>2521</v>
      </c>
      <c r="D41" s="56">
        <v>-8466</v>
      </c>
      <c r="E41" s="53">
        <v>12920</v>
      </c>
      <c r="F41" s="56">
        <v>-5840</v>
      </c>
      <c r="G41" s="53">
        <v>-2.8180000000000002E-3</v>
      </c>
      <c r="H41" s="43">
        <f>IFERROR(ABS(C41/VLOOKUP(2*$B41,$B42:C75,2,TRUE)),"--")</f>
        <v>0.95132075471698119</v>
      </c>
      <c r="I41" s="43">
        <f>IFERROR(ABS(D41/VLOOKUP(2*$B41,$B42:D75,3,TRUE)),"--")</f>
        <v>0.99717314487632513</v>
      </c>
      <c r="J41" s="43">
        <f>IFERROR(ABS(E41/VLOOKUP(2*$B41,$B42:E75,4,TRUE)),"--")</f>
        <v>0.96059479553903349</v>
      </c>
      <c r="K41" s="43">
        <f>IFERROR(ABS(F41/VLOOKUP(2*$B41,$B42:F75,5,TRUE)),"--")</f>
        <v>0.99641699368708414</v>
      </c>
      <c r="L41" s="43">
        <f>IFERROR(ABS(G41/VLOOKUP(2*$B41,$B42:G75,6,TRUE)),"--")</f>
        <v>0.99435426958362738</v>
      </c>
      <c r="M41" s="38">
        <f>IF(AND(1+$Q$6&gt;H41,1-$Q$6&lt;H41,1+$Q$6&gt;I41,1-$Q$6&lt;I41,1+$Q$6&gt;J41,1-$Q$6&lt;J41,1+$Q$6&gt;K41,1-$Q$6&lt;K41,1+$Q$6&gt;L41,1-$Q$6&lt;L41),IF(SUM($M$2:M40)=0,1,0),0)</f>
        <v>0</v>
      </c>
      <c r="N41" s="38">
        <f>IF(AND(1+$Q$7&gt;H41,1-$Q$7&lt;H41,1+$Q$7&gt;I41,1-$Q$7&lt;I41,1+$Q$7&gt;J41,1-$Q$7&lt;J41,1+$Q$7&gt;K41,1-$Q$7&lt;K41,1+$Q$7&gt;L41,1-$Q$7&lt;L41),IF(SUM($N$2:N40)=0,1,0),0)</f>
        <v>0</v>
      </c>
      <c r="O41" s="34">
        <f t="shared" si="0"/>
        <v>0.15</v>
      </c>
    </row>
    <row r="42" spans="1:15" ht="20.100000000000001" customHeight="1" x14ac:dyDescent="0.25">
      <c r="A42" s="2">
        <v>0.14499999999999999</v>
      </c>
      <c r="B42" s="36">
        <v>875</v>
      </c>
      <c r="C42" s="53">
        <v>2538</v>
      </c>
      <c r="D42" s="56">
        <v>-8486</v>
      </c>
      <c r="E42" s="53">
        <v>12990</v>
      </c>
      <c r="F42" s="56">
        <v>-5853</v>
      </c>
      <c r="G42" s="53">
        <v>-2.8279999999999998E-3</v>
      </c>
      <c r="H42" s="43">
        <f>IFERROR(ABS(C42/VLOOKUP(2*$B42,$B43:C76,2,TRUE)),"--")</f>
        <v>0.95234521575984987</v>
      </c>
      <c r="I42" s="43">
        <f>IFERROR(ABS(D42/VLOOKUP(2*$B42,$B43:D76,3,TRUE)),"--")</f>
        <v>0.99870542544427443</v>
      </c>
      <c r="J42" s="43">
        <f>IFERROR(ABS(E42/VLOOKUP(2*$B42,$B43:E76,4,TRUE)),"--")</f>
        <v>0.96150999259807546</v>
      </c>
      <c r="K42" s="43">
        <f>IFERROR(ABS(F42/VLOOKUP(2*$B42,$B43:F76,5,TRUE)),"--")</f>
        <v>0.99761377194477585</v>
      </c>
      <c r="L42" s="43">
        <f>IFERROR(ABS(G42/VLOOKUP(2*$B42,$B43:G76,6,TRUE)),"--")</f>
        <v>0.99647639182522907</v>
      </c>
      <c r="M42" s="38">
        <f>IF(AND(1+$Q$6&gt;H42,1-$Q$6&lt;H42,1+$Q$6&gt;I42,1-$Q$6&lt;I42,1+$Q$6&gt;J42,1-$Q$6&lt;J42,1+$Q$6&gt;K42,1-$Q$6&lt;K42,1+$Q$6&gt;L42,1-$Q$6&lt;L42),IF(SUM($M$2:M41)=0,1,0),0)</f>
        <v>0</v>
      </c>
      <c r="N42" s="38">
        <f>IF(AND(1+$Q$7&gt;H42,1-$Q$7&lt;H42,1+$Q$7&gt;I42,1-$Q$7&lt;I42,1+$Q$7&gt;J42,1-$Q$7&lt;J42,1+$Q$7&gt;K42,1-$Q$7&lt;K42,1+$Q$7&gt;L42,1-$Q$7&lt;L42),IF(SUM($N$2:N41)=0,1,0),0)</f>
        <v>0</v>
      </c>
      <c r="O42" s="34">
        <f t="shared" si="0"/>
        <v>0.14499999999999999</v>
      </c>
    </row>
    <row r="43" spans="1:15" ht="20.100000000000001" customHeight="1" x14ac:dyDescent="0.25">
      <c r="A43" s="2">
        <v>0.14000000000000001</v>
      </c>
      <c r="B43" s="36">
        <v>900</v>
      </c>
      <c r="C43" s="53">
        <v>2550</v>
      </c>
      <c r="D43" s="56">
        <v>-8484</v>
      </c>
      <c r="E43" s="53">
        <v>13040</v>
      </c>
      <c r="F43" s="56">
        <v>-5851</v>
      </c>
      <c r="G43" s="53">
        <v>-2.826E-3</v>
      </c>
      <c r="H43" s="43">
        <f>IFERROR(ABS(C43/VLOOKUP(2*$B43,$B44:C77,2,TRUE)),"--")</f>
        <v>0.95684803001876173</v>
      </c>
      <c r="I43" s="43">
        <f>IFERROR(ABS(D43/VLOOKUP(2*$B43,$B44:D77,3,TRUE)),"--")</f>
        <v>0.99847004825232433</v>
      </c>
      <c r="J43" s="43">
        <f>IFERROR(ABS(E43/VLOOKUP(2*$B43,$B44:E77,4,TRUE)),"--")</f>
        <v>0.96521095484826058</v>
      </c>
      <c r="K43" s="43">
        <f>IFERROR(ABS(F43/VLOOKUP(2*$B43,$B44:F77,5,TRUE)),"--")</f>
        <v>0.99727288222260102</v>
      </c>
      <c r="L43" s="43">
        <f>IFERROR(ABS(G43/VLOOKUP(2*$B43,$B44:G77,6,TRUE)),"--")</f>
        <v>0.9957716701902749</v>
      </c>
      <c r="M43" s="38">
        <f>IF(AND(1+$Q$6&gt;H43,1-$Q$6&lt;H43,1+$Q$6&gt;I43,1-$Q$6&lt;I43,1+$Q$6&gt;J43,1-$Q$6&lt;J43,1+$Q$6&gt;K43,1-$Q$6&lt;K43,1+$Q$6&gt;L43,1-$Q$6&lt;L43),IF(SUM($M$2:M42)=0,1,0),0)</f>
        <v>0</v>
      </c>
      <c r="N43" s="38">
        <f>IF(AND(1+$Q$7&gt;H43,1-$Q$7&lt;H43,1+$Q$7&gt;I43,1-$Q$7&lt;I43,1+$Q$7&gt;J43,1-$Q$7&lt;J43,1+$Q$7&gt;K43,1-$Q$7&lt;K43,1+$Q$7&gt;L43,1-$Q$7&lt;L43),IF(SUM($N$2:N42)=0,1,0),0)</f>
        <v>0</v>
      </c>
      <c r="O43" s="34">
        <f t="shared" si="0"/>
        <v>0.14000000000000001</v>
      </c>
    </row>
    <row r="44" spans="1:15" ht="20.100000000000001" customHeight="1" x14ac:dyDescent="0.25">
      <c r="A44" s="2">
        <v>0.13500000000000001</v>
      </c>
      <c r="B44" s="36">
        <v>988</v>
      </c>
      <c r="C44" s="53">
        <v>2567</v>
      </c>
      <c r="D44" s="56">
        <v>-8479</v>
      </c>
      <c r="E44" s="53">
        <v>13110</v>
      </c>
      <c r="F44" s="56">
        <v>-5845</v>
      </c>
      <c r="G44" s="53">
        <v>-2.8240000000000001E-3</v>
      </c>
      <c r="H44" s="43">
        <f>IFERROR(ABS(C44/VLOOKUP(2*$B44,$B45:C78,2,TRUE)),"--")</f>
        <v>0.95747855277881389</v>
      </c>
      <c r="I44" s="43">
        <f>IFERROR(ABS(D44/VLOOKUP(2*$B44,$B45:D78,3,TRUE)),"--")</f>
        <v>0.99729475417548807</v>
      </c>
      <c r="J44" s="43">
        <f>IFERROR(ABS(E44/VLOOKUP(2*$B44,$B45:E78,4,TRUE)),"--")</f>
        <v>0.96539027982326953</v>
      </c>
      <c r="K44" s="43">
        <f>IFERROR(ABS(F44/VLOOKUP(2*$B44,$B45:F78,5,TRUE)),"--")</f>
        <v>0.99591071732833536</v>
      </c>
      <c r="L44" s="43">
        <f>IFERROR(ABS(G44/VLOOKUP(2*$B44,$B45:G78,6,TRUE)),"--")</f>
        <v>0.9943661971830986</v>
      </c>
      <c r="M44" s="38">
        <f>IF(AND(1+$Q$6&gt;H44,1-$Q$6&lt;H44,1+$Q$6&gt;I44,1-$Q$6&lt;I44,1+$Q$6&gt;J44,1-$Q$6&lt;J44,1+$Q$6&gt;K44,1-$Q$6&lt;K44,1+$Q$6&gt;L44,1-$Q$6&lt;L44),IF(SUM($M$2:M43)=0,1,0),0)</f>
        <v>0</v>
      </c>
      <c r="N44" s="38">
        <f>IF(AND(1+$Q$7&gt;H44,1-$Q$7&lt;H44,1+$Q$7&gt;I44,1-$Q$7&lt;I44,1+$Q$7&gt;J44,1-$Q$7&lt;J44,1+$Q$7&gt;K44,1-$Q$7&lt;K44,1+$Q$7&gt;L44,1-$Q$7&lt;L44),IF(SUM($N$2:N43)=0,1,0),0)</f>
        <v>0</v>
      </c>
      <c r="O44" s="34">
        <f t="shared" si="0"/>
        <v>0.13500000000000001</v>
      </c>
    </row>
    <row r="45" spans="1:15" ht="20.100000000000001" customHeight="1" x14ac:dyDescent="0.25">
      <c r="A45" s="2">
        <v>0.13</v>
      </c>
      <c r="B45" s="36">
        <v>1053</v>
      </c>
      <c r="C45" s="53">
        <v>2581</v>
      </c>
      <c r="D45" s="56">
        <v>-8486</v>
      </c>
      <c r="E45" s="53">
        <v>13170</v>
      </c>
      <c r="F45" s="56">
        <v>-5856</v>
      </c>
      <c r="G45" s="53">
        <v>-2.8300000000000001E-3</v>
      </c>
      <c r="H45" s="43">
        <f>IFERROR(ABS(C45/VLOOKUP(2*$B45,$B46:C79,2,TRUE)),"--")</f>
        <v>0.96270048489369642</v>
      </c>
      <c r="I45" s="43">
        <f>IFERROR(ABS(D45/VLOOKUP(2*$B45,$B46:D79,3,TRUE)),"--")</f>
        <v>0.99811808986120909</v>
      </c>
      <c r="J45" s="43">
        <f>IFERROR(ABS(E45/VLOOKUP(2*$B45,$B46:E79,4,TRUE)),"--")</f>
        <v>0.96980854197349042</v>
      </c>
      <c r="K45" s="43">
        <f>IFERROR(ABS(F45/VLOOKUP(2*$B45,$B46:F79,5,TRUE)),"--")</f>
        <v>0.99778497188618165</v>
      </c>
      <c r="L45" s="43">
        <f>IFERROR(ABS(G45/VLOOKUP(2*$B45,$B46:G79,6,TRUE)),"--")</f>
        <v>0.99647887323943662</v>
      </c>
      <c r="M45" s="38">
        <f>IF(AND(1+$Q$6&gt;H45,1-$Q$6&lt;H45,1+$Q$6&gt;I45,1-$Q$6&lt;I45,1+$Q$6&gt;J45,1-$Q$6&lt;J45,1+$Q$6&gt;K45,1-$Q$6&lt;K45,1+$Q$6&gt;L45,1-$Q$6&lt;L45),IF(SUM($M$2:M44)=0,1,0),0)</f>
        <v>0</v>
      </c>
      <c r="N45" s="38">
        <f>IF(AND(1+$Q$7&gt;H45,1-$Q$7&lt;H45,1+$Q$7&gt;I45,1-$Q$7&lt;I45,1+$Q$7&gt;J45,1-$Q$7&lt;J45,1+$Q$7&gt;K45,1-$Q$7&lt;K45,1+$Q$7&gt;L45,1-$Q$7&lt;L45),IF(SUM($N$2:N44)=0,1,0),0)</f>
        <v>0</v>
      </c>
      <c r="O45" s="34">
        <f t="shared" si="0"/>
        <v>0.13</v>
      </c>
    </row>
    <row r="46" spans="1:15" ht="20.100000000000001" customHeight="1" x14ac:dyDescent="0.25">
      <c r="A46" s="2">
        <v>0.125</v>
      </c>
      <c r="B46" s="36">
        <v>1120</v>
      </c>
      <c r="C46" s="53">
        <v>2587</v>
      </c>
      <c r="D46" s="56">
        <v>-8483</v>
      </c>
      <c r="E46" s="53">
        <v>13190</v>
      </c>
      <c r="F46" s="56">
        <v>-5850</v>
      </c>
      <c r="G46" s="53">
        <v>-2.8270000000000001E-3</v>
      </c>
      <c r="H46" s="43">
        <f>IFERROR(ABS(C46/VLOOKUP(2*$B46,$B47:C80,2,TRUE)),"--")</f>
        <v>0.95956973293768544</v>
      </c>
      <c r="I46" s="43">
        <f>IFERROR(ABS(D46/VLOOKUP(2*$B46,$B47:D80,3,TRUE)),"--")</f>
        <v>0.99741328630217518</v>
      </c>
      <c r="J46" s="43">
        <f>IFERROR(ABS(E46/VLOOKUP(2*$B46,$B47:E80,4,TRUE)),"--")</f>
        <v>0.96630036630036631</v>
      </c>
      <c r="K46" s="43">
        <f>IFERROR(ABS(F46/VLOOKUP(2*$B46,$B47:F80,5,TRUE)),"--")</f>
        <v>0.99642309657639239</v>
      </c>
      <c r="L46" s="43">
        <f>IFERROR(ABS(G46/VLOOKUP(2*$B46,$B47:G80,6,TRUE)),"--")</f>
        <v>0.99507215769095381</v>
      </c>
      <c r="M46" s="38">
        <f>IF(AND(1+$Q$6&gt;H46,1-$Q$6&lt;H46,1+$Q$6&gt;I46,1-$Q$6&lt;I46,1+$Q$6&gt;J46,1-$Q$6&lt;J46,1+$Q$6&gt;K46,1-$Q$6&lt;K46,1+$Q$6&gt;L46,1-$Q$6&lt;L46),IF(SUM($M$2:M45)=0,1,0),0)</f>
        <v>0</v>
      </c>
      <c r="N46" s="38">
        <f>IF(AND(1+$Q$7&gt;H46,1-$Q$7&lt;H46,1+$Q$7&gt;I46,1-$Q$7&lt;I46,1+$Q$7&gt;J46,1-$Q$7&lt;J46,1+$Q$7&gt;K46,1-$Q$7&lt;K46,1+$Q$7&gt;L46,1-$Q$7&lt;L46),IF(SUM($N$2:N45)=0,1,0),0)</f>
        <v>0</v>
      </c>
      <c r="O46" s="34">
        <f t="shared" si="0"/>
        <v>0.125</v>
      </c>
    </row>
    <row r="47" spans="1:15" ht="20.100000000000001" customHeight="1" x14ac:dyDescent="0.25">
      <c r="A47" s="2">
        <v>0.12</v>
      </c>
      <c r="B47" s="36">
        <v>1260</v>
      </c>
      <c r="C47" s="53">
        <v>2606</v>
      </c>
      <c r="D47" s="56">
        <v>-8487</v>
      </c>
      <c r="E47" s="53">
        <v>13260</v>
      </c>
      <c r="F47" s="56">
        <v>-5854</v>
      </c>
      <c r="G47" s="53">
        <v>-2.8300000000000001E-3</v>
      </c>
      <c r="H47" s="43">
        <f>IFERROR(ABS(C47/VLOOKUP(2*$B47,$B48:C81,2,TRUE)),"--")</f>
        <v>0.96233382570162485</v>
      </c>
      <c r="I47" s="43">
        <f>IFERROR(ABS(D47/VLOOKUP(2*$B47,$B48:D81,3,TRUE)),"--")</f>
        <v>0.99835313492530287</v>
      </c>
      <c r="J47" s="43">
        <f>IFERROR(ABS(E47/VLOOKUP(2*$B47,$B48:E81,4,TRUE)),"--")</f>
        <v>0.96788321167883207</v>
      </c>
      <c r="K47" s="43">
        <f>IFERROR(ABS(F47/VLOOKUP(2*$B47,$B48:F81,5,TRUE)),"--")</f>
        <v>0.99744419833020959</v>
      </c>
      <c r="L47" s="43">
        <f>IFERROR(ABS(G47/VLOOKUP(2*$B47,$B48:G81,6,TRUE)),"--")</f>
        <v>0.99647887323943662</v>
      </c>
      <c r="M47" s="38">
        <f>IF(AND(1+$Q$6&gt;H47,1-$Q$6&lt;H47,1+$Q$6&gt;I47,1-$Q$6&lt;I47,1+$Q$6&gt;J47,1-$Q$6&lt;J47,1+$Q$6&gt;K47,1-$Q$6&lt;K47,1+$Q$6&gt;L47,1-$Q$6&lt;L47),IF(SUM($M$2:M46)=0,1,0),0)</f>
        <v>0</v>
      </c>
      <c r="N47" s="38">
        <f>IF(AND(1+$Q$7&gt;H47,1-$Q$7&lt;H47,1+$Q$7&gt;I47,1-$Q$7&lt;I47,1+$Q$7&gt;J47,1-$Q$7&lt;J47,1+$Q$7&gt;K47,1-$Q$7&lt;K47,1+$Q$7&gt;L47,1-$Q$7&lt;L47),IF(SUM($N$2:N46)=0,1,0),0)</f>
        <v>0</v>
      </c>
      <c r="O47" s="34">
        <f t="shared" si="0"/>
        <v>0.12</v>
      </c>
    </row>
    <row r="48" spans="1:15" ht="20.100000000000001" customHeight="1" x14ac:dyDescent="0.25">
      <c r="A48" s="2">
        <v>0.115</v>
      </c>
      <c r="B48" s="36">
        <v>1364</v>
      </c>
      <c r="C48" s="53">
        <v>2625</v>
      </c>
      <c r="D48" s="56">
        <v>-8495</v>
      </c>
      <c r="E48" s="53">
        <v>13340</v>
      </c>
      <c r="F48" s="56">
        <v>-5862</v>
      </c>
      <c r="G48" s="53">
        <v>-2.8349999999999998E-3</v>
      </c>
      <c r="H48" s="43">
        <f>IFERROR(ABS(C48/VLOOKUP(2*$B48,$B49:C82,2,TRUE)),"--")</f>
        <v>0.96935007385524374</v>
      </c>
      <c r="I48" s="43">
        <f>IFERROR(ABS(D48/VLOOKUP(2*$B48,$B49:D82,3,TRUE)),"--")</f>
        <v>0.9992942006822727</v>
      </c>
      <c r="J48" s="43">
        <f>IFERROR(ABS(E48/VLOOKUP(2*$B48,$B49:E82,4,TRUE)),"--")</f>
        <v>0.97372262773722629</v>
      </c>
      <c r="K48" s="43">
        <f>IFERROR(ABS(F48/VLOOKUP(2*$B48,$B49:F82,5,TRUE)),"--")</f>
        <v>0.99880729255409784</v>
      </c>
      <c r="L48" s="43">
        <f>IFERROR(ABS(G48/VLOOKUP(2*$B48,$B49:G82,6,TRUE)),"--")</f>
        <v>0.99823943661971826</v>
      </c>
      <c r="M48" s="38">
        <f>IF(AND(1+$Q$6&gt;H48,1-$Q$6&lt;H48,1+$Q$6&gt;I48,1-$Q$6&lt;I48,1+$Q$6&gt;J48,1-$Q$6&lt;J48,1+$Q$6&gt;K48,1-$Q$6&lt;K48,1+$Q$6&gt;L48,1-$Q$6&lt;L48),IF(SUM($M$2:M47)=0,1,0),0)</f>
        <v>0</v>
      </c>
      <c r="N48" s="38">
        <f>IF(AND(1+$Q$7&gt;H48,1-$Q$7&lt;H48,1+$Q$7&gt;I48,1-$Q$7&lt;I48,1+$Q$7&gt;J48,1-$Q$7&lt;J48,1+$Q$7&gt;K48,1-$Q$7&lt;K48,1+$Q$7&gt;L48,1-$Q$7&lt;L48),IF(SUM($N$2:N47)=0,1,0),0)</f>
        <v>0</v>
      </c>
      <c r="O48" s="34">
        <f t="shared" si="0"/>
        <v>0.115</v>
      </c>
    </row>
    <row r="49" spans="1:15" ht="20.100000000000001" customHeight="1" x14ac:dyDescent="0.25">
      <c r="A49" s="2">
        <v>0.11</v>
      </c>
      <c r="B49" s="36">
        <v>1472</v>
      </c>
      <c r="C49" s="53">
        <v>2636</v>
      </c>
      <c r="D49" s="56">
        <v>-8489</v>
      </c>
      <c r="E49" s="53">
        <v>13390</v>
      </c>
      <c r="F49" s="56">
        <v>-5857</v>
      </c>
      <c r="G49" s="53">
        <v>-2.833E-3</v>
      </c>
      <c r="H49" s="43">
        <f>IFERROR(ABS(C49/VLOOKUP(2*$B49,$B50:C83,2,TRUE)),"--")</f>
        <v>0.96769456681350952</v>
      </c>
      <c r="I49" s="43">
        <f>IFERROR(ABS(D49/VLOOKUP(2*$B49,$B50:D83,3,TRUE)),"--")</f>
        <v>0.99811875367430924</v>
      </c>
      <c r="J49" s="43">
        <f>IFERROR(ABS(E49/VLOOKUP(2*$B49,$B50:E83,4,TRUE)),"--")</f>
        <v>0.97311046511627908</v>
      </c>
      <c r="K49" s="43">
        <f>IFERROR(ABS(F49/VLOOKUP(2*$B49,$B50:F83,5,TRUE)),"--")</f>
        <v>0.997615397717595</v>
      </c>
      <c r="L49" s="43">
        <f>IFERROR(ABS(G49/VLOOKUP(2*$B49,$B50:G83,6,TRUE)),"--")</f>
        <v>0.99718409010911646</v>
      </c>
      <c r="M49" s="38">
        <f>IF(AND(1+$Q$6&gt;H49,1-$Q$6&lt;H49,1+$Q$6&gt;I49,1-$Q$6&lt;I49,1+$Q$6&gt;J49,1-$Q$6&lt;J49,1+$Q$6&gt;K49,1-$Q$6&lt;K49,1+$Q$6&gt;L49,1-$Q$6&lt;L49),IF(SUM($M$2:M48)=0,1,0),0)</f>
        <v>0</v>
      </c>
      <c r="N49" s="38">
        <f>IF(AND(1+$Q$7&gt;H49,1-$Q$7&lt;H49,1+$Q$7&gt;I49,1-$Q$7&lt;I49,1+$Q$7&gt;J49,1-$Q$7&lt;J49,1+$Q$7&gt;K49,1-$Q$7&lt;K49,1+$Q$7&gt;L49,1-$Q$7&lt;L49),IF(SUM($N$2:N48)=0,1,0),0)</f>
        <v>0</v>
      </c>
      <c r="O49" s="34">
        <f t="shared" si="0"/>
        <v>0.11</v>
      </c>
    </row>
    <row r="50" spans="1:15" ht="20.100000000000001" customHeight="1" x14ac:dyDescent="0.25">
      <c r="A50" s="2">
        <v>0.105</v>
      </c>
      <c r="B50" s="36">
        <v>1632</v>
      </c>
      <c r="C50" s="53">
        <v>2650</v>
      </c>
      <c r="D50" s="56">
        <v>-8490</v>
      </c>
      <c r="E50" s="53">
        <v>13450</v>
      </c>
      <c r="F50" s="56">
        <v>-5861</v>
      </c>
      <c r="G50" s="53">
        <v>-2.8340000000000001E-3</v>
      </c>
      <c r="H50" s="43">
        <f>IFERROR(ABS(C50/VLOOKUP(2*$B50,$B51:C84,2,TRUE)),"--")</f>
        <v>0.96750638919313614</v>
      </c>
      <c r="I50" s="43">
        <f>IFERROR(ABS(D50/VLOOKUP(2*$B50,$B51:D84,3,TRUE)),"--")</f>
        <v>0.99764982373678024</v>
      </c>
      <c r="J50" s="43">
        <f>IFERROR(ABS(E50/VLOOKUP(2*$B50,$B51:E84,4,TRUE)),"--")</f>
        <v>0.97252349963846707</v>
      </c>
      <c r="K50" s="43">
        <f>IFERROR(ABS(F50/VLOOKUP(2*$B50,$B51:F84,5,TRUE)),"--")</f>
        <v>0.99761702127659579</v>
      </c>
      <c r="L50" s="43">
        <f>IFERROR(ABS(G50/VLOOKUP(2*$B50,$B51:G84,6,TRUE)),"--")</f>
        <v>0.996133567662566</v>
      </c>
      <c r="M50" s="38">
        <f>IF(AND(1+$Q$6&gt;H50,1-$Q$6&lt;H50,1+$Q$6&gt;I50,1-$Q$6&lt;I50,1+$Q$6&gt;J50,1-$Q$6&lt;J50,1+$Q$6&gt;K50,1-$Q$6&lt;K50,1+$Q$6&gt;L50,1-$Q$6&lt;L50),IF(SUM($M$2:M49)=0,1,0),0)</f>
        <v>0</v>
      </c>
      <c r="N50" s="38">
        <f>IF(AND(1+$Q$7&gt;H50,1-$Q$7&lt;H50,1+$Q$7&gt;I50,1-$Q$7&lt;I50,1+$Q$7&gt;J50,1-$Q$7&lt;J50,1+$Q$7&gt;K50,1-$Q$7&lt;K50,1+$Q$7&gt;L50,1-$Q$7&lt;L50),IF(SUM($N$2:N49)=0,1,0),0)</f>
        <v>0</v>
      </c>
      <c r="O50" s="34">
        <f t="shared" si="0"/>
        <v>0.105</v>
      </c>
    </row>
    <row r="51" spans="1:15" ht="20.100000000000001" customHeight="1" x14ac:dyDescent="0.25">
      <c r="A51" s="2">
        <v>0.1</v>
      </c>
      <c r="B51" s="36">
        <v>1750</v>
      </c>
      <c r="C51" s="53">
        <v>2665</v>
      </c>
      <c r="D51" s="56">
        <v>-8497</v>
      </c>
      <c r="E51" s="53">
        <v>13510</v>
      </c>
      <c r="F51" s="56">
        <v>-5867</v>
      </c>
      <c r="G51" s="53">
        <v>-2.8379999999999998E-3</v>
      </c>
      <c r="H51" s="43">
        <f>IFERROR(ABS(C51/VLOOKUP(2*$B51,$B52:C85,2,TRUE)),"--")</f>
        <v>0.97298284045271999</v>
      </c>
      <c r="I51" s="43">
        <f>IFERROR(ABS(D51/VLOOKUP(2*$B51,$B52:D85,3,TRUE)),"--")</f>
        <v>0.99847238542890715</v>
      </c>
      <c r="J51" s="43">
        <f>IFERROR(ABS(E51/VLOOKUP(2*$B51,$B52:E85,4,TRUE)),"--")</f>
        <v>0.97686189443239335</v>
      </c>
      <c r="K51" s="43">
        <f>IFERROR(ABS(F51/VLOOKUP(2*$B51,$B52:F85,5,TRUE)),"--")</f>
        <v>0.99863829787234037</v>
      </c>
      <c r="L51" s="43">
        <f>IFERROR(ABS(G51/VLOOKUP(2*$B51,$B52:G85,6,TRUE)),"--")</f>
        <v>0.99753954305799641</v>
      </c>
      <c r="M51" s="38">
        <f>IF(AND(1+$Q$6&gt;H51,1-$Q$6&lt;H51,1+$Q$6&gt;I51,1-$Q$6&lt;I51,1+$Q$6&gt;J51,1-$Q$6&lt;J51,1+$Q$6&gt;K51,1-$Q$6&lt;K51,1+$Q$6&gt;L51,1-$Q$6&lt;L51),IF(SUM($M$2:M50)=0,1,0),0)</f>
        <v>0</v>
      </c>
      <c r="N51" s="38">
        <f>IF(AND(1+$Q$7&gt;H51,1-$Q$7&lt;H51,1+$Q$7&gt;I51,1-$Q$7&lt;I51,1+$Q$7&gt;J51,1-$Q$7&lt;J51,1+$Q$7&gt;K51,1-$Q$7&lt;K51,1+$Q$7&gt;L51,1-$Q$7&lt;L51),IF(SUM($N$2:N50)=0,1,0),0)</f>
        <v>0</v>
      </c>
      <c r="O51" s="34">
        <f t="shared" si="0"/>
        <v>0.1</v>
      </c>
    </row>
    <row r="52" spans="1:15" ht="20.100000000000001" customHeight="1" x14ac:dyDescent="0.25">
      <c r="A52" s="2">
        <v>9.5000000000000001E-2</v>
      </c>
      <c r="B52" s="36">
        <v>1961</v>
      </c>
      <c r="C52" s="53">
        <v>2681</v>
      </c>
      <c r="D52" s="56">
        <v>-8502</v>
      </c>
      <c r="E52" s="53">
        <v>13580</v>
      </c>
      <c r="F52" s="56">
        <v>-5869</v>
      </c>
      <c r="G52" s="53">
        <v>-2.8400000000000001E-3</v>
      </c>
      <c r="H52" s="43">
        <f>IFERROR(ABS(C52/VLOOKUP(2*$B52,$B53:C86,2,TRUE)),"--")</f>
        <v>0.97384671267707956</v>
      </c>
      <c r="I52" s="43">
        <f>IFERROR(ABS(D52/VLOOKUP(2*$B52,$B53:D86,3,TRUE)),"--")</f>
        <v>0.99917734163826533</v>
      </c>
      <c r="J52" s="43">
        <f>IFERROR(ABS(E52/VLOOKUP(2*$B52,$B53:E86,4,TRUE)),"--")</f>
        <v>0.97768178545716344</v>
      </c>
      <c r="K52" s="43">
        <f>IFERROR(ABS(F52/VLOOKUP(2*$B52,$B53:F86,5,TRUE)),"--")</f>
        <v>0.99897872340425531</v>
      </c>
      <c r="L52" s="43">
        <f>IFERROR(ABS(G52/VLOOKUP(2*$B52,$B53:G86,6,TRUE)),"--")</f>
        <v>0.9985935302390998</v>
      </c>
      <c r="M52" s="38">
        <f>IF(AND(1+$Q$6&gt;H52,1-$Q$6&lt;H52,1+$Q$6&gt;I52,1-$Q$6&lt;I52,1+$Q$6&gt;J52,1-$Q$6&lt;J52,1+$Q$6&gt;K52,1-$Q$6&lt;K52,1+$Q$6&gt;L52,1-$Q$6&lt;L52),IF(SUM($M$2:M51)=0,1,0),0)</f>
        <v>0</v>
      </c>
      <c r="N52" s="38">
        <f>IF(AND(1+$Q$7&gt;H52,1-$Q$7&lt;H52,1+$Q$7&gt;I52,1-$Q$7&lt;I52,1+$Q$7&gt;J52,1-$Q$7&lt;J52,1+$Q$7&gt;K52,1-$Q$7&lt;K52,1+$Q$7&gt;L52,1-$Q$7&lt;L52),IF(SUM($N$2:N51)=0,1,0),0)</f>
        <v>0</v>
      </c>
      <c r="O52" s="34">
        <f t="shared" si="0"/>
        <v>9.5000000000000001E-2</v>
      </c>
    </row>
    <row r="53" spans="1:15" ht="20.100000000000001" customHeight="1" x14ac:dyDescent="0.25">
      <c r="A53" s="2">
        <v>0.09</v>
      </c>
      <c r="B53" s="36">
        <v>2184</v>
      </c>
      <c r="C53" s="53">
        <v>2696</v>
      </c>
      <c r="D53" s="56">
        <v>-8505</v>
      </c>
      <c r="E53" s="53">
        <v>13650</v>
      </c>
      <c r="F53" s="56">
        <v>-5871</v>
      </c>
      <c r="G53" s="53">
        <v>-2.8410000000000002E-3</v>
      </c>
      <c r="H53" s="43">
        <f>IFERROR(ABS(C53/VLOOKUP(2*$B53,$B54:C87,2,TRUE)),"--")</f>
        <v>0.97469269703543027</v>
      </c>
      <c r="I53" s="43">
        <f>IFERROR(ABS(D53/VLOOKUP(2*$B53,$B54:D87,3,TRUE)),"--")</f>
        <v>0.99929502996122666</v>
      </c>
      <c r="J53" s="43">
        <f>IFERROR(ABS(E53/VLOOKUP(2*$B53,$B54:E87,4,TRUE)),"--")</f>
        <v>0.978494623655914</v>
      </c>
      <c r="K53" s="43">
        <f>IFERROR(ABS(F53/VLOOKUP(2*$B53,$B54:F87,5,TRUE)),"--")</f>
        <v>0.99897907095456862</v>
      </c>
      <c r="L53" s="43">
        <f>IFERROR(ABS(G53/VLOOKUP(2*$B53,$B54:G87,6,TRUE)),"--")</f>
        <v>0.99859402460456959</v>
      </c>
      <c r="M53" s="38">
        <f>IF(AND(1+$Q$6&gt;H53,1-$Q$6&lt;H53,1+$Q$6&gt;I53,1-$Q$6&lt;I53,1+$Q$6&gt;J53,1-$Q$6&lt;J53,1+$Q$6&gt;K53,1-$Q$6&lt;K53,1+$Q$6&gt;L53,1-$Q$6&lt;L53),IF(SUM($M$2:M52)=0,1,0),0)</f>
        <v>0</v>
      </c>
      <c r="N53" s="38">
        <f>IF(AND(1+$Q$7&gt;H53,1-$Q$7&lt;H53,1+$Q$7&gt;I53,1-$Q$7&lt;I53,1+$Q$7&gt;J53,1-$Q$7&lt;J53,1+$Q$7&gt;K53,1-$Q$7&lt;K53,1+$Q$7&gt;L53,1-$Q$7&lt;L53),IF(SUM($N$2:N52)=0,1,0),0)</f>
        <v>0</v>
      </c>
      <c r="O53" s="34">
        <f t="shared" si="0"/>
        <v>0.09</v>
      </c>
    </row>
    <row r="54" spans="1:15" ht="20.100000000000001" customHeight="1" x14ac:dyDescent="0.25">
      <c r="A54" s="2">
        <v>8.5000000000000006E-2</v>
      </c>
      <c r="B54" s="36">
        <v>2478</v>
      </c>
      <c r="C54" s="53">
        <v>2708</v>
      </c>
      <c r="D54" s="56">
        <v>-8501</v>
      </c>
      <c r="E54" s="53">
        <v>13700</v>
      </c>
      <c r="F54" s="56">
        <v>-5869</v>
      </c>
      <c r="G54" s="53">
        <v>-2.8400000000000001E-3</v>
      </c>
      <c r="H54" s="43">
        <f>IFERROR(ABS(C54/VLOOKUP(2*$B54,$B55:C88,2,TRUE)),"--")</f>
        <v>0.97305066475026947</v>
      </c>
      <c r="I54" s="43">
        <f>IFERROR(ABS(D54/VLOOKUP(2*$B54,$B55:D88,3,TRUE)),"--")</f>
        <v>0.9983558426306518</v>
      </c>
      <c r="J54" s="43">
        <f>IFERROR(ABS(E54/VLOOKUP(2*$B54,$B55:E88,4,TRUE)),"--")</f>
        <v>0.97717546362339514</v>
      </c>
      <c r="K54" s="43">
        <f>IFERROR(ABS(F54/VLOOKUP(2*$B54,$B55:F88,5,TRUE)),"--")</f>
        <v>0.99795953069205923</v>
      </c>
      <c r="L54" s="43">
        <f>IFERROR(ABS(G54/VLOOKUP(2*$B54,$B55:G88,6,TRUE)),"--")</f>
        <v>0.9971910112359551</v>
      </c>
      <c r="M54" s="38">
        <f>IF(AND(1+$Q$6&gt;H54,1-$Q$6&lt;H54,1+$Q$6&gt;I54,1-$Q$6&lt;I54,1+$Q$6&gt;J54,1-$Q$6&lt;J54,1+$Q$6&gt;K54,1-$Q$6&lt;K54,1+$Q$6&gt;L54,1-$Q$6&lt;L54),IF(SUM($M$2:M53)=0,1,0),0)</f>
        <v>0</v>
      </c>
      <c r="N54" s="38">
        <f>IF(AND(1+$Q$7&gt;H54,1-$Q$7&lt;H54,1+$Q$7&gt;I54,1-$Q$7&lt;I54,1+$Q$7&gt;J54,1-$Q$7&lt;J54,1+$Q$7&gt;K54,1-$Q$7&lt;K54,1+$Q$7&gt;L54,1-$Q$7&lt;L54),IF(SUM($N$2:N53)=0,1,0),0)</f>
        <v>0</v>
      </c>
      <c r="O54" s="34">
        <f t="shared" si="0"/>
        <v>8.5000000000000006E-2</v>
      </c>
    </row>
    <row r="55" spans="1:15" ht="20.100000000000001" customHeight="1" x14ac:dyDescent="0.25">
      <c r="A55" s="2">
        <v>0.08</v>
      </c>
      <c r="B55" s="36">
        <v>2772</v>
      </c>
      <c r="C55" s="53">
        <v>2724</v>
      </c>
      <c r="D55" s="56">
        <v>-8505</v>
      </c>
      <c r="E55" s="53">
        <v>13760</v>
      </c>
      <c r="F55" s="56">
        <v>-5871</v>
      </c>
      <c r="G55" s="53">
        <v>-2.8410000000000002E-3</v>
      </c>
      <c r="H55" s="43">
        <f>IFERROR(ABS(C55/VLOOKUP(2*$B55,$B56:C89,2,TRUE)),"--")</f>
        <v>0.97879985627021204</v>
      </c>
      <c r="I55" s="43">
        <f>IFERROR(ABS(D55/VLOOKUP(2*$B55,$B56:D89,3,TRUE)),"--")</f>
        <v>0.99882560187903702</v>
      </c>
      <c r="J55" s="43">
        <f>IFERROR(ABS(E55/VLOOKUP(2*$B55,$B56:E89,4,TRUE)),"--")</f>
        <v>0.98145506419400852</v>
      </c>
      <c r="K55" s="43">
        <f>IFERROR(ABS(F55/VLOOKUP(2*$B55,$B56:F89,5,TRUE)),"--")</f>
        <v>0.99829960891004932</v>
      </c>
      <c r="L55" s="43">
        <f>IFERROR(ABS(G55/VLOOKUP(2*$B55,$B56:G89,6,TRUE)),"--")</f>
        <v>0.99754213483146081</v>
      </c>
      <c r="M55" s="38">
        <f>IF(AND(1+$Q$6&gt;H55,1-$Q$6&lt;H55,1+$Q$6&gt;I55,1-$Q$6&lt;I55,1+$Q$6&gt;J55,1-$Q$6&lt;J55,1+$Q$6&gt;K55,1-$Q$6&lt;K55,1+$Q$6&gt;L55,1-$Q$6&lt;L55),IF(SUM($M$2:M54)=0,1,0),0)</f>
        <v>0</v>
      </c>
      <c r="N55" s="38">
        <f>IF(AND(1+$Q$7&gt;H55,1-$Q$7&lt;H55,1+$Q$7&gt;I55,1-$Q$7&lt;I55,1+$Q$7&gt;J55,1-$Q$7&lt;J55,1+$Q$7&gt;K55,1-$Q$7&lt;K55,1+$Q$7&gt;L55,1-$Q$7&lt;L55),IF(SUM($N$2:N54)=0,1,0),0)</f>
        <v>1</v>
      </c>
      <c r="O55" s="34">
        <f t="shared" si="0"/>
        <v>0.08</v>
      </c>
    </row>
    <row r="56" spans="1:15" ht="20.100000000000001" customHeight="1" x14ac:dyDescent="0.25">
      <c r="A56" s="2">
        <v>7.4999999999999997E-2</v>
      </c>
      <c r="B56" s="36">
        <v>3149</v>
      </c>
      <c r="C56" s="53">
        <v>2739</v>
      </c>
      <c r="D56" s="56">
        <v>-8510</v>
      </c>
      <c r="E56" s="53">
        <v>13830</v>
      </c>
      <c r="F56" s="56">
        <v>-5875</v>
      </c>
      <c r="G56" s="53">
        <v>-2.8449999999999999E-3</v>
      </c>
      <c r="H56" s="43">
        <f>IFERROR(ABS(C56/VLOOKUP(2*$B56,$B57:C90,2,TRUE)),"--")</f>
        <v>0.97961373390557938</v>
      </c>
      <c r="I56" s="43">
        <f>IFERROR(ABS(D56/VLOOKUP(2*$B56,$B57:D90,3,TRUE)),"--")</f>
        <v>0.99953018557669715</v>
      </c>
      <c r="J56" s="43">
        <f>IFERROR(ABS(E56/VLOOKUP(2*$B56,$B57:E90,4,TRUE)),"--")</f>
        <v>0.98224431818181823</v>
      </c>
      <c r="K56" s="43">
        <f>IFERROR(ABS(F56/VLOOKUP(2*$B56,$B57:F90,5,TRUE)),"--")</f>
        <v>0.99897976534602961</v>
      </c>
      <c r="L56" s="43">
        <f>IFERROR(ABS(G56/VLOOKUP(2*$B56,$B57:G90,6,TRUE)),"--")</f>
        <v>0.99894662921348321</v>
      </c>
      <c r="M56" s="38">
        <f>IF(AND(1+$Q$6&gt;H56,1-$Q$6&lt;H56,1+$Q$6&gt;I56,1-$Q$6&lt;I56,1+$Q$6&gt;J56,1-$Q$6&lt;J56,1+$Q$6&gt;K56,1-$Q$6&lt;K56,1+$Q$6&gt;L56,1-$Q$6&lt;L56),IF(SUM($M$2:M55)=0,1,0),0)</f>
        <v>0</v>
      </c>
      <c r="N56" s="38">
        <f>IF(AND(1+$Q$7&gt;H56,1-$Q$7&lt;H56,1+$Q$7&gt;I56,1-$Q$7&lt;I56,1+$Q$7&gt;J56,1-$Q$7&lt;J56,1+$Q$7&gt;K56,1-$Q$7&lt;K56,1+$Q$7&gt;L56,1-$Q$7&lt;L56),IF(SUM($N$2:N55)=0,1,0),0)</f>
        <v>0</v>
      </c>
      <c r="O56" s="34">
        <f t="shared" si="0"/>
        <v>7.4999999999999997E-2</v>
      </c>
    </row>
    <row r="57" spans="1:15" ht="20.100000000000001" customHeight="1" x14ac:dyDescent="0.25">
      <c r="A57" s="2">
        <v>7.0000000000000007E-2</v>
      </c>
      <c r="B57" s="36">
        <v>3600</v>
      </c>
      <c r="C57" s="53">
        <v>2753</v>
      </c>
      <c r="D57" s="56">
        <v>-8509</v>
      </c>
      <c r="E57" s="53">
        <v>13890</v>
      </c>
      <c r="F57" s="56">
        <v>-5875</v>
      </c>
      <c r="G57" s="53">
        <v>-2.8440000000000002E-3</v>
      </c>
      <c r="H57" s="43">
        <f>IFERROR(ABS(C57/VLOOKUP(2*$B57,$B58:C91,2,TRUE)),"--")</f>
        <v>0.97971530249110317</v>
      </c>
      <c r="I57" s="43">
        <f>IFERROR(ABS(D57/VLOOKUP(2*$B57,$B58:D91,3,TRUE)),"--")</f>
        <v>0.99917801784875526</v>
      </c>
      <c r="J57" s="43">
        <f>IFERROR(ABS(E57/VLOOKUP(2*$B57,$B58:E91,4,TRUE)),"--")</f>
        <v>0.98231966053748232</v>
      </c>
      <c r="K57" s="43">
        <f>IFERROR(ABS(F57/VLOOKUP(2*$B57,$B58:F91,5,TRUE)),"--")</f>
        <v>0.99880992859571571</v>
      </c>
      <c r="L57" s="43">
        <f>IFERROR(ABS(G57/VLOOKUP(2*$B57,$B58:G91,6,TRUE)),"--")</f>
        <v>0.99824499824499835</v>
      </c>
      <c r="M57" s="38">
        <f>IF(AND(1+$Q$6&gt;H57,1-$Q$6&lt;H57,1+$Q$6&gt;I57,1-$Q$6&lt;I57,1+$Q$6&gt;J57,1-$Q$6&lt;J57,1+$Q$6&gt;K57,1-$Q$6&lt;K57,1+$Q$6&gt;L57,1-$Q$6&lt;L57),IF(SUM($M$2:M56)=0,1,0),0)</f>
        <v>0</v>
      </c>
      <c r="N57" s="38">
        <f>IF(AND(1+$Q$7&gt;H57,1-$Q$7&lt;H57,1+$Q$7&gt;I57,1-$Q$7&lt;I57,1+$Q$7&gt;J57,1-$Q$7&lt;J57,1+$Q$7&gt;K57,1-$Q$7&lt;K57,1+$Q$7&gt;L57,1-$Q$7&lt;L57),IF(SUM($N$2:N56)=0,1,0),0)</f>
        <v>0</v>
      </c>
      <c r="O57" s="34">
        <f t="shared" si="0"/>
        <v>7.0000000000000007E-2</v>
      </c>
    </row>
    <row r="58" spans="1:15" ht="20.100000000000001" customHeight="1" x14ac:dyDescent="0.25">
      <c r="A58" s="2">
        <v>6.5000000000000002E-2</v>
      </c>
      <c r="B58" s="36">
        <v>4158</v>
      </c>
      <c r="C58" s="53">
        <v>2766</v>
      </c>
      <c r="D58" s="56">
        <v>-8511</v>
      </c>
      <c r="E58" s="53">
        <v>13950</v>
      </c>
      <c r="F58" s="56">
        <v>-5877</v>
      </c>
      <c r="G58" s="53">
        <v>-2.8449999999999999E-3</v>
      </c>
      <c r="H58" s="43">
        <f>IFERROR(ABS(C58/VLOOKUP(2*$B58,$B59:C92,2,TRUE)),"--")</f>
        <v>0.98434163701067612</v>
      </c>
      <c r="I58" s="43">
        <f>IFERROR(ABS(D58/VLOOKUP(2*$B58,$B59:D92,3,TRUE)),"--")</f>
        <v>0.99941286989196809</v>
      </c>
      <c r="J58" s="43">
        <f>IFERROR(ABS(E58/VLOOKUP(2*$B58,$B59:E92,4,TRUE)),"--")</f>
        <v>0.9865629420084866</v>
      </c>
      <c r="K58" s="43">
        <f>IFERROR(ABS(F58/VLOOKUP(2*$B58,$B59:F92,5,TRUE)),"--")</f>
        <v>0.99914994899693976</v>
      </c>
      <c r="L58" s="43">
        <f>IFERROR(ABS(G58/VLOOKUP(2*$B58,$B59:G92,6,TRUE)),"--")</f>
        <v>0.99859599859599857</v>
      </c>
      <c r="M58" s="38">
        <f>IF(AND(1+$Q$6&gt;H58,1-$Q$6&lt;H58,1+$Q$6&gt;I58,1-$Q$6&lt;I58,1+$Q$6&gt;J58,1-$Q$6&lt;J58,1+$Q$6&gt;K58,1-$Q$6&lt;K58,1+$Q$6&gt;L58,1-$Q$6&lt;L58),IF(SUM($M$2:M57)=0,1,0),0)</f>
        <v>0</v>
      </c>
      <c r="N58" s="38">
        <f>IF(AND(1+$Q$7&gt;H58,1-$Q$7&lt;H58,1+$Q$7&gt;I58,1-$Q$7&lt;I58,1+$Q$7&gt;J58,1-$Q$7&lt;J58,1+$Q$7&gt;K58,1-$Q$7&lt;K58,1+$Q$7&gt;L58,1-$Q$7&lt;L58),IF(SUM($N$2:N57)=0,1,0),0)</f>
        <v>0</v>
      </c>
      <c r="O58" s="34">
        <f t="shared" si="0"/>
        <v>6.5000000000000002E-2</v>
      </c>
    </row>
    <row r="59" spans="1:15" ht="20.100000000000001" customHeight="1" x14ac:dyDescent="0.25">
      <c r="A59" s="2">
        <v>0.06</v>
      </c>
      <c r="B59" s="36">
        <v>4956</v>
      </c>
      <c r="C59" s="53">
        <v>2783</v>
      </c>
      <c r="D59" s="56">
        <v>-8515</v>
      </c>
      <c r="E59" s="53">
        <v>14020</v>
      </c>
      <c r="F59" s="56">
        <v>-5881</v>
      </c>
      <c r="G59" s="53">
        <v>-2.8479999999999998E-3</v>
      </c>
      <c r="H59" s="43">
        <f>IFERROR(ABS(C59/VLOOKUP(2*$B59,$B60:C93,2,TRUE)),"--")</f>
        <v>0.98478414720452934</v>
      </c>
      <c r="I59" s="43">
        <f>IFERROR(ABS(D59/VLOOKUP(2*$B59,$B60:D93,3,TRUE)),"--")</f>
        <v>0.99964780464897862</v>
      </c>
      <c r="J59" s="43">
        <f>IFERROR(ABS(E59/VLOOKUP(2*$B59,$B60:E93,4,TRUE)),"--")</f>
        <v>0.98662913441238564</v>
      </c>
      <c r="K59" s="43">
        <f>IFERROR(ABS(F59/VLOOKUP(2*$B59,$B60:F93,5,TRUE)),"--")</f>
        <v>0.99949014276002723</v>
      </c>
      <c r="L59" s="43">
        <f>IFERROR(ABS(G59/VLOOKUP(2*$B59,$B60:G93,6,TRUE)),"--")</f>
        <v>0.99929824561403502</v>
      </c>
      <c r="M59" s="38">
        <f>IF(AND(1+$Q$6&gt;H59,1-$Q$6&lt;H59,1+$Q$6&gt;I59,1-$Q$6&lt;I59,1+$Q$6&gt;J59,1-$Q$6&lt;J59,1+$Q$6&gt;K59,1-$Q$6&lt;K59,1+$Q$6&gt;L59,1-$Q$6&lt;L59),IF(SUM($M$2:M58)=0,1,0),0)</f>
        <v>0</v>
      </c>
      <c r="N59" s="38">
        <f>IF(AND(1+$Q$7&gt;H59,1-$Q$7&lt;H59,1+$Q$7&gt;I59,1-$Q$7&lt;I59,1+$Q$7&gt;J59,1-$Q$7&lt;J59,1+$Q$7&gt;K59,1-$Q$7&lt;K59,1+$Q$7&gt;L59,1-$Q$7&lt;L59),IF(SUM($N$2:N58)=0,1,0),0)</f>
        <v>0</v>
      </c>
      <c r="O59" s="34">
        <f t="shared" si="0"/>
        <v>0.06</v>
      </c>
    </row>
    <row r="60" spans="1:15" ht="20.100000000000001" customHeight="1" x14ac:dyDescent="0.25">
      <c r="A60" s="2">
        <v>5.5E-2</v>
      </c>
      <c r="B60" s="36">
        <v>5824</v>
      </c>
      <c r="C60" s="53">
        <v>2796</v>
      </c>
      <c r="D60" s="56">
        <v>-8514</v>
      </c>
      <c r="E60" s="53">
        <v>14080</v>
      </c>
      <c r="F60" s="56">
        <v>-5881</v>
      </c>
      <c r="G60" s="53">
        <v>-2.8479999999999998E-3</v>
      </c>
      <c r="H60" s="43">
        <f>IFERROR(ABS(C60/VLOOKUP(2*$B60,$B61:C94,2,TRUE)),"--")</f>
        <v>0.98450704225352115</v>
      </c>
      <c r="I60" s="43">
        <f>IFERROR(ABS(D60/VLOOKUP(2*$B60,$B61:D94,3,TRUE)),"--")</f>
        <v>0.99929577464788732</v>
      </c>
      <c r="J60" s="43">
        <f>IFERROR(ABS(E60/VLOOKUP(2*$B60,$B61:E94,4,TRUE)),"--")</f>
        <v>0.98668535388927825</v>
      </c>
      <c r="K60" s="43">
        <f>IFERROR(ABS(F60/VLOOKUP(2*$B60,$B61:F94,5,TRUE)),"--")</f>
        <v>0.99915052667346249</v>
      </c>
      <c r="L60" s="43">
        <f>IFERROR(ABS(G60/VLOOKUP(2*$B60,$B61:G94,6,TRUE)),"--")</f>
        <v>0.99894773763591727</v>
      </c>
      <c r="M60" s="38">
        <f>IF(AND(1+$Q$6&gt;H60,1-$Q$6&lt;H60,1+$Q$6&gt;I60,1-$Q$6&lt;I60,1+$Q$6&gt;J60,1-$Q$6&lt;J60,1+$Q$6&gt;K60,1-$Q$6&lt;K60,1+$Q$6&gt;L60,1-$Q$6&lt;L60),IF(SUM($M$2:M59)=0,1,0),0)</f>
        <v>0</v>
      </c>
      <c r="N60" s="38">
        <f>IF(AND(1+$Q$7&gt;H60,1-$Q$7&lt;H60,1+$Q$7&gt;I60,1-$Q$7&lt;I60,1+$Q$7&gt;J60,1-$Q$7&lt;J60,1+$Q$7&gt;K60,1-$Q$7&lt;K60,1+$Q$7&gt;L60,1-$Q$7&lt;L60),IF(SUM($N$2:N59)=0,1,0),0)</f>
        <v>0</v>
      </c>
      <c r="O60" s="34">
        <f t="shared" si="0"/>
        <v>5.5E-2</v>
      </c>
    </row>
    <row r="61" spans="1:15" ht="20.100000000000001" customHeight="1" x14ac:dyDescent="0.25">
      <c r="A61" s="2">
        <v>0.05</v>
      </c>
      <c r="B61" s="36">
        <v>7000</v>
      </c>
      <c r="C61" s="53">
        <v>2810</v>
      </c>
      <c r="D61" s="56">
        <v>-8516</v>
      </c>
      <c r="E61" s="53">
        <v>14140</v>
      </c>
      <c r="F61" s="56">
        <v>-5882</v>
      </c>
      <c r="G61" s="53">
        <v>-2.849E-3</v>
      </c>
      <c r="H61" s="43">
        <f>IFERROR(ABS(C61/VLOOKUP(2*$B61,$B62:C95,2,TRUE)),"--")</f>
        <v>0.98943661971830987</v>
      </c>
      <c r="I61" s="43">
        <f>IFERROR(ABS(D61/VLOOKUP(2*$B61,$B62:D95,3,TRUE)),"--")</f>
        <v>0.99953051643192492</v>
      </c>
      <c r="J61" s="43">
        <f>IFERROR(ABS(E61/VLOOKUP(2*$B61,$B62:E95,4,TRUE)),"--")</f>
        <v>0.99088997897687459</v>
      </c>
      <c r="K61" s="43">
        <f>IFERROR(ABS(F61/VLOOKUP(2*$B61,$B62:F95,5,TRUE)),"--")</f>
        <v>0.99932042133876997</v>
      </c>
      <c r="L61" s="43">
        <f>IFERROR(ABS(G61/VLOOKUP(2*$B61,$B62:G95,6,TRUE)),"--")</f>
        <v>0.99929849175727825</v>
      </c>
      <c r="M61" s="38">
        <f>IF(AND(1+$Q$6&gt;H61,1-$Q$6&lt;H61,1+$Q$6&gt;I61,1-$Q$6&lt;I61,1+$Q$6&gt;J61,1-$Q$6&lt;J61,1+$Q$6&gt;K61,1-$Q$6&lt;K61,1+$Q$6&gt;L61,1-$Q$6&lt;L61),IF(SUM($M$2:M60)=0,1,0),0)</f>
        <v>0</v>
      </c>
      <c r="N61" s="38">
        <f>IF(AND(1+$Q$7&gt;H61,1-$Q$7&lt;H61,1+$Q$7&gt;I61,1-$Q$7&lt;I61,1+$Q$7&gt;J61,1-$Q$7&lt;J61,1+$Q$7&gt;K61,1-$Q$7&lt;K61,1+$Q$7&gt;L61,1-$Q$7&lt;L61),IF(SUM($N$2:N60)=0,1,0),0)</f>
        <v>0</v>
      </c>
      <c r="O61" s="34">
        <f t="shared" si="0"/>
        <v>0.05</v>
      </c>
    </row>
    <row r="62" spans="1:15" ht="20.100000000000001" customHeight="1" x14ac:dyDescent="0.25">
      <c r="A62" s="2">
        <v>4.4999999999999998E-2</v>
      </c>
      <c r="B62" s="36">
        <v>8736</v>
      </c>
      <c r="C62" s="53">
        <v>2826</v>
      </c>
      <c r="D62" s="56">
        <v>-8518</v>
      </c>
      <c r="E62" s="53">
        <v>14210</v>
      </c>
      <c r="F62" s="56">
        <v>-5884</v>
      </c>
      <c r="G62" s="53">
        <v>-2.8500000000000001E-3</v>
      </c>
      <c r="H62" s="43">
        <f>IFERROR(ABS(C62/VLOOKUP(2*$B62,$B63:C96,2,TRUE)),"--")</f>
        <v>0.98984238178633976</v>
      </c>
      <c r="I62" s="43">
        <f>IFERROR(ABS(D62/VLOOKUP(2*$B62,$B63:D96,3,TRUE)),"--")</f>
        <v>0.99953062661347103</v>
      </c>
      <c r="J62" s="43">
        <f>IFERROR(ABS(E62/VLOOKUP(2*$B62,$B63:E96,4,TRUE)),"--")</f>
        <v>0.99093444909344486</v>
      </c>
      <c r="K62" s="43">
        <f>IFERROR(ABS(F62/VLOOKUP(2*$B62,$B63:F96,5,TRUE)),"--")</f>
        <v>0.9994904025819602</v>
      </c>
      <c r="L62" s="43">
        <f>IFERROR(ABS(G62/VLOOKUP(2*$B62,$B63:G96,6,TRUE)),"--")</f>
        <v>0.99929873772791034</v>
      </c>
      <c r="M62" s="38">
        <f>IF(AND(1+$Q$6&gt;H62,1-$Q$6&lt;H62,1+$Q$6&gt;I62,1-$Q$6&lt;I62,1+$Q$6&gt;J62,1-$Q$6&lt;J62,1+$Q$6&gt;K62,1-$Q$6&lt;K62,1+$Q$6&gt;L62,1-$Q$6&lt;L62),IF(SUM($M$2:M61)=0,1,0),0)</f>
        <v>0</v>
      </c>
      <c r="N62" s="38">
        <f>IF(AND(1+$Q$7&gt;H62,1-$Q$7&lt;H62,1+$Q$7&gt;I62,1-$Q$7&lt;I62,1+$Q$7&gt;J62,1-$Q$7&lt;J62,1+$Q$7&gt;K62,1-$Q$7&lt;K62,1+$Q$7&gt;L62,1-$Q$7&lt;L62),IF(SUM($N$2:N61)=0,1,0),0)</f>
        <v>0</v>
      </c>
      <c r="O62" s="34">
        <f t="shared" si="0"/>
        <v>4.4999999999999998E-2</v>
      </c>
    </row>
    <row r="63" spans="1:15" ht="20.100000000000001" customHeight="1" x14ac:dyDescent="0.25">
      <c r="A63" s="2">
        <v>0.04</v>
      </c>
      <c r="B63" s="36">
        <v>11000</v>
      </c>
      <c r="C63" s="53">
        <v>2840</v>
      </c>
      <c r="D63" s="56">
        <v>-8520</v>
      </c>
      <c r="E63" s="53">
        <v>14270</v>
      </c>
      <c r="F63" s="56">
        <v>-5886</v>
      </c>
      <c r="G63" s="53">
        <v>-2.8509999999999998E-3</v>
      </c>
      <c r="H63" s="43">
        <f>IFERROR(ABS(C63/VLOOKUP(2*$B63,$B64:C97,2,TRUE)),"--")</f>
        <v>0.98954703832752611</v>
      </c>
      <c r="I63" s="43">
        <f>IFERROR(ABS(D63/VLOOKUP(2*$B63,$B64:D97,3,TRUE)),"--")</f>
        <v>0.99964801126363956</v>
      </c>
      <c r="J63" s="43">
        <f>IFERROR(ABS(E63/VLOOKUP(2*$B63,$B64:E97,4,TRUE)),"--")</f>
        <v>0.99097222222222225</v>
      </c>
      <c r="K63" s="43">
        <f>IFERROR(ABS(F63/VLOOKUP(2*$B63,$B64:F97,5,TRUE)),"--")</f>
        <v>0.99949057564951604</v>
      </c>
      <c r="L63" s="43">
        <f>IFERROR(ABS(G63/VLOOKUP(2*$B63,$B64:G97,6,TRUE)),"--")</f>
        <v>0.99929898352611279</v>
      </c>
      <c r="M63" s="38">
        <f>IF(AND(1+$Q$6&gt;H63,1-$Q$6&lt;H63,1+$Q$6&gt;I63,1-$Q$6&lt;I63,1+$Q$6&gt;J63,1-$Q$6&lt;J63,1+$Q$6&gt;K63,1-$Q$6&lt;K63,1+$Q$6&gt;L63,1-$Q$6&lt;L63),IF(SUM($M$2:M62)=0,1,0),0)</f>
        <v>0</v>
      </c>
      <c r="N63" s="38">
        <f>IF(AND(1+$Q$7&gt;H63,1-$Q$7&lt;H63,1+$Q$7&gt;I63,1-$Q$7&lt;I63,1+$Q$7&gt;J63,1-$Q$7&lt;J63,1+$Q$7&gt;K63,1-$Q$7&lt;K63,1+$Q$7&gt;L63,1-$Q$7&lt;L63),IF(SUM($N$2:N62)=0,1,0),0)</f>
        <v>0</v>
      </c>
      <c r="O63" s="34">
        <f t="shared" si="0"/>
        <v>0.04</v>
      </c>
    </row>
    <row r="64" spans="1:15" ht="20.100000000000001" customHeight="1" x14ac:dyDescent="0.25">
      <c r="A64" s="2">
        <v>3.5000000000000003E-2</v>
      </c>
      <c r="B64" s="36">
        <v>14300</v>
      </c>
      <c r="C64" s="53">
        <v>2855</v>
      </c>
      <c r="D64" s="56">
        <v>-8522</v>
      </c>
      <c r="E64" s="53">
        <v>14340</v>
      </c>
      <c r="F64" s="56">
        <v>-5887</v>
      </c>
      <c r="G64" s="53">
        <v>-2.8519999999999999E-3</v>
      </c>
      <c r="H64" s="43">
        <f>IFERROR(ABS(C64/VLOOKUP(2*$B64,$B65:C98,2,TRUE)),"--")</f>
        <v>0.98994452149791956</v>
      </c>
      <c r="I64" s="43">
        <f>IFERROR(ABS(D64/VLOOKUP(2*$B64,$B65:D98,3,TRUE)),"--")</f>
        <v>0.99976536837165653</v>
      </c>
      <c r="J64" s="43">
        <f>IFERROR(ABS(E64/VLOOKUP(2*$B64,$B65:E98,4,TRUE)),"--")</f>
        <v>0.99101589495507947</v>
      </c>
      <c r="K64" s="43">
        <f>IFERROR(ABS(F64/VLOOKUP(2*$B64,$B65:F98,5,TRUE)),"--")</f>
        <v>0.99966038376634403</v>
      </c>
      <c r="L64" s="43">
        <f>IFERROR(ABS(G64/VLOOKUP(2*$B64,$B65:G98,6,TRUE)),"--")</f>
        <v>0.9996494917630564</v>
      </c>
      <c r="M64" s="38">
        <f>IF(AND(1+$Q$6&gt;H64,1-$Q$6&lt;H64,1+$Q$6&gt;I64,1-$Q$6&lt;I64,1+$Q$6&gt;J64,1-$Q$6&lt;J64,1+$Q$6&gt;K64,1-$Q$6&lt;K64,1+$Q$6&gt;L64,1-$Q$6&lt;L64),IF(SUM($M$2:M63)=0,1,0),0)</f>
        <v>0</v>
      </c>
      <c r="N64" s="38">
        <f>IF(AND(1+$Q$7&gt;H64,1-$Q$7&lt;H64,1+$Q$7&gt;I64,1-$Q$7&lt;I64,1+$Q$7&gt;J64,1-$Q$7&lt;J64,1+$Q$7&gt;K64,1-$Q$7&lt;K64,1+$Q$7&gt;L64,1-$Q$7&lt;L64),IF(SUM($N$2:N63)=0,1,0),0)</f>
        <v>0</v>
      </c>
      <c r="O64" s="34">
        <f t="shared" si="0"/>
        <v>3.5000000000000003E-2</v>
      </c>
    </row>
    <row r="65" spans="1:15" ht="20.100000000000001" customHeight="1" x14ac:dyDescent="0.25">
      <c r="A65" s="2">
        <v>0.03</v>
      </c>
      <c r="B65" s="36">
        <v>19539</v>
      </c>
      <c r="C65" s="53">
        <v>2870</v>
      </c>
      <c r="D65" s="56">
        <v>-8523</v>
      </c>
      <c r="E65" s="53">
        <v>14400</v>
      </c>
      <c r="F65" s="56">
        <v>-5889</v>
      </c>
      <c r="G65" s="53">
        <v>-2.8530000000000001E-3</v>
      </c>
      <c r="H65" s="43">
        <f>IFERROR(ABS(C65/VLOOKUP(2*$B65,$B66:C99,2,TRUE)),"--")</f>
        <v>0.99514563106796117</v>
      </c>
      <c r="I65" s="43">
        <f>IFERROR(ABS(D65/VLOOKUP(2*$B65,$B66:D99,3,TRUE)),"--")</f>
        <v>0.99988268418582826</v>
      </c>
      <c r="J65" s="43">
        <f>IFERROR(ABS(E65/VLOOKUP(2*$B65,$B66:E99,4,TRUE)),"--")</f>
        <v>0.99516240497581199</v>
      </c>
      <c r="K65" s="43">
        <f>IFERROR(ABS(F65/VLOOKUP(2*$B65,$B66:F99,5,TRUE)),"--")</f>
        <v>1</v>
      </c>
      <c r="L65" s="43">
        <f>IFERROR(ABS(G65/VLOOKUP(2*$B65,$B66:G99,6,TRUE)),"--")</f>
        <v>1</v>
      </c>
      <c r="M65" s="38">
        <f>IF(AND(1+$Q$6&gt;H65,1-$Q$6&lt;H65,1+$Q$6&gt;I65,1-$Q$6&lt;I65,1+$Q$6&gt;J65,1-$Q$6&lt;J65,1+$Q$6&gt;K65,1-$Q$6&lt;K65,1+$Q$6&gt;L65,1-$Q$6&lt;L65),IF(SUM($M$2:M64)=0,1,0),0)</f>
        <v>0</v>
      </c>
      <c r="N65" s="38">
        <f>IF(AND(1+$Q$7&gt;H65,1-$Q$7&lt;H65,1+$Q$7&gt;I65,1-$Q$7&lt;I65,1+$Q$7&gt;J65,1-$Q$7&lt;J65,1+$Q$7&gt;K65,1-$Q$7&lt;K65,1+$Q$7&gt;L65,1-$Q$7&lt;L65),IF(SUM($N$2:N64)=0,1,0),0)</f>
        <v>0</v>
      </c>
      <c r="O65" s="34">
        <f t="shared" si="0"/>
        <v>0.03</v>
      </c>
    </row>
    <row r="66" spans="1:15" ht="20.100000000000001" customHeight="1" x14ac:dyDescent="0.25">
      <c r="A66" s="2">
        <v>2.5000000000000001E-2</v>
      </c>
      <c r="B66" s="36">
        <v>28000</v>
      </c>
      <c r="C66" s="53">
        <v>2884</v>
      </c>
      <c r="D66" s="56">
        <v>-8524</v>
      </c>
      <c r="E66" s="53">
        <v>14470</v>
      </c>
      <c r="F66" s="56">
        <v>-5889</v>
      </c>
      <c r="G66" s="53">
        <v>-2.8530000000000001E-3</v>
      </c>
      <c r="H66" s="43">
        <f>IFERROR(ABS(C66/VLOOKUP(2*$B66,$B67:C100,2,TRUE)),"--")</f>
        <v>0.99482580200068993</v>
      </c>
      <c r="I66" s="43">
        <f>IFERROR(ABS(D66/VLOOKUP(2*$B66,$B67:D100,3,TRUE)),"--")</f>
        <v>0.99988269794721407</v>
      </c>
      <c r="J66" s="43">
        <f>IFERROR(ABS(E66/VLOOKUP(2*$B66,$B67:E100,4,TRUE)),"--")</f>
        <v>0.99587061252580866</v>
      </c>
      <c r="K66" s="43">
        <f>IFERROR(ABS(F66/VLOOKUP(2*$B66,$B67:F100,5,TRUE)),"--")</f>
        <v>0.99983022071307304</v>
      </c>
      <c r="L66" s="43">
        <f>IFERROR(ABS(G66/VLOOKUP(2*$B66,$B67:G100,6,TRUE)),"--")</f>
        <v>0.99964961457603363</v>
      </c>
      <c r="M66" s="38">
        <f>IF(AND(1+$Q$6&gt;H66,1-$Q$6&lt;H66,1+$Q$6&gt;I66,1-$Q$6&lt;I66,1+$Q$6&gt;J66,1-$Q$6&lt;J66,1+$Q$6&gt;K66,1-$Q$6&lt;K66,1+$Q$6&gt;L66,1-$Q$6&lt;L66),IF(SUM($M$2:M65)=0,1,0),0)</f>
        <v>0</v>
      </c>
      <c r="N66" s="38">
        <f>IF(AND(1+$Q$7&gt;H66,1-$Q$7&lt;H66,1+$Q$7&gt;I66,1-$Q$7&lt;I66,1+$Q$7&gt;J66,1-$Q$7&lt;J66,1+$Q$7&gt;K66,1-$Q$7&lt;K66,1+$Q$7&gt;L66,1-$Q$7&lt;L66),IF(SUM($N$2:N65)=0,1,0),0)</f>
        <v>0</v>
      </c>
      <c r="O66" s="34">
        <f t="shared" si="0"/>
        <v>2.5000000000000001E-2</v>
      </c>
    </row>
    <row r="67" spans="1:15" ht="20.100000000000001" customHeight="1" x14ac:dyDescent="0.25">
      <c r="A67" s="2">
        <v>0.02</v>
      </c>
      <c r="B67" s="36">
        <v>43750</v>
      </c>
      <c r="C67" s="53">
        <v>2899</v>
      </c>
      <c r="D67" s="56">
        <v>-8525</v>
      </c>
      <c r="E67" s="53">
        <v>14530</v>
      </c>
      <c r="F67" s="56">
        <v>-5890</v>
      </c>
      <c r="G67" s="53">
        <v>-2.8540000000000002E-3</v>
      </c>
      <c r="H67" s="43" t="str">
        <f>IFERROR(ABS(C67/VLOOKUP(2*$B67,$B68:C101,2,TRUE)),"--")</f>
        <v>--</v>
      </c>
      <c r="I67" s="43" t="str">
        <f>IFERROR(ABS(D67/VLOOKUP(2*$B67,$B68:D101,3,TRUE)),"--")</f>
        <v>--</v>
      </c>
      <c r="J67" s="43" t="str">
        <f>IFERROR(ABS(E67/VLOOKUP(2*$B67,$B68:E101,4,TRUE)),"--")</f>
        <v>--</v>
      </c>
      <c r="K67" s="43" t="str">
        <f>IFERROR(ABS(F67/VLOOKUP(2*$B67,$B68:F101,5,TRUE)),"--")</f>
        <v>--</v>
      </c>
      <c r="L67" s="43" t="str">
        <f>IFERROR(ABS(G67/VLOOKUP(2*$B67,$B68:G101,6,TRUE)),"--")</f>
        <v>--</v>
      </c>
      <c r="M67" s="38">
        <f>IF(AND(1+$Q$6&gt;H67,1-$Q$6&lt;H67,1+$Q$6&gt;I67,1-$Q$6&lt;I67,1+$Q$6&gt;J67,1-$Q$6&lt;J67,1+$Q$6&gt;K67,1-$Q$6&lt;K67,1+$Q$6&gt;L67,1-$Q$6&lt;L67),IF(SUM($M$2:M66)=0,1,0),0)</f>
        <v>0</v>
      </c>
      <c r="N67" s="38">
        <f>IF(AND(1+$Q$7&gt;H67,1-$Q$7&lt;H67,1+$Q$7&gt;I67,1-$Q$7&lt;I67,1+$Q$7&gt;J67,1-$Q$7&lt;J67,1+$Q$7&gt;K67,1-$Q$7&lt;K67,1+$Q$7&gt;L67,1-$Q$7&lt;L67),IF(SUM($N$2:N66)=0,1,0),0)</f>
        <v>0</v>
      </c>
      <c r="O67" s="34">
        <f t="shared" ref="O67:O130" si="1">A67</f>
        <v>0.02</v>
      </c>
    </row>
    <row r="68" spans="1:15" ht="20.100000000000001" customHeight="1" x14ac:dyDescent="0.25">
      <c r="H68" s="43" t="str">
        <f>IFERROR(ABS(C68/VLOOKUP(2*$B68,$B69:C102,2,TRUE)),"--")</f>
        <v>--</v>
      </c>
      <c r="I68" s="43" t="str">
        <f>IFERROR(ABS(D68/VLOOKUP(2*$B68,$B69:D102,3,TRUE)),"--")</f>
        <v>--</v>
      </c>
      <c r="J68" s="43" t="str">
        <f>IFERROR(ABS(E68/VLOOKUP(2*$B68,$B69:E102,4,TRUE)),"--")</f>
        <v>--</v>
      </c>
      <c r="K68" s="43" t="str">
        <f>IFERROR(ABS(F68/VLOOKUP(2*$B68,$B69:F102,5,TRUE)),"--")</f>
        <v>--</v>
      </c>
      <c r="L68" s="43" t="str">
        <f>IFERROR(ABS(G68/VLOOKUP(2*$B68,$B69:G102,6,TRUE)),"--")</f>
        <v>--</v>
      </c>
      <c r="M68" s="38">
        <f>IF(AND(1+$Q$6&gt;H68,1-$Q$6&lt;H68,1+$Q$6&gt;I68,1-$Q$6&lt;I68,1+$Q$6&gt;J68,1-$Q$6&lt;J68,1+$Q$6&gt;K68,1-$Q$6&lt;K68,1+$Q$6&gt;L68,1-$Q$6&lt;L68),IF(SUM($M$2:M67)=0,1,0),0)</f>
        <v>0</v>
      </c>
      <c r="N68" s="38">
        <f>IF(AND(1+$Q$7&gt;H68,1-$Q$7&lt;H68,1+$Q$7&gt;I68,1-$Q$7&lt;I68,1+$Q$7&gt;J68,1-$Q$7&lt;J68,1+$Q$7&gt;K68,1-$Q$7&lt;K68,1+$Q$7&gt;L68,1-$Q$7&lt;L68),IF(SUM($N$2:N67)=0,1,0),0)</f>
        <v>0</v>
      </c>
      <c r="O68" s="34">
        <f t="shared" si="1"/>
        <v>0</v>
      </c>
    </row>
    <row r="69" spans="1:15" ht="20.100000000000001" customHeight="1" x14ac:dyDescent="0.25">
      <c r="H69" s="43" t="str">
        <f>IFERROR(ABS(C69/VLOOKUP(2*$B69,$B70:C103,2,TRUE)),"--")</f>
        <v>--</v>
      </c>
      <c r="I69" s="43" t="str">
        <f>IFERROR(ABS(D69/VLOOKUP(2*$B69,$B70:D103,3,TRUE)),"--")</f>
        <v>--</v>
      </c>
      <c r="J69" s="43" t="str">
        <f>IFERROR(ABS(E69/VLOOKUP(2*$B69,$B70:E103,4,TRUE)),"--")</f>
        <v>--</v>
      </c>
      <c r="K69" s="43" t="str">
        <f>IFERROR(ABS(F69/VLOOKUP(2*$B69,$B70:F103,5,TRUE)),"--")</f>
        <v>--</v>
      </c>
      <c r="L69" s="43" t="str">
        <f>IFERROR(ABS(G69/VLOOKUP(2*$B69,$B70:G103,6,TRUE)),"--")</f>
        <v>--</v>
      </c>
      <c r="M69" s="38">
        <f>IF(AND(1+$Q$6&gt;H69,1-$Q$6&lt;H69,1+$Q$6&gt;I69,1-$Q$6&lt;I69,1+$Q$6&gt;J69,1-$Q$6&lt;J69,1+$Q$6&gt;K69,1-$Q$6&lt;K69,1+$Q$6&gt;L69,1-$Q$6&lt;L69),IF(SUM($M$2:M68)=0,1,0),0)</f>
        <v>0</v>
      </c>
      <c r="N69" s="38">
        <f>IF(AND(1+$Q$7&gt;H69,1-$Q$7&lt;H69,1+$Q$7&gt;I69,1-$Q$7&lt;I69,1+$Q$7&gt;J69,1-$Q$7&lt;J69,1+$Q$7&gt;K69,1-$Q$7&lt;K69,1+$Q$7&gt;L69,1-$Q$7&lt;L69),IF(SUM($N$2:N68)=0,1,0),0)</f>
        <v>0</v>
      </c>
      <c r="O69" s="34">
        <f t="shared" si="1"/>
        <v>0</v>
      </c>
    </row>
    <row r="70" spans="1:15" ht="20.100000000000001" customHeight="1" x14ac:dyDescent="0.25">
      <c r="H70" s="43" t="str">
        <f>IFERROR(ABS(C70/VLOOKUP(2*$B70,$B71:C104,2,TRUE)),"--")</f>
        <v>--</v>
      </c>
      <c r="I70" s="43" t="str">
        <f>IFERROR(ABS(D70/VLOOKUP(2*$B70,$B71:D104,3,TRUE)),"--")</f>
        <v>--</v>
      </c>
      <c r="J70" s="43" t="str">
        <f>IFERROR(ABS(E70/VLOOKUP(2*$B70,$B71:E104,4,TRUE)),"--")</f>
        <v>--</v>
      </c>
      <c r="K70" s="43" t="str">
        <f>IFERROR(ABS(F70/VLOOKUP(2*$B70,$B71:F104,5,TRUE)),"--")</f>
        <v>--</v>
      </c>
      <c r="L70" s="43" t="str">
        <f>IFERROR(ABS(G70/VLOOKUP(2*$B70,$B71:G104,6,TRUE)),"--")</f>
        <v>--</v>
      </c>
      <c r="M70" s="38">
        <f>IF(AND(1+$Q$6&gt;H70,1-$Q$6&lt;H70,1+$Q$6&gt;I70,1-$Q$6&lt;I70,1+$Q$6&gt;J70,1-$Q$6&lt;J70,1+$Q$6&gt;K70,1-$Q$6&lt;K70,1+$Q$6&gt;L70,1-$Q$6&lt;L70),IF(SUM($M$2:M69)=0,1,0),0)</f>
        <v>0</v>
      </c>
      <c r="N70" s="38">
        <f>IF(AND(1+$Q$7&gt;H70,1-$Q$7&lt;H70,1+$Q$7&gt;I70,1-$Q$7&lt;I70,1+$Q$7&gt;J70,1-$Q$7&lt;J70,1+$Q$7&gt;K70,1-$Q$7&lt;K70,1+$Q$7&gt;L70,1-$Q$7&lt;L70),IF(SUM($N$2:N69)=0,1,0),0)</f>
        <v>0</v>
      </c>
      <c r="O70" s="34">
        <f t="shared" si="1"/>
        <v>0</v>
      </c>
    </row>
    <row r="71" spans="1:15" ht="20.100000000000001" customHeight="1" x14ac:dyDescent="0.25">
      <c r="H71" s="43" t="str">
        <f>IFERROR(ABS(C71/VLOOKUP(2*$B71,$B72:C105,2,TRUE)),"--")</f>
        <v>--</v>
      </c>
      <c r="I71" s="43" t="str">
        <f>IFERROR(ABS(D71/VLOOKUP(2*$B71,$B72:D105,3,TRUE)),"--")</f>
        <v>--</v>
      </c>
      <c r="J71" s="43" t="str">
        <f>IFERROR(ABS(E71/VLOOKUP(2*$B71,$B72:E105,4,TRUE)),"--")</f>
        <v>--</v>
      </c>
      <c r="K71" s="43" t="str">
        <f>IFERROR(ABS(F71/VLOOKUP(2*$B71,$B72:F105,5,TRUE)),"--")</f>
        <v>--</v>
      </c>
      <c r="L71" s="43" t="str">
        <f>IFERROR(ABS(G71/VLOOKUP(2*$B71,$B72:G105,6,TRUE)),"--")</f>
        <v>--</v>
      </c>
      <c r="M71" s="38">
        <f>IF(AND(1+$Q$6&gt;H71,1-$Q$6&lt;H71,1+$Q$6&gt;I71,1-$Q$6&lt;I71,1+$Q$6&gt;J71,1-$Q$6&lt;J71,1+$Q$6&gt;K71,1-$Q$6&lt;K71,1+$Q$6&gt;L71,1-$Q$6&lt;L71),IF(SUM($M$2:M70)=0,1,0),0)</f>
        <v>0</v>
      </c>
      <c r="N71" s="38">
        <f>IF(AND(1+$Q$7&gt;H71,1-$Q$7&lt;H71,1+$Q$7&gt;I71,1-$Q$7&lt;I71,1+$Q$7&gt;J71,1-$Q$7&lt;J71,1+$Q$7&gt;K71,1-$Q$7&lt;K71,1+$Q$7&gt;L71,1-$Q$7&lt;L71),IF(SUM($N$2:N70)=0,1,0),0)</f>
        <v>0</v>
      </c>
      <c r="O71" s="34">
        <f t="shared" si="1"/>
        <v>0</v>
      </c>
    </row>
    <row r="72" spans="1:15" ht="20.100000000000001" customHeight="1" x14ac:dyDescent="0.25">
      <c r="H72" s="43" t="str">
        <f>IFERROR(ABS(C72/VLOOKUP(2*$B72,$B73:C106,2,TRUE)),"--")</f>
        <v>--</v>
      </c>
      <c r="I72" s="43" t="str">
        <f>IFERROR(ABS(D72/VLOOKUP(2*$B72,$B73:D106,3,TRUE)),"--")</f>
        <v>--</v>
      </c>
      <c r="J72" s="43" t="str">
        <f>IFERROR(ABS(E72/VLOOKUP(2*$B72,$B73:E106,4,TRUE)),"--")</f>
        <v>--</v>
      </c>
      <c r="K72" s="43" t="str">
        <f>IFERROR(ABS(F72/VLOOKUP(2*$B72,$B73:F106,5,TRUE)),"--")</f>
        <v>--</v>
      </c>
      <c r="L72" s="43" t="str">
        <f>IFERROR(ABS(G72/VLOOKUP(2*$B72,$B73:G106,6,TRUE)),"--")</f>
        <v>--</v>
      </c>
      <c r="M72" s="38">
        <f>IF(AND(1+$Q$6&gt;H72,1-$Q$6&lt;H72,1+$Q$6&gt;I72,1-$Q$6&lt;I72,1+$Q$6&gt;J72,1-$Q$6&lt;J72,1+$Q$6&gt;K72,1-$Q$6&lt;K72,1+$Q$6&gt;L72,1-$Q$6&lt;L72),IF(SUM($M$2:M71)=0,1,0),0)</f>
        <v>0</v>
      </c>
      <c r="N72" s="38">
        <f>IF(AND(1+$Q$7&gt;H72,1-$Q$7&lt;H72,1+$Q$7&gt;I72,1-$Q$7&lt;I72,1+$Q$7&gt;J72,1-$Q$7&lt;J72,1+$Q$7&gt;K72,1-$Q$7&lt;K72,1+$Q$7&gt;L72,1-$Q$7&lt;L72),IF(SUM($N$2:N71)=0,1,0),0)</f>
        <v>0</v>
      </c>
      <c r="O72" s="34">
        <f t="shared" si="1"/>
        <v>0</v>
      </c>
    </row>
    <row r="73" spans="1:15" ht="20.100000000000001" customHeight="1" x14ac:dyDescent="0.25">
      <c r="H73" s="43" t="str">
        <f>IFERROR(ABS(C73/VLOOKUP(2*$B73,$B74:C107,2,TRUE)),"--")</f>
        <v>--</v>
      </c>
      <c r="I73" s="43" t="str">
        <f>IFERROR(ABS(D73/VLOOKUP(2*$B73,$B74:D107,3,TRUE)),"--")</f>
        <v>--</v>
      </c>
      <c r="J73" s="43" t="str">
        <f>IFERROR(ABS(E73/VLOOKUP(2*$B73,$B74:E107,4,TRUE)),"--")</f>
        <v>--</v>
      </c>
      <c r="K73" s="43" t="str">
        <f>IFERROR(ABS(F73/VLOOKUP(2*$B73,$B74:F107,5,TRUE)),"--")</f>
        <v>--</v>
      </c>
      <c r="L73" s="43" t="str">
        <f>IFERROR(ABS(G73/VLOOKUP(2*$B73,$B74:G107,6,TRUE)),"--")</f>
        <v>--</v>
      </c>
      <c r="M73" s="38">
        <f>IF(AND(1+$Q$6&gt;H73,1-$Q$6&lt;H73,1+$Q$6&gt;I73,1-$Q$6&lt;I73,1+$Q$6&gt;J73,1-$Q$6&lt;J73,1+$Q$6&gt;K73,1-$Q$6&lt;K73,1+$Q$6&gt;L73,1-$Q$6&lt;L73),IF(SUM($M$2:M72)=0,1,0),0)</f>
        <v>0</v>
      </c>
      <c r="N73" s="38">
        <f>IF(AND(1+$Q$7&gt;H73,1-$Q$7&lt;H73,1+$Q$7&gt;I73,1-$Q$7&lt;I73,1+$Q$7&gt;J73,1-$Q$7&lt;J73,1+$Q$7&gt;K73,1-$Q$7&lt;K73,1+$Q$7&gt;L73,1-$Q$7&lt;L73),IF(SUM($N$2:N72)=0,1,0),0)</f>
        <v>0</v>
      </c>
      <c r="O73" s="34">
        <f t="shared" si="1"/>
        <v>0</v>
      </c>
    </row>
    <row r="74" spans="1:15" ht="20.100000000000001" customHeight="1" x14ac:dyDescent="0.25">
      <c r="H74" s="43" t="str">
        <f>IFERROR(ABS(C74/VLOOKUP(2*$B74,$B75:C108,2,TRUE)),"--")</f>
        <v>--</v>
      </c>
      <c r="I74" s="43" t="str">
        <f>IFERROR(ABS(D74/VLOOKUP(2*$B74,$B75:D108,3,TRUE)),"--")</f>
        <v>--</v>
      </c>
      <c r="J74" s="43" t="str">
        <f>IFERROR(ABS(E74/VLOOKUP(2*$B74,$B75:E108,4,TRUE)),"--")</f>
        <v>--</v>
      </c>
      <c r="K74" s="43" t="str">
        <f>IFERROR(ABS(F74/VLOOKUP(2*$B74,$B75:F108,5,TRUE)),"--")</f>
        <v>--</v>
      </c>
      <c r="L74" s="43" t="str">
        <f>IFERROR(ABS(G74/VLOOKUP(2*$B74,$B75:G108,6,TRUE)),"--")</f>
        <v>--</v>
      </c>
      <c r="M74" s="38">
        <f>IF(AND(1+$Q$6&gt;H74,1-$Q$6&lt;H74,1+$Q$6&gt;I74,1-$Q$6&lt;I74,1+$Q$6&gt;J74,1-$Q$6&lt;J74,1+$Q$6&gt;K74,1-$Q$6&lt;K74,1+$Q$6&gt;L74,1-$Q$6&lt;L74),IF(SUM($M$2:M73)=0,1,0),0)</f>
        <v>0</v>
      </c>
      <c r="N74" s="38">
        <f>IF(AND(1+$Q$7&gt;H74,1-$Q$7&lt;H74,1+$Q$7&gt;I74,1-$Q$7&lt;I74,1+$Q$7&gt;J74,1-$Q$7&lt;J74,1+$Q$7&gt;K74,1-$Q$7&lt;K74,1+$Q$7&gt;L74,1-$Q$7&lt;L74),IF(SUM($N$2:N73)=0,1,0),0)</f>
        <v>0</v>
      </c>
      <c r="O74" s="34">
        <f t="shared" si="1"/>
        <v>0</v>
      </c>
    </row>
    <row r="75" spans="1:15" ht="20.100000000000001" customHeight="1" x14ac:dyDescent="0.25">
      <c r="H75" s="43" t="str">
        <f>IFERROR(ABS(C75/VLOOKUP(2*$B75,$B76:C109,2,TRUE)),"--")</f>
        <v>--</v>
      </c>
      <c r="I75" s="43" t="str">
        <f>IFERROR(ABS(D75/VLOOKUP(2*$B75,$B76:D109,3,TRUE)),"--")</f>
        <v>--</v>
      </c>
      <c r="J75" s="43" t="str">
        <f>IFERROR(ABS(E75/VLOOKUP(2*$B75,$B76:E109,4,TRUE)),"--")</f>
        <v>--</v>
      </c>
      <c r="K75" s="43" t="str">
        <f>IFERROR(ABS(F75/VLOOKUP(2*$B75,$B76:F109,5,TRUE)),"--")</f>
        <v>--</v>
      </c>
      <c r="L75" s="43" t="str">
        <f>IFERROR(ABS(G75/VLOOKUP(2*$B75,$B76:G109,6,TRUE)),"--")</f>
        <v>--</v>
      </c>
      <c r="M75" s="38">
        <f>IF(AND(1+$Q$6&gt;H75,1-$Q$6&lt;H75,1+$Q$6&gt;I75,1-$Q$6&lt;I75,1+$Q$6&gt;J75,1-$Q$6&lt;J75,1+$Q$6&gt;K75,1-$Q$6&lt;K75,1+$Q$6&gt;L75,1-$Q$6&lt;L75),IF(SUM($M$2:M74)=0,1,0),0)</f>
        <v>0</v>
      </c>
      <c r="N75" s="38">
        <f>IF(AND(1+$Q$7&gt;H75,1-$Q$7&lt;H75,1+$Q$7&gt;I75,1-$Q$7&lt;I75,1+$Q$7&gt;J75,1-$Q$7&lt;J75,1+$Q$7&gt;K75,1-$Q$7&lt;K75,1+$Q$7&gt;L75,1-$Q$7&lt;L75),IF(SUM($N$2:N74)=0,1,0),0)</f>
        <v>0</v>
      </c>
      <c r="O75" s="34">
        <f t="shared" si="1"/>
        <v>0</v>
      </c>
    </row>
    <row r="76" spans="1:15" ht="20.100000000000001" customHeight="1" x14ac:dyDescent="0.25">
      <c r="H76" s="43" t="str">
        <f>IFERROR(ABS(C76/VLOOKUP(2*$B76,$B77:C110,2,TRUE)),"--")</f>
        <v>--</v>
      </c>
      <c r="I76" s="43" t="str">
        <f>IFERROR(ABS(D76/VLOOKUP(2*$B76,$B77:D110,3,TRUE)),"--")</f>
        <v>--</v>
      </c>
      <c r="J76" s="43" t="str">
        <f>IFERROR(ABS(E76/VLOOKUP(2*$B76,$B77:E110,4,TRUE)),"--")</f>
        <v>--</v>
      </c>
      <c r="K76" s="43" t="str">
        <f>IFERROR(ABS(F76/VLOOKUP(2*$B76,$B77:F110,5,TRUE)),"--")</f>
        <v>--</v>
      </c>
      <c r="L76" s="43" t="str">
        <f>IFERROR(ABS(G76/VLOOKUP(2*$B76,$B77:G110,6,TRUE)),"--")</f>
        <v>--</v>
      </c>
      <c r="M76" s="38">
        <f>IF(AND(1+$Q$6&gt;H76,1-$Q$6&lt;H76,1+$Q$6&gt;I76,1-$Q$6&lt;I76,1+$Q$6&gt;J76,1-$Q$6&lt;J76,1+$Q$6&gt;K76,1-$Q$6&lt;K76,1+$Q$6&gt;L76,1-$Q$6&lt;L76),IF(SUM($M$2:M75)=0,1,0),0)</f>
        <v>0</v>
      </c>
      <c r="N76" s="38">
        <f>IF(AND(1+$Q$7&gt;H76,1-$Q$7&lt;H76,1+$Q$7&gt;I76,1-$Q$7&lt;I76,1+$Q$7&gt;J76,1-$Q$7&lt;J76,1+$Q$7&gt;K76,1-$Q$7&lt;K76,1+$Q$7&gt;L76,1-$Q$7&lt;L76),IF(SUM($N$2:N75)=0,1,0),0)</f>
        <v>0</v>
      </c>
      <c r="O76" s="34">
        <f t="shared" si="1"/>
        <v>0</v>
      </c>
    </row>
    <row r="77" spans="1:15" ht="20.100000000000001" customHeight="1" x14ac:dyDescent="0.25">
      <c r="H77" s="43" t="str">
        <f>IFERROR(ABS(C77/VLOOKUP(2*$B77,$B78:C111,2,TRUE)),"--")</f>
        <v>--</v>
      </c>
      <c r="I77" s="43" t="str">
        <f>IFERROR(ABS(D77/VLOOKUP(2*$B77,$B78:D111,3,TRUE)),"--")</f>
        <v>--</v>
      </c>
      <c r="J77" s="43" t="str">
        <f>IFERROR(ABS(E77/VLOOKUP(2*$B77,$B78:E111,4,TRUE)),"--")</f>
        <v>--</v>
      </c>
      <c r="K77" s="43" t="str">
        <f>IFERROR(ABS(F77/VLOOKUP(2*$B77,$B78:F111,5,TRUE)),"--")</f>
        <v>--</v>
      </c>
      <c r="L77" s="43" t="str">
        <f>IFERROR(ABS(G77/VLOOKUP(2*$B77,$B78:G111,6,TRUE)),"--")</f>
        <v>--</v>
      </c>
      <c r="M77" s="38">
        <f>IF(AND(1+$Q$6&gt;H77,1-$Q$6&lt;H77,1+$Q$6&gt;I77,1-$Q$6&lt;I77,1+$Q$6&gt;J77,1-$Q$6&lt;J77,1+$Q$6&gt;K77,1-$Q$6&lt;K77,1+$Q$6&gt;L77,1-$Q$6&lt;L77),IF(SUM($M$2:M76)=0,1,0),0)</f>
        <v>0</v>
      </c>
      <c r="N77" s="38">
        <f>IF(AND(1+$Q$7&gt;H77,1-$Q$7&lt;H77,1+$Q$7&gt;I77,1-$Q$7&lt;I77,1+$Q$7&gt;J77,1-$Q$7&lt;J77,1+$Q$7&gt;K77,1-$Q$7&lt;K77,1+$Q$7&gt;L77,1-$Q$7&lt;L77),IF(SUM($N$2:N76)=0,1,0),0)</f>
        <v>0</v>
      </c>
      <c r="O77" s="34">
        <f t="shared" si="1"/>
        <v>0</v>
      </c>
    </row>
    <row r="78" spans="1:15" ht="20.100000000000001" customHeight="1" x14ac:dyDescent="0.25">
      <c r="H78" s="43" t="str">
        <f>IFERROR(ABS(C78/VLOOKUP(2*$B78,$B79:C112,2,TRUE)),"--")</f>
        <v>--</v>
      </c>
      <c r="I78" s="43" t="str">
        <f>IFERROR(ABS(D78/VLOOKUP(2*$B78,$B79:D112,3,TRUE)),"--")</f>
        <v>--</v>
      </c>
      <c r="J78" s="43" t="str">
        <f>IFERROR(ABS(E78/VLOOKUP(2*$B78,$B79:E112,4,TRUE)),"--")</f>
        <v>--</v>
      </c>
      <c r="K78" s="43" t="str">
        <f>IFERROR(ABS(F78/VLOOKUP(2*$B78,$B79:F112,5,TRUE)),"--")</f>
        <v>--</v>
      </c>
      <c r="L78" s="43" t="str">
        <f>IFERROR(ABS(G78/VLOOKUP(2*$B78,$B79:G112,6,TRUE)),"--")</f>
        <v>--</v>
      </c>
      <c r="M78" s="38">
        <f>IF(AND(1+$Q$6&gt;H78,1-$Q$6&lt;H78,1+$Q$6&gt;I78,1-$Q$6&lt;I78,1+$Q$6&gt;J78,1-$Q$6&lt;J78,1+$Q$6&gt;K78,1-$Q$6&lt;K78,1+$Q$6&gt;L78,1-$Q$6&lt;L78),IF(SUM($M$2:M77)=0,1,0),0)</f>
        <v>0</v>
      </c>
      <c r="N78" s="38">
        <f>IF(AND(1+$Q$7&gt;H78,1-$Q$7&lt;H78,1+$Q$7&gt;I78,1-$Q$7&lt;I78,1+$Q$7&gt;J78,1-$Q$7&lt;J78,1+$Q$7&gt;K78,1-$Q$7&lt;K78,1+$Q$7&gt;L78,1-$Q$7&lt;L78),IF(SUM($N$2:N77)=0,1,0),0)</f>
        <v>0</v>
      </c>
      <c r="O78" s="34">
        <f t="shared" si="1"/>
        <v>0</v>
      </c>
    </row>
    <row r="79" spans="1:15" ht="20.100000000000001" customHeight="1" x14ac:dyDescent="0.25">
      <c r="H79" s="43" t="str">
        <f>IFERROR(ABS(C79/VLOOKUP(2*$B79,$B80:C113,2,TRUE)),"--")</f>
        <v>--</v>
      </c>
      <c r="I79" s="43" t="str">
        <f>IFERROR(ABS(D79/VLOOKUP(2*$B79,$B80:D113,3,TRUE)),"--")</f>
        <v>--</v>
      </c>
      <c r="J79" s="43" t="str">
        <f>IFERROR(ABS(E79/VLOOKUP(2*$B79,$B80:E113,4,TRUE)),"--")</f>
        <v>--</v>
      </c>
      <c r="K79" s="43" t="str">
        <f>IFERROR(ABS(F79/VLOOKUP(2*$B79,$B80:F113,5,TRUE)),"--")</f>
        <v>--</v>
      </c>
      <c r="L79" s="43" t="str">
        <f>IFERROR(ABS(G79/VLOOKUP(2*$B79,$B80:G113,6,TRUE)),"--")</f>
        <v>--</v>
      </c>
      <c r="M79" s="38">
        <f>IF(AND(1+$Q$6&gt;H79,1-$Q$6&lt;H79,1+$Q$6&gt;I79,1-$Q$6&lt;I79,1+$Q$6&gt;J79,1-$Q$6&lt;J79,1+$Q$6&gt;K79,1-$Q$6&lt;K79,1+$Q$6&gt;L79,1-$Q$6&lt;L79),IF(SUM($M$2:M78)=0,1,0),0)</f>
        <v>0</v>
      </c>
      <c r="N79" s="38">
        <f>IF(AND(1+$Q$7&gt;H79,1-$Q$7&lt;H79,1+$Q$7&gt;I79,1-$Q$7&lt;I79,1+$Q$7&gt;J79,1-$Q$7&lt;J79,1+$Q$7&gt;K79,1-$Q$7&lt;K79,1+$Q$7&gt;L79,1-$Q$7&lt;L79),IF(SUM($N$2:N78)=0,1,0),0)</f>
        <v>0</v>
      </c>
      <c r="O79" s="34">
        <f t="shared" si="1"/>
        <v>0</v>
      </c>
    </row>
    <row r="80" spans="1:15" ht="20.100000000000001" customHeight="1" x14ac:dyDescent="0.25">
      <c r="H80" s="43" t="str">
        <f>IFERROR(ABS(C80/VLOOKUP(2*$B80,$B81:C114,2,TRUE)),"--")</f>
        <v>--</v>
      </c>
      <c r="I80" s="43" t="str">
        <f>IFERROR(ABS(D80/VLOOKUP(2*$B80,$B81:D114,3,TRUE)),"--")</f>
        <v>--</v>
      </c>
      <c r="J80" s="43" t="str">
        <f>IFERROR(ABS(E80/VLOOKUP(2*$B80,$B81:E114,4,TRUE)),"--")</f>
        <v>--</v>
      </c>
      <c r="K80" s="43" t="str">
        <f>IFERROR(ABS(F80/VLOOKUP(2*$B80,$B81:F114,5,TRUE)),"--")</f>
        <v>--</v>
      </c>
      <c r="L80" s="43" t="str">
        <f>IFERROR(ABS(G80/VLOOKUP(2*$B80,$B81:G114,6,TRUE)),"--")</f>
        <v>--</v>
      </c>
      <c r="M80" s="38">
        <f>IF(AND(1+$Q$6&gt;H80,1-$Q$6&lt;H80,1+$Q$6&gt;I80,1-$Q$6&lt;I80,1+$Q$6&gt;J80,1-$Q$6&lt;J80,1+$Q$6&gt;K80,1-$Q$6&lt;K80,1+$Q$6&gt;L80,1-$Q$6&lt;L80),IF(SUM($M$2:M79)=0,1,0),0)</f>
        <v>0</v>
      </c>
      <c r="N80" s="38">
        <f>IF(AND(1+$Q$7&gt;H80,1-$Q$7&lt;H80,1+$Q$7&gt;I80,1-$Q$7&lt;I80,1+$Q$7&gt;J80,1-$Q$7&lt;J80,1+$Q$7&gt;K80,1-$Q$7&lt;K80,1+$Q$7&gt;L80,1-$Q$7&lt;L80),IF(SUM($N$2:N79)=0,1,0),0)</f>
        <v>0</v>
      </c>
      <c r="O80" s="34">
        <f t="shared" si="1"/>
        <v>0</v>
      </c>
    </row>
    <row r="81" spans="8:15" ht="20.100000000000001" customHeight="1" x14ac:dyDescent="0.25">
      <c r="H81" s="43" t="str">
        <f>IFERROR(ABS(C81/VLOOKUP(2*$B81,$B82:C115,2,TRUE)),"--")</f>
        <v>--</v>
      </c>
      <c r="I81" s="43" t="str">
        <f>IFERROR(ABS(D81/VLOOKUP(2*$B81,$B82:D115,3,TRUE)),"--")</f>
        <v>--</v>
      </c>
      <c r="J81" s="43" t="str">
        <f>IFERROR(ABS(E81/VLOOKUP(2*$B81,$B82:E115,4,TRUE)),"--")</f>
        <v>--</v>
      </c>
      <c r="K81" s="43" t="str">
        <f>IFERROR(ABS(F81/VLOOKUP(2*$B81,$B82:F115,5,TRUE)),"--")</f>
        <v>--</v>
      </c>
      <c r="L81" s="43" t="str">
        <f>IFERROR(ABS(G81/VLOOKUP(2*$B81,$B82:G115,6,TRUE)),"--")</f>
        <v>--</v>
      </c>
      <c r="M81" s="38">
        <f>IF(AND(1+$Q$6&gt;H81,1-$Q$6&lt;H81,1+$Q$6&gt;I81,1-$Q$6&lt;I81,1+$Q$6&gt;J81,1-$Q$6&lt;J81,1+$Q$6&gt;K81,1-$Q$6&lt;K81,1+$Q$6&gt;L81,1-$Q$6&lt;L81),IF(SUM($M$2:M80)=0,1,0),0)</f>
        <v>0</v>
      </c>
      <c r="N81" s="38">
        <f>IF(AND(1+$Q$7&gt;H81,1-$Q$7&lt;H81,1+$Q$7&gt;I81,1-$Q$7&lt;I81,1+$Q$7&gt;J81,1-$Q$7&lt;J81,1+$Q$7&gt;K81,1-$Q$7&lt;K81,1+$Q$7&gt;L81,1-$Q$7&lt;L81),IF(SUM($N$2:N80)=0,1,0),0)</f>
        <v>0</v>
      </c>
      <c r="O81" s="34">
        <f t="shared" si="1"/>
        <v>0</v>
      </c>
    </row>
    <row r="82" spans="8:15" ht="20.100000000000001" customHeight="1" x14ac:dyDescent="0.25">
      <c r="H82" s="43" t="str">
        <f>IFERROR(ABS(C82/VLOOKUP(2*$B82,$B83:C116,2,TRUE)),"--")</f>
        <v>--</v>
      </c>
      <c r="I82" s="43" t="str">
        <f>IFERROR(ABS(D82/VLOOKUP(2*$B82,$B83:D116,3,TRUE)),"--")</f>
        <v>--</v>
      </c>
      <c r="J82" s="43" t="str">
        <f>IFERROR(ABS(E82/VLOOKUP(2*$B82,$B83:E116,4,TRUE)),"--")</f>
        <v>--</v>
      </c>
      <c r="K82" s="43" t="str">
        <f>IFERROR(ABS(F82/VLOOKUP(2*$B82,$B83:F116,5,TRUE)),"--")</f>
        <v>--</v>
      </c>
      <c r="L82" s="43" t="str">
        <f>IFERROR(ABS(G82/VLOOKUP(2*$B82,$B83:G116,6,TRUE)),"--")</f>
        <v>--</v>
      </c>
      <c r="M82" s="38">
        <f>IF(AND(1+$Q$6&gt;H82,1-$Q$6&lt;H82,1+$Q$6&gt;I82,1-$Q$6&lt;I82,1+$Q$6&gt;J82,1-$Q$6&lt;J82,1+$Q$6&gt;K82,1-$Q$6&lt;K82,1+$Q$6&gt;L82,1-$Q$6&lt;L82),IF(SUM($M$2:M81)=0,1,0),0)</f>
        <v>0</v>
      </c>
      <c r="N82" s="38">
        <f>IF(AND(1+$Q$7&gt;H82,1-$Q$7&lt;H82,1+$Q$7&gt;I82,1-$Q$7&lt;I82,1+$Q$7&gt;J82,1-$Q$7&lt;J82,1+$Q$7&gt;K82,1-$Q$7&lt;K82,1+$Q$7&gt;L82,1-$Q$7&lt;L82),IF(SUM($N$2:N81)=0,1,0),0)</f>
        <v>0</v>
      </c>
      <c r="O82" s="34">
        <f t="shared" si="1"/>
        <v>0</v>
      </c>
    </row>
    <row r="83" spans="8:15" ht="20.100000000000001" customHeight="1" x14ac:dyDescent="0.25">
      <c r="H83" s="43" t="str">
        <f>IFERROR(ABS(C83/VLOOKUP(2*$B83,$B84:C117,2,TRUE)),"--")</f>
        <v>--</v>
      </c>
      <c r="I83" s="43" t="str">
        <f>IFERROR(ABS(D83/VLOOKUP(2*$B83,$B84:D117,3,TRUE)),"--")</f>
        <v>--</v>
      </c>
      <c r="J83" s="43" t="str">
        <f>IFERROR(ABS(E83/VLOOKUP(2*$B83,$B84:E117,4,TRUE)),"--")</f>
        <v>--</v>
      </c>
      <c r="K83" s="43" t="str">
        <f>IFERROR(ABS(F83/VLOOKUP(2*$B83,$B84:F117,5,TRUE)),"--")</f>
        <v>--</v>
      </c>
      <c r="L83" s="43" t="str">
        <f>IFERROR(ABS(G83/VLOOKUP(2*$B83,$B84:G117,6,TRUE)),"--")</f>
        <v>--</v>
      </c>
      <c r="M83" s="38">
        <f>IF(AND(1+$Q$6&gt;H83,1-$Q$6&lt;H83,1+$Q$6&gt;I83,1-$Q$6&lt;I83,1+$Q$6&gt;J83,1-$Q$6&lt;J83,1+$Q$6&gt;K83,1-$Q$6&lt;K83,1+$Q$6&gt;L83,1-$Q$6&lt;L83),IF(SUM($M$2:M82)=0,1,0),0)</f>
        <v>0</v>
      </c>
      <c r="N83" s="38">
        <f>IF(AND(1+$Q$7&gt;H83,1-$Q$7&lt;H83,1+$Q$7&gt;I83,1-$Q$7&lt;I83,1+$Q$7&gt;J83,1-$Q$7&lt;J83,1+$Q$7&gt;K83,1-$Q$7&lt;K83,1+$Q$7&gt;L83,1-$Q$7&lt;L83),IF(SUM($N$2:N82)=0,1,0),0)</f>
        <v>0</v>
      </c>
      <c r="O83" s="34">
        <f t="shared" si="1"/>
        <v>0</v>
      </c>
    </row>
    <row r="84" spans="8:15" ht="20.100000000000001" customHeight="1" x14ac:dyDescent="0.25">
      <c r="H84" s="43" t="str">
        <f>IFERROR(ABS(C84/VLOOKUP(2*$B84,$B85:C118,2,TRUE)),"--")</f>
        <v>--</v>
      </c>
      <c r="I84" s="43" t="str">
        <f>IFERROR(ABS(D84/VLOOKUP(2*$B84,$B85:D118,3,TRUE)),"--")</f>
        <v>--</v>
      </c>
      <c r="J84" s="43" t="str">
        <f>IFERROR(ABS(E84/VLOOKUP(2*$B84,$B85:E118,4,TRUE)),"--")</f>
        <v>--</v>
      </c>
      <c r="K84" s="43" t="str">
        <f>IFERROR(ABS(F84/VLOOKUP(2*$B84,$B85:F118,5,TRUE)),"--")</f>
        <v>--</v>
      </c>
      <c r="L84" s="43" t="str">
        <f>IFERROR(ABS(G84/VLOOKUP(2*$B84,$B85:G118,6,TRUE)),"--")</f>
        <v>--</v>
      </c>
      <c r="M84" s="38">
        <f>IF(AND(1+$Q$6&gt;H84,1-$Q$6&lt;H84,1+$Q$6&gt;I84,1-$Q$6&lt;I84,1+$Q$6&gt;J84,1-$Q$6&lt;J84,1+$Q$6&gt;K84,1-$Q$6&lt;K84,1+$Q$6&gt;L84,1-$Q$6&lt;L84),IF(SUM($M$2:M83)=0,1,0),0)</f>
        <v>0</v>
      </c>
      <c r="N84" s="38">
        <f>IF(AND(1+$Q$7&gt;H84,1-$Q$7&lt;H84,1+$Q$7&gt;I84,1-$Q$7&lt;I84,1+$Q$7&gt;J84,1-$Q$7&lt;J84,1+$Q$7&gt;K84,1-$Q$7&lt;K84,1+$Q$7&gt;L84,1-$Q$7&lt;L84),IF(SUM($N$2:N83)=0,1,0),0)</f>
        <v>0</v>
      </c>
      <c r="O84" s="34">
        <f t="shared" si="1"/>
        <v>0</v>
      </c>
    </row>
    <row r="85" spans="8:15" ht="20.100000000000001" customHeight="1" x14ac:dyDescent="0.25">
      <c r="H85" s="43" t="str">
        <f>IFERROR(ABS(C85/VLOOKUP(2*$B85,$B86:C119,2,TRUE)),"--")</f>
        <v>--</v>
      </c>
      <c r="I85" s="43" t="str">
        <f>IFERROR(ABS(D85/VLOOKUP(2*$B85,$B86:D119,3,TRUE)),"--")</f>
        <v>--</v>
      </c>
      <c r="J85" s="43" t="str">
        <f>IFERROR(ABS(E85/VLOOKUP(2*$B85,$B86:E119,4,TRUE)),"--")</f>
        <v>--</v>
      </c>
      <c r="K85" s="43" t="str">
        <f>IFERROR(ABS(F85/VLOOKUP(2*$B85,$B86:F119,5,TRUE)),"--")</f>
        <v>--</v>
      </c>
      <c r="L85" s="43" t="str">
        <f>IFERROR(ABS(G85/VLOOKUP(2*$B85,$B86:G119,6,TRUE)),"--")</f>
        <v>--</v>
      </c>
      <c r="M85" s="38">
        <f>IF(AND(1+$Q$6&gt;H85,1-$Q$6&lt;H85,1+$Q$6&gt;I85,1-$Q$6&lt;I85,1+$Q$6&gt;J85,1-$Q$6&lt;J85,1+$Q$6&gt;K85,1-$Q$6&lt;K85,1+$Q$6&gt;L85,1-$Q$6&lt;L85),IF(SUM($M$2:M84)=0,1,0),0)</f>
        <v>0</v>
      </c>
      <c r="N85" s="38">
        <f>IF(AND(1+$Q$7&gt;H85,1-$Q$7&lt;H85,1+$Q$7&gt;I85,1-$Q$7&lt;I85,1+$Q$7&gt;J85,1-$Q$7&lt;J85,1+$Q$7&gt;K85,1-$Q$7&lt;K85,1+$Q$7&gt;L85,1-$Q$7&lt;L85),IF(SUM($N$2:N84)=0,1,0),0)</f>
        <v>0</v>
      </c>
      <c r="O85" s="34">
        <f t="shared" si="1"/>
        <v>0</v>
      </c>
    </row>
    <row r="86" spans="8:15" ht="20.100000000000001" customHeight="1" x14ac:dyDescent="0.25">
      <c r="H86" s="43" t="str">
        <f>IFERROR(ABS(C86/VLOOKUP(2*$B86,$B87:C120,2,TRUE)),"--")</f>
        <v>--</v>
      </c>
      <c r="I86" s="43" t="str">
        <f>IFERROR(ABS(D86/VLOOKUP(2*$B86,$B87:D120,3,TRUE)),"--")</f>
        <v>--</v>
      </c>
      <c r="J86" s="43" t="str">
        <f>IFERROR(ABS(E86/VLOOKUP(2*$B86,$B87:E120,4,TRUE)),"--")</f>
        <v>--</v>
      </c>
      <c r="K86" s="43" t="str">
        <f>IFERROR(ABS(F86/VLOOKUP(2*$B86,$B87:F120,5,TRUE)),"--")</f>
        <v>--</v>
      </c>
      <c r="L86" s="43" t="str">
        <f>IFERROR(ABS(G86/VLOOKUP(2*$B86,$B87:G120,6,TRUE)),"--")</f>
        <v>--</v>
      </c>
      <c r="M86" s="38">
        <f>IF(AND(1+$Q$6&gt;H86,1-$Q$6&lt;H86,1+$Q$6&gt;I86,1-$Q$6&lt;I86,1+$Q$6&gt;J86,1-$Q$6&lt;J86,1+$Q$6&gt;K86,1-$Q$6&lt;K86,1+$Q$6&gt;L86,1-$Q$6&lt;L86),IF(SUM($M$2:M85)=0,1,0),0)</f>
        <v>0</v>
      </c>
      <c r="N86" s="38">
        <f>IF(AND(1+$Q$7&gt;H86,1-$Q$7&lt;H86,1+$Q$7&gt;I86,1-$Q$7&lt;I86,1+$Q$7&gt;J86,1-$Q$7&lt;J86,1+$Q$7&gt;K86,1-$Q$7&lt;K86,1+$Q$7&gt;L86,1-$Q$7&lt;L86),IF(SUM($N$2:N85)=0,1,0),0)</f>
        <v>0</v>
      </c>
      <c r="O86" s="34">
        <f t="shared" si="1"/>
        <v>0</v>
      </c>
    </row>
    <row r="87" spans="8:15" ht="20.100000000000001" customHeight="1" x14ac:dyDescent="0.25">
      <c r="H87" s="43" t="str">
        <f>IFERROR(ABS(C87/VLOOKUP(2*$B87,$B88:C121,2,TRUE)),"--")</f>
        <v>--</v>
      </c>
      <c r="I87" s="43" t="str">
        <f>IFERROR(ABS(D87/VLOOKUP(2*$B87,$B88:D121,3,TRUE)),"--")</f>
        <v>--</v>
      </c>
      <c r="J87" s="43" t="str">
        <f>IFERROR(ABS(E87/VLOOKUP(2*$B87,$B88:E121,4,TRUE)),"--")</f>
        <v>--</v>
      </c>
      <c r="K87" s="43" t="str">
        <f>IFERROR(ABS(F87/VLOOKUP(2*$B87,$B88:F121,5,TRUE)),"--")</f>
        <v>--</v>
      </c>
      <c r="L87" s="43" t="str">
        <f>IFERROR(ABS(G87/VLOOKUP(2*$B87,$B88:G121,6,TRUE)),"--")</f>
        <v>--</v>
      </c>
      <c r="M87" s="38">
        <f>IF(AND(1+$Q$6&gt;H87,1-$Q$6&lt;H87,1+$Q$6&gt;I87,1-$Q$6&lt;I87,1+$Q$6&gt;J87,1-$Q$6&lt;J87,1+$Q$6&gt;K87,1-$Q$6&lt;K87,1+$Q$6&gt;L87,1-$Q$6&lt;L87),IF(SUM($M$2:M86)=0,1,0),0)</f>
        <v>0</v>
      </c>
      <c r="N87" s="38">
        <f>IF(AND(1+$Q$7&gt;H87,1-$Q$7&lt;H87,1+$Q$7&gt;I87,1-$Q$7&lt;I87,1+$Q$7&gt;J87,1-$Q$7&lt;J87,1+$Q$7&gt;K87,1-$Q$7&lt;K87,1+$Q$7&gt;L87,1-$Q$7&lt;L87),IF(SUM($N$2:N86)=0,1,0),0)</f>
        <v>0</v>
      </c>
      <c r="O87" s="34">
        <f t="shared" si="1"/>
        <v>0</v>
      </c>
    </row>
    <row r="88" spans="8:15" ht="20.100000000000001" customHeight="1" x14ac:dyDescent="0.25">
      <c r="H88" s="43" t="str">
        <f>IFERROR(ABS(C88/VLOOKUP(2*$B88,$B89:C122,2,TRUE)),"--")</f>
        <v>--</v>
      </c>
      <c r="I88" s="43" t="str">
        <f>IFERROR(ABS(D88/VLOOKUP(2*$B88,$B89:D122,3,TRUE)),"--")</f>
        <v>--</v>
      </c>
      <c r="J88" s="43" t="str">
        <f>IFERROR(ABS(E88/VLOOKUP(2*$B88,$B89:E122,4,TRUE)),"--")</f>
        <v>--</v>
      </c>
      <c r="K88" s="43" t="str">
        <f>IFERROR(ABS(F88/VLOOKUP(2*$B88,$B89:F122,5,TRUE)),"--")</f>
        <v>--</v>
      </c>
      <c r="L88" s="43" t="str">
        <f>IFERROR(ABS(G88/VLOOKUP(2*$B88,$B89:G122,6,TRUE)),"--")</f>
        <v>--</v>
      </c>
      <c r="M88" s="38">
        <f>IF(AND(1+$Q$6&gt;H88,1-$Q$6&lt;H88,1+$Q$6&gt;I88,1-$Q$6&lt;I88,1+$Q$6&gt;J88,1-$Q$6&lt;J88,1+$Q$6&gt;K88,1-$Q$6&lt;K88,1+$Q$6&gt;L88,1-$Q$6&lt;L88),IF(SUM($M$2:M87)=0,1,0),0)</f>
        <v>0</v>
      </c>
      <c r="N88" s="38">
        <f>IF(AND(1+$Q$7&gt;H88,1-$Q$7&lt;H88,1+$Q$7&gt;I88,1-$Q$7&lt;I88,1+$Q$7&gt;J88,1-$Q$7&lt;J88,1+$Q$7&gt;K88,1-$Q$7&lt;K88,1+$Q$7&gt;L88,1-$Q$7&lt;L88),IF(SUM($N$2:N87)=0,1,0),0)</f>
        <v>0</v>
      </c>
      <c r="O88" s="34">
        <f t="shared" si="1"/>
        <v>0</v>
      </c>
    </row>
    <row r="89" spans="8:15" ht="20.100000000000001" customHeight="1" x14ac:dyDescent="0.25">
      <c r="H89" s="43" t="str">
        <f>IFERROR(ABS(C89/VLOOKUP(2*$B89,$B90:C123,2,TRUE)),"--")</f>
        <v>--</v>
      </c>
      <c r="I89" s="43" t="str">
        <f>IFERROR(ABS(D89/VLOOKUP(2*$B89,$B90:D123,3,TRUE)),"--")</f>
        <v>--</v>
      </c>
      <c r="J89" s="43" t="str">
        <f>IFERROR(ABS(E89/VLOOKUP(2*$B89,$B90:E123,4,TRUE)),"--")</f>
        <v>--</v>
      </c>
      <c r="K89" s="43" t="str">
        <f>IFERROR(ABS(F89/VLOOKUP(2*$B89,$B90:F123,5,TRUE)),"--")</f>
        <v>--</v>
      </c>
      <c r="L89" s="43" t="str">
        <f>IFERROR(ABS(G89/VLOOKUP(2*$B89,$B90:G123,6,TRUE)),"--")</f>
        <v>--</v>
      </c>
      <c r="M89" s="38">
        <f>IF(AND(1+$Q$6&gt;H89,1-$Q$6&lt;H89,1+$Q$6&gt;I89,1-$Q$6&lt;I89,1+$Q$6&gt;J89,1-$Q$6&lt;J89,1+$Q$6&gt;K89,1-$Q$6&lt;K89,1+$Q$6&gt;L89,1-$Q$6&lt;L89),IF(SUM($M$2:M88)=0,1,0),0)</f>
        <v>0</v>
      </c>
      <c r="N89" s="38">
        <f>IF(AND(1+$Q$7&gt;H89,1-$Q$7&lt;H89,1+$Q$7&gt;I89,1-$Q$7&lt;I89,1+$Q$7&gt;J89,1-$Q$7&lt;J89,1+$Q$7&gt;K89,1-$Q$7&lt;K89,1+$Q$7&gt;L89,1-$Q$7&lt;L89),IF(SUM($N$2:N88)=0,1,0),0)</f>
        <v>0</v>
      </c>
      <c r="O89" s="34">
        <f t="shared" si="1"/>
        <v>0</v>
      </c>
    </row>
    <row r="90" spans="8:15" ht="20.100000000000001" customHeight="1" x14ac:dyDescent="0.25">
      <c r="H90" s="43" t="str">
        <f>IFERROR(ABS(C90/VLOOKUP(2*$B90,$B91:C124,2,TRUE)),"--")</f>
        <v>--</v>
      </c>
      <c r="I90" s="43" t="str">
        <f>IFERROR(ABS(D90/VLOOKUP(2*$B90,$B91:D124,3,TRUE)),"--")</f>
        <v>--</v>
      </c>
      <c r="J90" s="43" t="str">
        <f>IFERROR(ABS(E90/VLOOKUP(2*$B90,$B91:E124,4,TRUE)),"--")</f>
        <v>--</v>
      </c>
      <c r="K90" s="43" t="str">
        <f>IFERROR(ABS(F90/VLOOKUP(2*$B90,$B91:F124,5,TRUE)),"--")</f>
        <v>--</v>
      </c>
      <c r="L90" s="43" t="str">
        <f>IFERROR(ABS(G90/VLOOKUP(2*$B90,$B91:G124,6,TRUE)),"--")</f>
        <v>--</v>
      </c>
      <c r="M90" s="38">
        <f>IF(AND(1+$Q$6&gt;H90,1-$Q$6&lt;H90,1+$Q$6&gt;I90,1-$Q$6&lt;I90,1+$Q$6&gt;J90,1-$Q$6&lt;J90,1+$Q$6&gt;K90,1-$Q$6&lt;K90,1+$Q$6&gt;L90,1-$Q$6&lt;L90),IF(SUM($M$2:M89)=0,1,0),0)</f>
        <v>0</v>
      </c>
      <c r="N90" s="38">
        <f>IF(AND(1+$Q$7&gt;H90,1-$Q$7&lt;H90,1+$Q$7&gt;I90,1-$Q$7&lt;I90,1+$Q$7&gt;J90,1-$Q$7&lt;J90,1+$Q$7&gt;K90,1-$Q$7&lt;K90,1+$Q$7&gt;L90,1-$Q$7&lt;L90),IF(SUM($N$2:N89)=0,1,0),0)</f>
        <v>0</v>
      </c>
      <c r="O90" s="34">
        <f t="shared" si="1"/>
        <v>0</v>
      </c>
    </row>
    <row r="91" spans="8:15" ht="20.100000000000001" customHeight="1" x14ac:dyDescent="0.25">
      <c r="H91" s="43" t="str">
        <f>IFERROR(ABS(C91/VLOOKUP(2*$B91,$B92:C125,2,TRUE)),"--")</f>
        <v>--</v>
      </c>
      <c r="I91" s="43" t="str">
        <f>IFERROR(ABS(D91/VLOOKUP(2*$B91,$B92:D125,3,TRUE)),"--")</f>
        <v>--</v>
      </c>
      <c r="J91" s="43" t="str">
        <f>IFERROR(ABS(E91/VLOOKUP(2*$B91,$B92:E125,4,TRUE)),"--")</f>
        <v>--</v>
      </c>
      <c r="K91" s="43" t="str">
        <f>IFERROR(ABS(F91/VLOOKUP(2*$B91,$B92:F125,5,TRUE)),"--")</f>
        <v>--</v>
      </c>
      <c r="L91" s="43" t="str">
        <f>IFERROR(ABS(G91/VLOOKUP(2*$B91,$B92:G125,6,TRUE)),"--")</f>
        <v>--</v>
      </c>
      <c r="M91" s="38">
        <f>IF(AND(1+$Q$6&gt;H91,1-$Q$6&lt;H91,1+$Q$6&gt;I91,1-$Q$6&lt;I91,1+$Q$6&gt;J91,1-$Q$6&lt;J91,1+$Q$6&gt;K91,1-$Q$6&lt;K91,1+$Q$6&gt;L91,1-$Q$6&lt;L91),IF(SUM($M$2:M90)=0,1,0),0)</f>
        <v>0</v>
      </c>
      <c r="N91" s="38">
        <f>IF(AND(1+$Q$7&gt;H91,1-$Q$7&lt;H91,1+$Q$7&gt;I91,1-$Q$7&lt;I91,1+$Q$7&gt;J91,1-$Q$7&lt;J91,1+$Q$7&gt;K91,1-$Q$7&lt;K91,1+$Q$7&gt;L91,1-$Q$7&lt;L91),IF(SUM($N$2:N90)=0,1,0),0)</f>
        <v>0</v>
      </c>
      <c r="O91" s="34">
        <f t="shared" si="1"/>
        <v>0</v>
      </c>
    </row>
    <row r="92" spans="8:15" ht="20.100000000000001" customHeight="1" x14ac:dyDescent="0.25">
      <c r="H92" s="43" t="str">
        <f>IFERROR(ABS(C92/VLOOKUP(2*$B92,$B93:C126,2,TRUE)),"--")</f>
        <v>--</v>
      </c>
      <c r="I92" s="43" t="str">
        <f>IFERROR(ABS(D92/VLOOKUP(2*$B92,$B93:D126,3,TRUE)),"--")</f>
        <v>--</v>
      </c>
      <c r="J92" s="43" t="str">
        <f>IFERROR(ABS(E92/VLOOKUP(2*$B92,$B93:E126,4,TRUE)),"--")</f>
        <v>--</v>
      </c>
      <c r="K92" s="43" t="str">
        <f>IFERROR(ABS(F92/VLOOKUP(2*$B92,$B93:F126,5,TRUE)),"--")</f>
        <v>--</v>
      </c>
      <c r="L92" s="43" t="str">
        <f>IFERROR(ABS(G92/VLOOKUP(2*$B92,$B93:G126,6,TRUE)),"--")</f>
        <v>--</v>
      </c>
      <c r="M92" s="38">
        <f>IF(AND(1+$Q$6&gt;H92,1-$Q$6&lt;H92,1+$Q$6&gt;I92,1-$Q$6&lt;I92,1+$Q$6&gt;J92,1-$Q$6&lt;J92,1+$Q$6&gt;K92,1-$Q$6&lt;K92,1+$Q$6&gt;L92,1-$Q$6&lt;L92),IF(SUM($M$2:M91)=0,1,0),0)</f>
        <v>0</v>
      </c>
      <c r="N92" s="38">
        <f>IF(AND(1+$Q$7&gt;H92,1-$Q$7&lt;H92,1+$Q$7&gt;I92,1-$Q$7&lt;I92,1+$Q$7&gt;J92,1-$Q$7&lt;J92,1+$Q$7&gt;K92,1-$Q$7&lt;K92,1+$Q$7&gt;L92,1-$Q$7&lt;L92),IF(SUM($N$2:N91)=0,1,0),0)</f>
        <v>0</v>
      </c>
      <c r="O92" s="34">
        <f t="shared" si="1"/>
        <v>0</v>
      </c>
    </row>
    <row r="93" spans="8:15" ht="20.100000000000001" customHeight="1" x14ac:dyDescent="0.25">
      <c r="H93" s="43" t="str">
        <f>IFERROR(ABS(C93/VLOOKUP(2*$B93,$B94:C127,2,TRUE)),"--")</f>
        <v>--</v>
      </c>
      <c r="I93" s="43" t="str">
        <f>IFERROR(ABS(D93/VLOOKUP(2*$B93,$B94:D127,3,TRUE)),"--")</f>
        <v>--</v>
      </c>
      <c r="J93" s="43" t="str">
        <f>IFERROR(ABS(E93/VLOOKUP(2*$B93,$B94:E127,4,TRUE)),"--")</f>
        <v>--</v>
      </c>
      <c r="K93" s="43" t="str">
        <f>IFERROR(ABS(F93/VLOOKUP(2*$B93,$B94:F127,5,TRUE)),"--")</f>
        <v>--</v>
      </c>
      <c r="L93" s="43" t="str">
        <f>IFERROR(ABS(G93/VLOOKUP(2*$B93,$B94:G127,6,TRUE)),"--")</f>
        <v>--</v>
      </c>
      <c r="M93" s="38">
        <f>IF(AND(1+$Q$6&gt;H93,1-$Q$6&lt;H93,1+$Q$6&gt;I93,1-$Q$6&lt;I93,1+$Q$6&gt;J93,1-$Q$6&lt;J93,1+$Q$6&gt;K93,1-$Q$6&lt;K93,1+$Q$6&gt;L93,1-$Q$6&lt;L93),IF(SUM($M$2:M92)=0,1,0),0)</f>
        <v>0</v>
      </c>
      <c r="N93" s="38">
        <f>IF(AND(1+$Q$7&gt;H93,1-$Q$7&lt;H93,1+$Q$7&gt;I93,1-$Q$7&lt;I93,1+$Q$7&gt;J93,1-$Q$7&lt;J93,1+$Q$7&gt;K93,1-$Q$7&lt;K93,1+$Q$7&gt;L93,1-$Q$7&lt;L93),IF(SUM($N$2:N92)=0,1,0),0)</f>
        <v>0</v>
      </c>
      <c r="O93" s="34">
        <f t="shared" si="1"/>
        <v>0</v>
      </c>
    </row>
    <row r="94" spans="8:15" ht="20.100000000000001" customHeight="1" x14ac:dyDescent="0.25">
      <c r="H94" s="43" t="str">
        <f>IFERROR(ABS(C94/VLOOKUP(2*$B94,$B95:C128,2,TRUE)),"--")</f>
        <v>--</v>
      </c>
      <c r="I94" s="43" t="str">
        <f>IFERROR(ABS(D94/VLOOKUP(2*$B94,$B95:D128,3,TRUE)),"--")</f>
        <v>--</v>
      </c>
      <c r="J94" s="43" t="str">
        <f>IFERROR(ABS(E94/VLOOKUP(2*$B94,$B95:E128,4,TRUE)),"--")</f>
        <v>--</v>
      </c>
      <c r="K94" s="43" t="str">
        <f>IFERROR(ABS(F94/VLOOKUP(2*$B94,$B95:F128,5,TRUE)),"--")</f>
        <v>--</v>
      </c>
      <c r="L94" s="43" t="str">
        <f>IFERROR(ABS(G94/VLOOKUP(2*$B94,$B95:G128,6,TRUE)),"--")</f>
        <v>--</v>
      </c>
      <c r="M94" s="38">
        <f>IF(AND(1+$Q$6&gt;H94,1-$Q$6&lt;H94,1+$Q$6&gt;I94,1-$Q$6&lt;I94,1+$Q$6&gt;J94,1-$Q$6&lt;J94,1+$Q$6&gt;K94,1-$Q$6&lt;K94,1+$Q$6&gt;L94,1-$Q$6&lt;L94),IF(SUM($M$2:M93)=0,1,0),0)</f>
        <v>0</v>
      </c>
      <c r="N94" s="38">
        <f>IF(AND(1+$Q$7&gt;H94,1-$Q$7&lt;H94,1+$Q$7&gt;I94,1-$Q$7&lt;I94,1+$Q$7&gt;J94,1-$Q$7&lt;J94,1+$Q$7&gt;K94,1-$Q$7&lt;K94,1+$Q$7&gt;L94,1-$Q$7&lt;L94),IF(SUM($N$2:N93)=0,1,0),0)</f>
        <v>0</v>
      </c>
      <c r="O94" s="34">
        <f t="shared" si="1"/>
        <v>0</v>
      </c>
    </row>
    <row r="95" spans="8:15" ht="20.100000000000001" customHeight="1" x14ac:dyDescent="0.25">
      <c r="H95" s="43" t="str">
        <f>IFERROR(ABS(C95/VLOOKUP(2*$B95,$B96:C129,2,TRUE)),"--")</f>
        <v>--</v>
      </c>
      <c r="I95" s="43" t="str">
        <f>IFERROR(ABS(D95/VLOOKUP(2*$B95,$B96:D129,3,TRUE)),"--")</f>
        <v>--</v>
      </c>
      <c r="J95" s="43" t="str">
        <f>IFERROR(ABS(E95/VLOOKUP(2*$B95,$B96:E129,4,TRUE)),"--")</f>
        <v>--</v>
      </c>
      <c r="K95" s="43" t="str">
        <f>IFERROR(ABS(F95/VLOOKUP(2*$B95,$B96:F129,5,TRUE)),"--")</f>
        <v>--</v>
      </c>
      <c r="L95" s="43" t="str">
        <f>IFERROR(ABS(G95/VLOOKUP(2*$B95,$B96:G129,6,TRUE)),"--")</f>
        <v>--</v>
      </c>
      <c r="M95" s="38">
        <f>IF(AND(1+$Q$6&gt;H95,1-$Q$6&lt;H95,1+$Q$6&gt;I95,1-$Q$6&lt;I95,1+$Q$6&gt;J95,1-$Q$6&lt;J95,1+$Q$6&gt;K95,1-$Q$6&lt;K95,1+$Q$6&gt;L95,1-$Q$6&lt;L95),IF(SUM($M$2:M94)=0,1,0),0)</f>
        <v>0</v>
      </c>
      <c r="N95" s="38">
        <f>IF(AND(1+$Q$7&gt;H95,1-$Q$7&lt;H95,1+$Q$7&gt;I95,1-$Q$7&lt;I95,1+$Q$7&gt;J95,1-$Q$7&lt;J95,1+$Q$7&gt;K95,1-$Q$7&lt;K95,1+$Q$7&gt;L95,1-$Q$7&lt;L95),IF(SUM($N$2:N94)=0,1,0),0)</f>
        <v>0</v>
      </c>
      <c r="O95" s="34">
        <f t="shared" si="1"/>
        <v>0</v>
      </c>
    </row>
    <row r="96" spans="8:15" ht="20.100000000000001" customHeight="1" x14ac:dyDescent="0.25">
      <c r="H96" s="43" t="str">
        <f>IFERROR(ABS(C96/VLOOKUP(2*$B96,$B97:C130,2,TRUE)),"--")</f>
        <v>--</v>
      </c>
      <c r="I96" s="43" t="str">
        <f>IFERROR(ABS(D96/VLOOKUP(2*$B96,$B97:D130,3,TRUE)),"--")</f>
        <v>--</v>
      </c>
      <c r="J96" s="43" t="str">
        <f>IFERROR(ABS(E96/VLOOKUP(2*$B96,$B97:E130,4,TRUE)),"--")</f>
        <v>--</v>
      </c>
      <c r="K96" s="43" t="str">
        <f>IFERROR(ABS(F96/VLOOKUP(2*$B96,$B97:F130,5,TRUE)),"--")</f>
        <v>--</v>
      </c>
      <c r="L96" s="43" t="str">
        <f>IFERROR(ABS(G96/VLOOKUP(2*$B96,$B97:G130,6,TRUE)),"--")</f>
        <v>--</v>
      </c>
      <c r="M96" s="38">
        <f>IF(AND(1+$Q$6&gt;H96,1-$Q$6&lt;H96,1+$Q$6&gt;I96,1-$Q$6&lt;I96,1+$Q$6&gt;J96,1-$Q$6&lt;J96,1+$Q$6&gt;K96,1-$Q$6&lt;K96,1+$Q$6&gt;L96,1-$Q$6&lt;L96),IF(SUM($M$2:M95)=0,1,0),0)</f>
        <v>0</v>
      </c>
      <c r="N96" s="38">
        <f>IF(AND(1+$Q$7&gt;H96,1-$Q$7&lt;H96,1+$Q$7&gt;I96,1-$Q$7&lt;I96,1+$Q$7&gt;J96,1-$Q$7&lt;J96,1+$Q$7&gt;K96,1-$Q$7&lt;K96,1+$Q$7&gt;L96,1-$Q$7&lt;L96),IF(SUM($N$2:N95)=0,1,0),0)</f>
        <v>0</v>
      </c>
      <c r="O96" s="34">
        <f t="shared" si="1"/>
        <v>0</v>
      </c>
    </row>
    <row r="97" spans="8:15" ht="20.100000000000001" customHeight="1" x14ac:dyDescent="0.25">
      <c r="H97" s="43" t="str">
        <f>IFERROR(ABS(C97/VLOOKUP(2*$B97,$B98:C131,2,TRUE)),"--")</f>
        <v>--</v>
      </c>
      <c r="I97" s="43" t="str">
        <f>IFERROR(ABS(D97/VLOOKUP(2*$B97,$B98:D131,3,TRUE)),"--")</f>
        <v>--</v>
      </c>
      <c r="J97" s="43" t="str">
        <f>IFERROR(ABS(E97/VLOOKUP(2*$B97,$B98:E131,4,TRUE)),"--")</f>
        <v>--</v>
      </c>
      <c r="K97" s="43" t="str">
        <f>IFERROR(ABS(F97/VLOOKUP(2*$B97,$B98:F131,5,TRUE)),"--")</f>
        <v>--</v>
      </c>
      <c r="L97" s="43" t="str">
        <f>IFERROR(ABS(G97/VLOOKUP(2*$B97,$B98:G131,6,TRUE)),"--")</f>
        <v>--</v>
      </c>
      <c r="M97" s="38">
        <f>IF(AND(1+$Q$6&gt;H97,1-$Q$6&lt;H97,1+$Q$6&gt;I97,1-$Q$6&lt;I97,1+$Q$6&gt;J97,1-$Q$6&lt;J97,1+$Q$6&gt;K97,1-$Q$6&lt;K97,1+$Q$6&gt;L97,1-$Q$6&lt;L97),IF(SUM($M$2:M96)=0,1,0),0)</f>
        <v>0</v>
      </c>
      <c r="N97" s="38">
        <f>IF(AND(1+$Q$7&gt;H97,1-$Q$7&lt;H97,1+$Q$7&gt;I97,1-$Q$7&lt;I97,1+$Q$7&gt;J97,1-$Q$7&lt;J97,1+$Q$7&gt;K97,1-$Q$7&lt;K97,1+$Q$7&gt;L97,1-$Q$7&lt;L97),IF(SUM($N$2:N96)=0,1,0),0)</f>
        <v>0</v>
      </c>
      <c r="O97" s="34">
        <f t="shared" si="1"/>
        <v>0</v>
      </c>
    </row>
    <row r="98" spans="8:15" ht="20.100000000000001" customHeight="1" x14ac:dyDescent="0.25">
      <c r="H98" s="43" t="str">
        <f>IFERROR(ABS(C98/VLOOKUP(2*$B98,$B99:C132,2,TRUE)),"--")</f>
        <v>--</v>
      </c>
      <c r="I98" s="43" t="str">
        <f>IFERROR(ABS(D98/VLOOKUP(2*$B98,$B99:D132,3,TRUE)),"--")</f>
        <v>--</v>
      </c>
      <c r="J98" s="43" t="str">
        <f>IFERROR(ABS(E98/VLOOKUP(2*$B98,$B99:E132,4,TRUE)),"--")</f>
        <v>--</v>
      </c>
      <c r="K98" s="43" t="str">
        <f>IFERROR(ABS(F98/VLOOKUP(2*$B98,$B99:F132,5,TRUE)),"--")</f>
        <v>--</v>
      </c>
      <c r="L98" s="43" t="str">
        <f>IFERROR(ABS(G98/VLOOKUP(2*$B98,$B99:G132,6,TRUE)),"--")</f>
        <v>--</v>
      </c>
      <c r="M98" s="38">
        <f>IF(AND(1+$Q$6&gt;H98,1-$Q$6&lt;H98,1+$Q$6&gt;I98,1-$Q$6&lt;I98,1+$Q$6&gt;J98,1-$Q$6&lt;J98,1+$Q$6&gt;K98,1-$Q$6&lt;K98,1+$Q$6&gt;L98,1-$Q$6&lt;L98),IF(SUM($M$2:M97)=0,1,0),0)</f>
        <v>0</v>
      </c>
      <c r="N98" s="38">
        <f>IF(AND(1+$Q$7&gt;H98,1-$Q$7&lt;H98,1+$Q$7&gt;I98,1-$Q$7&lt;I98,1+$Q$7&gt;J98,1-$Q$7&lt;J98,1+$Q$7&gt;K98,1-$Q$7&lt;K98,1+$Q$7&gt;L98,1-$Q$7&lt;L98),IF(SUM($N$2:N97)=0,1,0),0)</f>
        <v>0</v>
      </c>
      <c r="O98" s="34">
        <f t="shared" si="1"/>
        <v>0</v>
      </c>
    </row>
    <row r="99" spans="8:15" ht="20.100000000000001" customHeight="1" x14ac:dyDescent="0.25">
      <c r="H99" s="43" t="str">
        <f>IFERROR(ABS(C99/VLOOKUP(2*$B99,$B100:C133,2,TRUE)),"--")</f>
        <v>--</v>
      </c>
      <c r="I99" s="43" t="str">
        <f>IFERROR(ABS(D99/VLOOKUP(2*$B99,$B100:D133,3,TRUE)),"--")</f>
        <v>--</v>
      </c>
      <c r="J99" s="43" t="str">
        <f>IFERROR(ABS(E99/VLOOKUP(2*$B99,$B100:E133,4,TRUE)),"--")</f>
        <v>--</v>
      </c>
      <c r="K99" s="43" t="str">
        <f>IFERROR(ABS(F99/VLOOKUP(2*$B99,$B100:F133,5,TRUE)),"--")</f>
        <v>--</v>
      </c>
      <c r="L99" s="43" t="str">
        <f>IFERROR(ABS(G99/VLOOKUP(2*$B99,$B100:G133,6,TRUE)),"--")</f>
        <v>--</v>
      </c>
      <c r="M99" s="38">
        <f>IF(AND(1+$Q$6&gt;H99,1-$Q$6&lt;H99,1+$Q$6&gt;I99,1-$Q$6&lt;I99,1+$Q$6&gt;J99,1-$Q$6&lt;J99,1+$Q$6&gt;K99,1-$Q$6&lt;K99,1+$Q$6&gt;L99,1-$Q$6&lt;L99),IF(SUM($M$2:M98)=0,1,0),0)</f>
        <v>0</v>
      </c>
      <c r="N99" s="38">
        <f>IF(AND(1+$Q$7&gt;H99,1-$Q$7&lt;H99,1+$Q$7&gt;I99,1-$Q$7&lt;I99,1+$Q$7&gt;J99,1-$Q$7&lt;J99,1+$Q$7&gt;K99,1-$Q$7&lt;K99,1+$Q$7&gt;L99,1-$Q$7&lt;L99),IF(SUM($N$2:N98)=0,1,0),0)</f>
        <v>0</v>
      </c>
      <c r="O99" s="34">
        <f t="shared" si="1"/>
        <v>0</v>
      </c>
    </row>
    <row r="100" spans="8:15" ht="20.100000000000001" customHeight="1" x14ac:dyDescent="0.25">
      <c r="H100" s="43" t="str">
        <f>IFERROR(ABS(C100/VLOOKUP(2*$B100,$B101:C134,2,TRUE)),"--")</f>
        <v>--</v>
      </c>
      <c r="I100" s="43" t="str">
        <f>IFERROR(ABS(D100/VLOOKUP(2*$B100,$B101:D134,3,TRUE)),"--")</f>
        <v>--</v>
      </c>
      <c r="J100" s="43" t="str">
        <f>IFERROR(ABS(E100/VLOOKUP(2*$B100,$B101:E134,4,TRUE)),"--")</f>
        <v>--</v>
      </c>
      <c r="K100" s="43" t="str">
        <f>IFERROR(ABS(F100/VLOOKUP(2*$B100,$B101:F134,5,TRUE)),"--")</f>
        <v>--</v>
      </c>
      <c r="L100" s="43" t="str">
        <f>IFERROR(ABS(G100/VLOOKUP(2*$B100,$B101:G134,6,TRUE)),"--")</f>
        <v>--</v>
      </c>
      <c r="M100" s="38">
        <f>IF(AND(1+$Q$6&gt;H100,1-$Q$6&lt;H100,1+$Q$6&gt;I100,1-$Q$6&lt;I100,1+$Q$6&gt;J100,1-$Q$6&lt;J100,1+$Q$6&gt;K100,1-$Q$6&lt;K100,1+$Q$6&gt;L100,1-$Q$6&lt;L100),IF(SUM($M$2:M99)=0,1,0),0)</f>
        <v>0</v>
      </c>
      <c r="N100" s="38">
        <f>IF(AND(1+$Q$7&gt;H100,1-$Q$7&lt;H100,1+$Q$7&gt;I100,1-$Q$7&lt;I100,1+$Q$7&gt;J100,1-$Q$7&lt;J100,1+$Q$7&gt;K100,1-$Q$7&lt;K100,1+$Q$7&gt;L100,1-$Q$7&lt;L100),IF(SUM($N$2:N99)=0,1,0),0)</f>
        <v>0</v>
      </c>
      <c r="O100" s="34">
        <f t="shared" si="1"/>
        <v>0</v>
      </c>
    </row>
    <row r="101" spans="8:15" ht="20.100000000000001" customHeight="1" x14ac:dyDescent="0.25">
      <c r="H101" s="43" t="str">
        <f>IFERROR(ABS(C101/VLOOKUP(2*$B101,$B102:C135,2,TRUE)),"--")</f>
        <v>--</v>
      </c>
      <c r="I101" s="43" t="str">
        <f>IFERROR(ABS(D101/VLOOKUP(2*$B101,$B102:D135,3,TRUE)),"--")</f>
        <v>--</v>
      </c>
      <c r="J101" s="43" t="str">
        <f>IFERROR(ABS(E101/VLOOKUP(2*$B101,$B102:E135,4,TRUE)),"--")</f>
        <v>--</v>
      </c>
      <c r="K101" s="43" t="str">
        <f>IFERROR(ABS(F101/VLOOKUP(2*$B101,$B102:F135,5,TRUE)),"--")</f>
        <v>--</v>
      </c>
      <c r="L101" s="43" t="str">
        <f>IFERROR(ABS(G101/VLOOKUP(2*$B101,$B102:G135,6,TRUE)),"--")</f>
        <v>--</v>
      </c>
      <c r="M101" s="38">
        <f>IF(AND(1+$Q$6&gt;H101,1-$Q$6&lt;H101,1+$Q$6&gt;I101,1-$Q$6&lt;I101,1+$Q$6&gt;J101,1-$Q$6&lt;J101,1+$Q$6&gt;K101,1-$Q$6&lt;K101,1+$Q$6&gt;L101,1-$Q$6&lt;L101),IF(SUM($M$2:M100)=0,1,0),0)</f>
        <v>0</v>
      </c>
      <c r="N101" s="38">
        <f>IF(AND(1+$Q$7&gt;H101,1-$Q$7&lt;H101,1+$Q$7&gt;I101,1-$Q$7&lt;I101,1+$Q$7&gt;J101,1-$Q$7&lt;J101,1+$Q$7&gt;K101,1-$Q$7&lt;K101,1+$Q$7&gt;L101,1-$Q$7&lt;L101),IF(SUM($N$2:N100)=0,1,0),0)</f>
        <v>0</v>
      </c>
      <c r="O101" s="34">
        <f t="shared" si="1"/>
        <v>0</v>
      </c>
    </row>
    <row r="102" spans="8:15" ht="20.100000000000001" customHeight="1" x14ac:dyDescent="0.25">
      <c r="H102" s="43" t="str">
        <f>IFERROR(ABS(C102/VLOOKUP(2*$B102,$B103:C136,2,TRUE)),"--")</f>
        <v>--</v>
      </c>
      <c r="I102" s="43" t="str">
        <f>IFERROR(ABS(D102/VLOOKUP(2*$B102,$B103:D136,3,TRUE)),"--")</f>
        <v>--</v>
      </c>
      <c r="J102" s="43" t="str">
        <f>IFERROR(ABS(E102/VLOOKUP(2*$B102,$B103:E136,4,TRUE)),"--")</f>
        <v>--</v>
      </c>
      <c r="K102" s="43" t="str">
        <f>IFERROR(ABS(F102/VLOOKUP(2*$B102,$B103:F136,5,TRUE)),"--")</f>
        <v>--</v>
      </c>
      <c r="L102" s="43" t="str">
        <f>IFERROR(ABS(G102/VLOOKUP(2*$B102,$B103:G136,6,TRUE)),"--")</f>
        <v>--</v>
      </c>
      <c r="M102" s="38">
        <f>IF(AND(1+$Q$6&gt;H102,1-$Q$6&lt;H102,1+$Q$6&gt;I102,1-$Q$6&lt;I102,1+$Q$6&gt;J102,1-$Q$6&lt;J102,1+$Q$6&gt;K102,1-$Q$6&lt;K102,1+$Q$6&gt;L102,1-$Q$6&lt;L102),IF(SUM($M$2:M101)=0,1,0),0)</f>
        <v>0</v>
      </c>
      <c r="N102" s="38">
        <f>IF(AND(1+$Q$7&gt;H102,1-$Q$7&lt;H102,1+$Q$7&gt;I102,1-$Q$7&lt;I102,1+$Q$7&gt;J102,1-$Q$7&lt;J102,1+$Q$7&gt;K102,1-$Q$7&lt;K102,1+$Q$7&gt;L102,1-$Q$7&lt;L102),IF(SUM($N$2:N101)=0,1,0),0)</f>
        <v>0</v>
      </c>
      <c r="O102" s="34">
        <f t="shared" si="1"/>
        <v>0</v>
      </c>
    </row>
    <row r="103" spans="8:15" ht="20.100000000000001" customHeight="1" x14ac:dyDescent="0.25">
      <c r="H103" s="43" t="str">
        <f>IFERROR(ABS(C103/VLOOKUP(2*$B103,$B104:C137,2,TRUE)),"--")</f>
        <v>--</v>
      </c>
      <c r="I103" s="43" t="str">
        <f>IFERROR(ABS(D103/VLOOKUP(2*$B103,$B104:D137,3,TRUE)),"--")</f>
        <v>--</v>
      </c>
      <c r="J103" s="43" t="str">
        <f>IFERROR(ABS(E103/VLOOKUP(2*$B103,$B104:E137,4,TRUE)),"--")</f>
        <v>--</v>
      </c>
      <c r="K103" s="43" t="str">
        <f>IFERROR(ABS(F103/VLOOKUP(2*$B103,$B104:F137,5,TRUE)),"--")</f>
        <v>--</v>
      </c>
      <c r="L103" s="43" t="str">
        <f>IFERROR(ABS(G103/VLOOKUP(2*$B103,$B104:G137,6,TRUE)),"--")</f>
        <v>--</v>
      </c>
      <c r="M103" s="38">
        <f>IF(AND(1+$Q$6&gt;H103,1-$Q$6&lt;H103,1+$Q$6&gt;I103,1-$Q$6&lt;I103,1+$Q$6&gt;J103,1-$Q$6&lt;J103,1+$Q$6&gt;K103,1-$Q$6&lt;K103,1+$Q$6&gt;L103,1-$Q$6&lt;L103),IF(SUM($M$2:M102)=0,1,0),0)</f>
        <v>0</v>
      </c>
      <c r="N103" s="38">
        <f>IF(AND(1+$Q$7&gt;H103,1-$Q$7&lt;H103,1+$Q$7&gt;I103,1-$Q$7&lt;I103,1+$Q$7&gt;J103,1-$Q$7&lt;J103,1+$Q$7&gt;K103,1-$Q$7&lt;K103,1+$Q$7&gt;L103,1-$Q$7&lt;L103),IF(SUM($N$2:N102)=0,1,0),0)</f>
        <v>0</v>
      </c>
      <c r="O103" s="34">
        <f t="shared" si="1"/>
        <v>0</v>
      </c>
    </row>
    <row r="104" spans="8:15" ht="20.100000000000001" customHeight="1" x14ac:dyDescent="0.25">
      <c r="H104" s="43" t="str">
        <f>IFERROR(ABS(C104/VLOOKUP(2*$B104,$B105:C138,2,TRUE)),"--")</f>
        <v>--</v>
      </c>
      <c r="I104" s="43" t="str">
        <f>IFERROR(ABS(D104/VLOOKUP(2*$B104,$B105:D138,3,TRUE)),"--")</f>
        <v>--</v>
      </c>
      <c r="J104" s="43" t="str">
        <f>IFERROR(ABS(E104/VLOOKUP(2*$B104,$B105:E138,4,TRUE)),"--")</f>
        <v>--</v>
      </c>
      <c r="K104" s="43" t="str">
        <f>IFERROR(ABS(F104/VLOOKUP(2*$B104,$B105:F138,5,TRUE)),"--")</f>
        <v>--</v>
      </c>
      <c r="L104" s="43" t="str">
        <f>IFERROR(ABS(G104/VLOOKUP(2*$B104,$B105:G138,6,TRUE)),"--")</f>
        <v>--</v>
      </c>
      <c r="M104" s="38">
        <f>IF(AND(1+$Q$6&gt;H104,1-$Q$6&lt;H104,1+$Q$6&gt;I104,1-$Q$6&lt;I104,1+$Q$6&gt;J104,1-$Q$6&lt;J104,1+$Q$6&gt;K104,1-$Q$6&lt;K104,1+$Q$6&gt;L104,1-$Q$6&lt;L104),IF(SUM($M$2:M103)=0,1,0),0)</f>
        <v>0</v>
      </c>
      <c r="N104" s="38">
        <f>IF(AND(1+$Q$7&gt;H104,1-$Q$7&lt;H104,1+$Q$7&gt;I104,1-$Q$7&lt;I104,1+$Q$7&gt;J104,1-$Q$7&lt;J104,1+$Q$7&gt;K104,1-$Q$7&lt;K104,1+$Q$7&gt;L104,1-$Q$7&lt;L104),IF(SUM($N$2:N103)=0,1,0),0)</f>
        <v>0</v>
      </c>
      <c r="O104" s="34">
        <f t="shared" si="1"/>
        <v>0</v>
      </c>
    </row>
    <row r="105" spans="8:15" ht="20.100000000000001" customHeight="1" x14ac:dyDescent="0.25">
      <c r="H105" s="43" t="str">
        <f>IFERROR(ABS(C105/VLOOKUP(2*$B105,$B106:C139,2,TRUE)),"--")</f>
        <v>--</v>
      </c>
      <c r="I105" s="43" t="str">
        <f>IFERROR(ABS(D105/VLOOKUP(2*$B105,$B106:D139,3,TRUE)),"--")</f>
        <v>--</v>
      </c>
      <c r="J105" s="43" t="str">
        <f>IFERROR(ABS(E105/VLOOKUP(2*$B105,$B106:E139,4,TRUE)),"--")</f>
        <v>--</v>
      </c>
      <c r="K105" s="43" t="str">
        <f>IFERROR(ABS(F105/VLOOKUP(2*$B105,$B106:F139,5,TRUE)),"--")</f>
        <v>--</v>
      </c>
      <c r="L105" s="43" t="str">
        <f>IFERROR(ABS(G105/VLOOKUP(2*$B105,$B106:G139,6,TRUE)),"--")</f>
        <v>--</v>
      </c>
      <c r="M105" s="38">
        <f>IF(AND(1+$Q$6&gt;H105,1-$Q$6&lt;H105,1+$Q$6&gt;I105,1-$Q$6&lt;I105,1+$Q$6&gt;J105,1-$Q$6&lt;J105,1+$Q$6&gt;K105,1-$Q$6&lt;K105,1+$Q$6&gt;L105,1-$Q$6&lt;L105),IF(SUM($M$2:M104)=0,1,0),0)</f>
        <v>0</v>
      </c>
      <c r="N105" s="38">
        <f>IF(AND(1+$Q$7&gt;H105,1-$Q$7&lt;H105,1+$Q$7&gt;I105,1-$Q$7&lt;I105,1+$Q$7&gt;J105,1-$Q$7&lt;J105,1+$Q$7&gt;K105,1-$Q$7&lt;K105,1+$Q$7&gt;L105,1-$Q$7&lt;L105),IF(SUM($N$2:N104)=0,1,0),0)</f>
        <v>0</v>
      </c>
      <c r="O105" s="34">
        <f t="shared" si="1"/>
        <v>0</v>
      </c>
    </row>
    <row r="106" spans="8:15" ht="20.100000000000001" customHeight="1" x14ac:dyDescent="0.25">
      <c r="H106" s="43" t="str">
        <f>IFERROR(ABS(C106/VLOOKUP(2*$B106,$B107:C140,2,TRUE)),"--")</f>
        <v>--</v>
      </c>
      <c r="I106" s="43" t="str">
        <f>IFERROR(ABS(D106/VLOOKUP(2*$B106,$B107:D140,3,TRUE)),"--")</f>
        <v>--</v>
      </c>
      <c r="J106" s="43" t="str">
        <f>IFERROR(ABS(E106/VLOOKUP(2*$B106,$B107:E140,4,TRUE)),"--")</f>
        <v>--</v>
      </c>
      <c r="K106" s="43" t="str">
        <f>IFERROR(ABS(F106/VLOOKUP(2*$B106,$B107:F140,5,TRUE)),"--")</f>
        <v>--</v>
      </c>
      <c r="L106" s="43" t="str">
        <f>IFERROR(ABS(G106/VLOOKUP(2*$B106,$B107:G140,6,TRUE)),"--")</f>
        <v>--</v>
      </c>
      <c r="M106" s="38">
        <f>IF(AND(1+$Q$6&gt;H106,1-$Q$6&lt;H106,1+$Q$6&gt;I106,1-$Q$6&lt;I106,1+$Q$6&gt;J106,1-$Q$6&lt;J106,1+$Q$6&gt;K106,1-$Q$6&lt;K106,1+$Q$6&gt;L106,1-$Q$6&lt;L106),IF(SUM($M$2:M105)=0,1,0),0)</f>
        <v>0</v>
      </c>
      <c r="N106" s="38">
        <f>IF(AND(1+$Q$7&gt;H106,1-$Q$7&lt;H106,1+$Q$7&gt;I106,1-$Q$7&lt;I106,1+$Q$7&gt;J106,1-$Q$7&lt;J106,1+$Q$7&gt;K106,1-$Q$7&lt;K106,1+$Q$7&gt;L106,1-$Q$7&lt;L106),IF(SUM($N$2:N105)=0,1,0),0)</f>
        <v>0</v>
      </c>
      <c r="O106" s="34">
        <f t="shared" si="1"/>
        <v>0</v>
      </c>
    </row>
    <row r="107" spans="8:15" ht="20.100000000000001" customHeight="1" x14ac:dyDescent="0.25">
      <c r="H107" s="43" t="str">
        <f>IFERROR(ABS(C107/VLOOKUP(2*$B107,$B108:C141,2,TRUE)),"--")</f>
        <v>--</v>
      </c>
      <c r="I107" s="43" t="str">
        <f>IFERROR(ABS(D107/VLOOKUP(2*$B107,$B108:D141,3,TRUE)),"--")</f>
        <v>--</v>
      </c>
      <c r="J107" s="43" t="str">
        <f>IFERROR(ABS(E107/VLOOKUP(2*$B107,$B108:E141,4,TRUE)),"--")</f>
        <v>--</v>
      </c>
      <c r="K107" s="43" t="str">
        <f>IFERROR(ABS(F107/VLOOKUP(2*$B107,$B108:F141,5,TRUE)),"--")</f>
        <v>--</v>
      </c>
      <c r="L107" s="43" t="str">
        <f>IFERROR(ABS(G107/VLOOKUP(2*$B107,$B108:G141,6,TRUE)),"--")</f>
        <v>--</v>
      </c>
      <c r="M107" s="38">
        <f>IF(AND(1+$Q$6&gt;H107,1-$Q$6&lt;H107,1+$Q$6&gt;I107,1-$Q$6&lt;I107,1+$Q$6&gt;J107,1-$Q$6&lt;J107,1+$Q$6&gt;K107,1-$Q$6&lt;K107,1+$Q$6&gt;L107,1-$Q$6&lt;L107),IF(SUM($M$2:M106)=0,1,0),0)</f>
        <v>0</v>
      </c>
      <c r="N107" s="38">
        <f>IF(AND(1+$Q$7&gt;H107,1-$Q$7&lt;H107,1+$Q$7&gt;I107,1-$Q$7&lt;I107,1+$Q$7&gt;J107,1-$Q$7&lt;J107,1+$Q$7&gt;K107,1-$Q$7&lt;K107,1+$Q$7&gt;L107,1-$Q$7&lt;L107),IF(SUM($N$2:N106)=0,1,0),0)</f>
        <v>0</v>
      </c>
      <c r="O107" s="34">
        <f t="shared" si="1"/>
        <v>0</v>
      </c>
    </row>
    <row r="108" spans="8:15" ht="20.100000000000001" customHeight="1" x14ac:dyDescent="0.25">
      <c r="H108" s="43" t="str">
        <f>IFERROR(ABS(C108/VLOOKUP(2*$B108,$B109:C142,2,TRUE)),"--")</f>
        <v>--</v>
      </c>
      <c r="I108" s="43" t="str">
        <f>IFERROR(ABS(D108/VLOOKUP(2*$B108,$B109:D142,3,TRUE)),"--")</f>
        <v>--</v>
      </c>
      <c r="J108" s="43" t="str">
        <f>IFERROR(ABS(E108/VLOOKUP(2*$B108,$B109:E142,4,TRUE)),"--")</f>
        <v>--</v>
      </c>
      <c r="K108" s="43" t="str">
        <f>IFERROR(ABS(F108/VLOOKUP(2*$B108,$B109:F142,5,TRUE)),"--")</f>
        <v>--</v>
      </c>
      <c r="L108" s="43" t="str">
        <f>IFERROR(ABS(G108/VLOOKUP(2*$B108,$B109:G142,6,TRUE)),"--")</f>
        <v>--</v>
      </c>
      <c r="M108" s="38">
        <f>IF(AND(1+$Q$6&gt;H108,1-$Q$6&lt;H108,1+$Q$6&gt;I108,1-$Q$6&lt;I108,1+$Q$6&gt;J108,1-$Q$6&lt;J108,1+$Q$6&gt;K108,1-$Q$6&lt;K108,1+$Q$6&gt;L108,1-$Q$6&lt;L108),IF(SUM($M$2:M107)=0,1,0),0)</f>
        <v>0</v>
      </c>
      <c r="N108" s="38">
        <f>IF(AND(1+$Q$7&gt;H108,1-$Q$7&lt;H108,1+$Q$7&gt;I108,1-$Q$7&lt;I108,1+$Q$7&gt;J108,1-$Q$7&lt;J108,1+$Q$7&gt;K108,1-$Q$7&lt;K108,1+$Q$7&gt;L108,1-$Q$7&lt;L108),IF(SUM($N$2:N107)=0,1,0),0)</f>
        <v>0</v>
      </c>
      <c r="O108" s="34">
        <f t="shared" si="1"/>
        <v>0</v>
      </c>
    </row>
    <row r="109" spans="8:15" ht="20.100000000000001" customHeight="1" x14ac:dyDescent="0.25">
      <c r="H109" s="43" t="str">
        <f>IFERROR(ABS(C109/VLOOKUP(2*$B109,$B110:C143,2,TRUE)),"--")</f>
        <v>--</v>
      </c>
      <c r="I109" s="43" t="str">
        <f>IFERROR(ABS(D109/VLOOKUP(2*$B109,$B110:D143,3,TRUE)),"--")</f>
        <v>--</v>
      </c>
      <c r="J109" s="43" t="str">
        <f>IFERROR(ABS(E109/VLOOKUP(2*$B109,$B110:E143,4,TRUE)),"--")</f>
        <v>--</v>
      </c>
      <c r="K109" s="43" t="str">
        <f>IFERROR(ABS(F109/VLOOKUP(2*$B109,$B110:F143,5,TRUE)),"--")</f>
        <v>--</v>
      </c>
      <c r="L109" s="43" t="str">
        <f>IFERROR(ABS(G109/VLOOKUP(2*$B109,$B110:G143,6,TRUE)),"--")</f>
        <v>--</v>
      </c>
      <c r="M109" s="38">
        <f>IF(AND(1+$Q$6&gt;H109,1-$Q$6&lt;H109,1+$Q$6&gt;I109,1-$Q$6&lt;I109,1+$Q$6&gt;J109,1-$Q$6&lt;J109,1+$Q$6&gt;K109,1-$Q$6&lt;K109,1+$Q$6&gt;L109,1-$Q$6&lt;L109),IF(SUM($M$2:M108)=0,1,0),0)</f>
        <v>0</v>
      </c>
      <c r="N109" s="38">
        <f>IF(AND(1+$Q$7&gt;H109,1-$Q$7&lt;H109,1+$Q$7&gt;I109,1-$Q$7&lt;I109,1+$Q$7&gt;J109,1-$Q$7&lt;J109,1+$Q$7&gt;K109,1-$Q$7&lt;K109,1+$Q$7&gt;L109,1-$Q$7&lt;L109),IF(SUM($N$2:N108)=0,1,0),0)</f>
        <v>0</v>
      </c>
      <c r="O109" s="34">
        <f t="shared" si="1"/>
        <v>0</v>
      </c>
    </row>
    <row r="110" spans="8:15" ht="20.100000000000001" customHeight="1" x14ac:dyDescent="0.25">
      <c r="H110" s="43" t="str">
        <f>IFERROR(ABS(C110/VLOOKUP(2*$B110,$B111:C144,2,TRUE)),"--")</f>
        <v>--</v>
      </c>
      <c r="I110" s="43" t="str">
        <f>IFERROR(ABS(D110/VLOOKUP(2*$B110,$B111:D144,3,TRUE)),"--")</f>
        <v>--</v>
      </c>
      <c r="J110" s="43" t="str">
        <f>IFERROR(ABS(E110/VLOOKUP(2*$B110,$B111:E144,4,TRUE)),"--")</f>
        <v>--</v>
      </c>
      <c r="K110" s="43" t="str">
        <f>IFERROR(ABS(F110/VLOOKUP(2*$B110,$B111:F144,5,TRUE)),"--")</f>
        <v>--</v>
      </c>
      <c r="L110" s="43" t="str">
        <f>IFERROR(ABS(G110/VLOOKUP(2*$B110,$B111:G144,6,TRUE)),"--")</f>
        <v>--</v>
      </c>
      <c r="M110" s="38">
        <f>IF(AND(1+$Q$6&gt;H110,1-$Q$6&lt;H110,1+$Q$6&gt;I110,1-$Q$6&lt;I110,1+$Q$6&gt;J110,1-$Q$6&lt;J110,1+$Q$6&gt;K110,1-$Q$6&lt;K110,1+$Q$6&gt;L110,1-$Q$6&lt;L110),IF(SUM($M$2:M109)=0,1,0),0)</f>
        <v>0</v>
      </c>
      <c r="N110" s="38">
        <f>IF(AND(1+$Q$7&gt;H110,1-$Q$7&lt;H110,1+$Q$7&gt;I110,1-$Q$7&lt;I110,1+$Q$7&gt;J110,1-$Q$7&lt;J110,1+$Q$7&gt;K110,1-$Q$7&lt;K110,1+$Q$7&gt;L110,1-$Q$7&lt;L110),IF(SUM($N$2:N109)=0,1,0),0)</f>
        <v>0</v>
      </c>
      <c r="O110" s="34">
        <f t="shared" si="1"/>
        <v>0</v>
      </c>
    </row>
    <row r="111" spans="8:15" ht="20.100000000000001" customHeight="1" x14ac:dyDescent="0.25">
      <c r="H111" s="43" t="str">
        <f>IFERROR(ABS(C111/VLOOKUP(2*$B111,$B112:C145,2,TRUE)),"--")</f>
        <v>--</v>
      </c>
      <c r="I111" s="43" t="str">
        <f>IFERROR(ABS(D111/VLOOKUP(2*$B111,$B112:D145,3,TRUE)),"--")</f>
        <v>--</v>
      </c>
      <c r="J111" s="43" t="str">
        <f>IFERROR(ABS(E111/VLOOKUP(2*$B111,$B112:E145,4,TRUE)),"--")</f>
        <v>--</v>
      </c>
      <c r="K111" s="43" t="str">
        <f>IFERROR(ABS(F111/VLOOKUP(2*$B111,$B112:F145,5,TRUE)),"--")</f>
        <v>--</v>
      </c>
      <c r="L111" s="43" t="str">
        <f>IFERROR(ABS(G111/VLOOKUP(2*$B111,$B112:G145,6,TRUE)),"--")</f>
        <v>--</v>
      </c>
      <c r="M111" s="38">
        <f>IF(AND(1+$Q$6&gt;H111,1-$Q$6&lt;H111,1+$Q$6&gt;I111,1-$Q$6&lt;I111,1+$Q$6&gt;J111,1-$Q$6&lt;J111,1+$Q$6&gt;K111,1-$Q$6&lt;K111,1+$Q$6&gt;L111,1-$Q$6&lt;L111),IF(SUM($M$2:M110)=0,1,0),0)</f>
        <v>0</v>
      </c>
      <c r="N111" s="38">
        <f>IF(AND(1+$Q$7&gt;H111,1-$Q$7&lt;H111,1+$Q$7&gt;I111,1-$Q$7&lt;I111,1+$Q$7&gt;J111,1-$Q$7&lt;J111,1+$Q$7&gt;K111,1-$Q$7&lt;K111,1+$Q$7&gt;L111,1-$Q$7&lt;L111),IF(SUM($N$2:N110)=0,1,0),0)</f>
        <v>0</v>
      </c>
      <c r="O111" s="34">
        <f t="shared" si="1"/>
        <v>0</v>
      </c>
    </row>
    <row r="112" spans="8:15" ht="20.100000000000001" customHeight="1" x14ac:dyDescent="0.25">
      <c r="H112" s="43" t="str">
        <f>IFERROR(ABS(C112/VLOOKUP(2*$B112,$B113:C146,2,TRUE)),"--")</f>
        <v>--</v>
      </c>
      <c r="I112" s="43" t="str">
        <f>IFERROR(ABS(D112/VLOOKUP(2*$B112,$B113:D146,3,TRUE)),"--")</f>
        <v>--</v>
      </c>
      <c r="J112" s="43" t="str">
        <f>IFERROR(ABS(E112/VLOOKUP(2*$B112,$B113:E146,4,TRUE)),"--")</f>
        <v>--</v>
      </c>
      <c r="K112" s="43" t="str">
        <f>IFERROR(ABS(F112/VLOOKUP(2*$B112,$B113:F146,5,TRUE)),"--")</f>
        <v>--</v>
      </c>
      <c r="L112" s="43" t="str">
        <f>IFERROR(ABS(G112/VLOOKUP(2*$B112,$B113:G146,6,TRUE)),"--")</f>
        <v>--</v>
      </c>
      <c r="M112" s="38">
        <f>IF(AND(1+$Q$6&gt;H112,1-$Q$6&lt;H112,1+$Q$6&gt;I112,1-$Q$6&lt;I112,1+$Q$6&gt;J112,1-$Q$6&lt;J112,1+$Q$6&gt;K112,1-$Q$6&lt;K112,1+$Q$6&gt;L112,1-$Q$6&lt;L112),IF(SUM($M$2:M111)=0,1,0),0)</f>
        <v>0</v>
      </c>
      <c r="N112" s="38">
        <f>IF(AND(1+$Q$7&gt;H112,1-$Q$7&lt;H112,1+$Q$7&gt;I112,1-$Q$7&lt;I112,1+$Q$7&gt;J112,1-$Q$7&lt;J112,1+$Q$7&gt;K112,1-$Q$7&lt;K112,1+$Q$7&gt;L112,1-$Q$7&lt;L112),IF(SUM($N$2:N111)=0,1,0),0)</f>
        <v>0</v>
      </c>
      <c r="O112" s="34">
        <f t="shared" si="1"/>
        <v>0</v>
      </c>
    </row>
    <row r="113" spans="8:15" ht="20.100000000000001" customHeight="1" x14ac:dyDescent="0.25">
      <c r="H113" s="43" t="str">
        <f>IFERROR(ABS(C113/VLOOKUP(2*$B113,$B114:C147,2,TRUE)),"--")</f>
        <v>--</v>
      </c>
      <c r="I113" s="43" t="str">
        <f>IFERROR(ABS(D113/VLOOKUP(2*$B113,$B114:D147,3,TRUE)),"--")</f>
        <v>--</v>
      </c>
      <c r="J113" s="43" t="str">
        <f>IFERROR(ABS(E113/VLOOKUP(2*$B113,$B114:E147,4,TRUE)),"--")</f>
        <v>--</v>
      </c>
      <c r="K113" s="43" t="str">
        <f>IFERROR(ABS(F113/VLOOKUP(2*$B113,$B114:F147,5,TRUE)),"--")</f>
        <v>--</v>
      </c>
      <c r="L113" s="43" t="str">
        <f>IFERROR(ABS(G113/VLOOKUP(2*$B113,$B114:G147,6,TRUE)),"--")</f>
        <v>--</v>
      </c>
      <c r="M113" s="38">
        <f>IF(AND(1+$Q$6&gt;H113,1-$Q$6&lt;H113,1+$Q$6&gt;I113,1-$Q$6&lt;I113,1+$Q$6&gt;J113,1-$Q$6&lt;J113,1+$Q$6&gt;K113,1-$Q$6&lt;K113,1+$Q$6&gt;L113,1-$Q$6&lt;L113),IF(SUM($M$2:M112)=0,1,0),0)</f>
        <v>0</v>
      </c>
      <c r="N113" s="38">
        <f>IF(AND(1+$Q$7&gt;H113,1-$Q$7&lt;H113,1+$Q$7&gt;I113,1-$Q$7&lt;I113,1+$Q$7&gt;J113,1-$Q$7&lt;J113,1+$Q$7&gt;K113,1-$Q$7&lt;K113,1+$Q$7&gt;L113,1-$Q$7&lt;L113),IF(SUM($N$2:N112)=0,1,0),0)</f>
        <v>0</v>
      </c>
      <c r="O113" s="34">
        <f t="shared" si="1"/>
        <v>0</v>
      </c>
    </row>
    <row r="114" spans="8:15" ht="20.100000000000001" customHeight="1" x14ac:dyDescent="0.25">
      <c r="H114" s="43" t="str">
        <f>IFERROR(ABS(C114/VLOOKUP(2*$B114,$B115:C148,2,TRUE)),"--")</f>
        <v>--</v>
      </c>
      <c r="I114" s="43" t="str">
        <f>IFERROR(ABS(D114/VLOOKUP(2*$B114,$B115:D148,3,TRUE)),"--")</f>
        <v>--</v>
      </c>
      <c r="J114" s="43" t="str">
        <f>IFERROR(ABS(E114/VLOOKUP(2*$B114,$B115:E148,4,TRUE)),"--")</f>
        <v>--</v>
      </c>
      <c r="K114" s="43" t="str">
        <f>IFERROR(ABS(F114/VLOOKUP(2*$B114,$B115:F148,5,TRUE)),"--")</f>
        <v>--</v>
      </c>
      <c r="L114" s="43" t="str">
        <f>IFERROR(ABS(G114/VLOOKUP(2*$B114,$B115:G148,6,TRUE)),"--")</f>
        <v>--</v>
      </c>
      <c r="M114" s="38">
        <f>IF(AND(1+$Q$6&gt;H114,1-$Q$6&lt;H114,1+$Q$6&gt;I114,1-$Q$6&lt;I114,1+$Q$6&gt;J114,1-$Q$6&lt;J114,1+$Q$6&gt;K114,1-$Q$6&lt;K114,1+$Q$6&gt;L114,1-$Q$6&lt;L114),IF(SUM($M$2:M113)=0,1,0),0)</f>
        <v>0</v>
      </c>
      <c r="N114" s="38">
        <f>IF(AND(1+$Q$7&gt;H114,1-$Q$7&lt;H114,1+$Q$7&gt;I114,1-$Q$7&lt;I114,1+$Q$7&gt;J114,1-$Q$7&lt;J114,1+$Q$7&gt;K114,1-$Q$7&lt;K114,1+$Q$7&gt;L114,1-$Q$7&lt;L114),IF(SUM($N$2:N113)=0,1,0),0)</f>
        <v>0</v>
      </c>
      <c r="O114" s="34">
        <f t="shared" si="1"/>
        <v>0</v>
      </c>
    </row>
    <row r="115" spans="8:15" ht="20.100000000000001" customHeight="1" x14ac:dyDescent="0.25">
      <c r="H115" s="43" t="str">
        <f>IFERROR(ABS(C115/VLOOKUP(2*$B115,$B116:C149,2,TRUE)),"--")</f>
        <v>--</v>
      </c>
      <c r="I115" s="43" t="str">
        <f>IFERROR(ABS(D115/VLOOKUP(2*$B115,$B116:D149,3,TRUE)),"--")</f>
        <v>--</v>
      </c>
      <c r="J115" s="43" t="str">
        <f>IFERROR(ABS(E115/VLOOKUP(2*$B115,$B116:E149,4,TRUE)),"--")</f>
        <v>--</v>
      </c>
      <c r="K115" s="43" t="str">
        <f>IFERROR(ABS(F115/VLOOKUP(2*$B115,$B116:F149,5,TRUE)),"--")</f>
        <v>--</v>
      </c>
      <c r="L115" s="43" t="str">
        <f>IFERROR(ABS(G115/VLOOKUP(2*$B115,$B116:G149,6,TRUE)),"--")</f>
        <v>--</v>
      </c>
      <c r="M115" s="38">
        <f>IF(AND(1+$Q$6&gt;H115,1-$Q$6&lt;H115,1+$Q$6&gt;I115,1-$Q$6&lt;I115,1+$Q$6&gt;J115,1-$Q$6&lt;J115,1+$Q$6&gt;K115,1-$Q$6&lt;K115,1+$Q$6&gt;L115,1-$Q$6&lt;L115),IF(SUM($M$2:M114)=0,1,0),0)</f>
        <v>0</v>
      </c>
      <c r="N115" s="38">
        <f>IF(AND(1+$Q$7&gt;H115,1-$Q$7&lt;H115,1+$Q$7&gt;I115,1-$Q$7&lt;I115,1+$Q$7&gt;J115,1-$Q$7&lt;J115,1+$Q$7&gt;K115,1-$Q$7&lt;K115,1+$Q$7&gt;L115,1-$Q$7&lt;L115),IF(SUM($N$2:N114)=0,1,0),0)</f>
        <v>0</v>
      </c>
      <c r="O115" s="34">
        <f t="shared" si="1"/>
        <v>0</v>
      </c>
    </row>
    <row r="116" spans="8:15" ht="20.100000000000001" customHeight="1" x14ac:dyDescent="0.25">
      <c r="H116" s="43" t="str">
        <f>IFERROR(ABS(C116/VLOOKUP(2*$B116,$B117:C150,2,TRUE)),"--")</f>
        <v>--</v>
      </c>
      <c r="I116" s="43" t="str">
        <f>IFERROR(ABS(D116/VLOOKUP(2*$B116,$B117:D150,3,TRUE)),"--")</f>
        <v>--</v>
      </c>
      <c r="J116" s="43" t="str">
        <f>IFERROR(ABS(E116/VLOOKUP(2*$B116,$B117:E150,4,TRUE)),"--")</f>
        <v>--</v>
      </c>
      <c r="K116" s="43" t="str">
        <f>IFERROR(ABS(F116/VLOOKUP(2*$B116,$B117:F150,5,TRUE)),"--")</f>
        <v>--</v>
      </c>
      <c r="L116" s="43" t="str">
        <f>IFERROR(ABS(G116/VLOOKUP(2*$B116,$B117:G150,6,TRUE)),"--")</f>
        <v>--</v>
      </c>
      <c r="M116" s="38">
        <f>IF(AND(1+$Q$6&gt;H116,1-$Q$6&lt;H116,1+$Q$6&gt;I116,1-$Q$6&lt;I116,1+$Q$6&gt;J116,1-$Q$6&lt;J116,1+$Q$6&gt;K116,1-$Q$6&lt;K116,1+$Q$6&gt;L116,1-$Q$6&lt;L116),IF(SUM($M$2:M115)=0,1,0),0)</f>
        <v>0</v>
      </c>
      <c r="N116" s="38">
        <f>IF(AND(1+$Q$7&gt;H116,1-$Q$7&lt;H116,1+$Q$7&gt;I116,1-$Q$7&lt;I116,1+$Q$7&gt;J116,1-$Q$7&lt;J116,1+$Q$7&gt;K116,1-$Q$7&lt;K116,1+$Q$7&gt;L116,1-$Q$7&lt;L116),IF(SUM($N$2:N115)=0,1,0),0)</f>
        <v>0</v>
      </c>
      <c r="O116" s="34">
        <f t="shared" si="1"/>
        <v>0</v>
      </c>
    </row>
    <row r="117" spans="8:15" ht="20.100000000000001" customHeight="1" x14ac:dyDescent="0.25">
      <c r="H117" s="43" t="str">
        <f>IFERROR(ABS(C117/VLOOKUP(2*$B117,$B118:C151,2,TRUE)),"--")</f>
        <v>--</v>
      </c>
      <c r="I117" s="43" t="str">
        <f>IFERROR(ABS(D117/VLOOKUP(2*$B117,$B118:D151,3,TRUE)),"--")</f>
        <v>--</v>
      </c>
      <c r="J117" s="43" t="str">
        <f>IFERROR(ABS(E117/VLOOKUP(2*$B117,$B118:E151,4,TRUE)),"--")</f>
        <v>--</v>
      </c>
      <c r="K117" s="43" t="str">
        <f>IFERROR(ABS(F117/VLOOKUP(2*$B117,$B118:F151,5,TRUE)),"--")</f>
        <v>--</v>
      </c>
      <c r="L117" s="43" t="str">
        <f>IFERROR(ABS(G117/VLOOKUP(2*$B117,$B118:G151,6,TRUE)),"--")</f>
        <v>--</v>
      </c>
      <c r="M117" s="38">
        <f>IF(AND(1+$Q$6&gt;H117,1-$Q$6&lt;H117,1+$Q$6&gt;I117,1-$Q$6&lt;I117,1+$Q$6&gt;J117,1-$Q$6&lt;J117,1+$Q$6&gt;K117,1-$Q$6&lt;K117,1+$Q$6&gt;L117,1-$Q$6&lt;L117),IF(SUM($M$2:M116)=0,1,0),0)</f>
        <v>0</v>
      </c>
      <c r="N117" s="38">
        <f>IF(AND(1+$Q$7&gt;H117,1-$Q$7&lt;H117,1+$Q$7&gt;I117,1-$Q$7&lt;I117,1+$Q$7&gt;J117,1-$Q$7&lt;J117,1+$Q$7&gt;K117,1-$Q$7&lt;K117,1+$Q$7&gt;L117,1-$Q$7&lt;L117),IF(SUM($N$2:N116)=0,1,0),0)</f>
        <v>0</v>
      </c>
      <c r="O117" s="34">
        <f t="shared" si="1"/>
        <v>0</v>
      </c>
    </row>
    <row r="118" spans="8:15" ht="20.100000000000001" customHeight="1" x14ac:dyDescent="0.25">
      <c r="H118" s="43" t="str">
        <f>IFERROR(ABS(C118/VLOOKUP(2*$B118,$B119:C152,2,TRUE)),"--")</f>
        <v>--</v>
      </c>
      <c r="I118" s="43" t="str">
        <f>IFERROR(ABS(D118/VLOOKUP(2*$B118,$B119:D152,3,TRUE)),"--")</f>
        <v>--</v>
      </c>
      <c r="J118" s="43" t="str">
        <f>IFERROR(ABS(E118/VLOOKUP(2*$B118,$B119:E152,4,TRUE)),"--")</f>
        <v>--</v>
      </c>
      <c r="K118" s="43" t="str">
        <f>IFERROR(ABS(F118/VLOOKUP(2*$B118,$B119:F152,5,TRUE)),"--")</f>
        <v>--</v>
      </c>
      <c r="L118" s="43" t="str">
        <f>IFERROR(ABS(G118/VLOOKUP(2*$B118,$B119:G152,6,TRUE)),"--")</f>
        <v>--</v>
      </c>
      <c r="M118" s="38">
        <f>IF(AND(1+$Q$6&gt;H118,1-$Q$6&lt;H118,1+$Q$6&gt;I118,1-$Q$6&lt;I118,1+$Q$6&gt;J118,1-$Q$6&lt;J118,1+$Q$6&gt;K118,1-$Q$6&lt;K118,1+$Q$6&gt;L118,1-$Q$6&lt;L118),IF(SUM($M$2:M117)=0,1,0),0)</f>
        <v>0</v>
      </c>
      <c r="N118" s="38">
        <f>IF(AND(1+$Q$7&gt;H118,1-$Q$7&lt;H118,1+$Q$7&gt;I118,1-$Q$7&lt;I118,1+$Q$7&gt;J118,1-$Q$7&lt;J118,1+$Q$7&gt;K118,1-$Q$7&lt;K118,1+$Q$7&gt;L118,1-$Q$7&lt;L118),IF(SUM($N$2:N117)=0,1,0),0)</f>
        <v>0</v>
      </c>
      <c r="O118" s="34">
        <f t="shared" si="1"/>
        <v>0</v>
      </c>
    </row>
    <row r="119" spans="8:15" ht="20.100000000000001" customHeight="1" x14ac:dyDescent="0.25">
      <c r="H119" s="43" t="str">
        <f>IFERROR(ABS(C119/VLOOKUP(2*$B119,$B120:C153,2,TRUE)),"--")</f>
        <v>--</v>
      </c>
      <c r="I119" s="43" t="str">
        <f>IFERROR(ABS(D119/VLOOKUP(2*$B119,$B120:D153,3,TRUE)),"--")</f>
        <v>--</v>
      </c>
      <c r="J119" s="43" t="str">
        <f>IFERROR(ABS(E119/VLOOKUP(2*$B119,$B120:E153,4,TRUE)),"--")</f>
        <v>--</v>
      </c>
      <c r="K119" s="43" t="str">
        <f>IFERROR(ABS(F119/VLOOKUP(2*$B119,$B120:F153,5,TRUE)),"--")</f>
        <v>--</v>
      </c>
      <c r="L119" s="43" t="str">
        <f>IFERROR(ABS(G119/VLOOKUP(2*$B119,$B120:G153,6,TRUE)),"--")</f>
        <v>--</v>
      </c>
      <c r="M119" s="38">
        <f>IF(AND(1+$Q$6&gt;H119,1-$Q$6&lt;H119,1+$Q$6&gt;I119,1-$Q$6&lt;I119,1+$Q$6&gt;J119,1-$Q$6&lt;J119,1+$Q$6&gt;K119,1-$Q$6&lt;K119,1+$Q$6&gt;L119,1-$Q$6&lt;L119),IF(SUM($M$2:M118)=0,1,0),0)</f>
        <v>0</v>
      </c>
      <c r="N119" s="38">
        <f>IF(AND(1+$Q$7&gt;H119,1-$Q$7&lt;H119,1+$Q$7&gt;I119,1-$Q$7&lt;I119,1+$Q$7&gt;J119,1-$Q$7&lt;J119,1+$Q$7&gt;K119,1-$Q$7&lt;K119,1+$Q$7&gt;L119,1-$Q$7&lt;L119),IF(SUM($N$2:N118)=0,1,0),0)</f>
        <v>0</v>
      </c>
      <c r="O119" s="34">
        <f t="shared" si="1"/>
        <v>0</v>
      </c>
    </row>
    <row r="120" spans="8:15" ht="20.100000000000001" customHeight="1" x14ac:dyDescent="0.25">
      <c r="H120" s="43" t="str">
        <f>IFERROR(ABS(C120/VLOOKUP(2*$B120,$B121:C154,2,TRUE)),"--")</f>
        <v>--</v>
      </c>
      <c r="I120" s="43" t="str">
        <f>IFERROR(ABS(D120/VLOOKUP(2*$B120,$B121:D154,3,TRUE)),"--")</f>
        <v>--</v>
      </c>
      <c r="J120" s="43" t="str">
        <f>IFERROR(ABS(E120/VLOOKUP(2*$B120,$B121:E154,4,TRUE)),"--")</f>
        <v>--</v>
      </c>
      <c r="K120" s="43" t="str">
        <f>IFERROR(ABS(F120/VLOOKUP(2*$B120,$B121:F154,5,TRUE)),"--")</f>
        <v>--</v>
      </c>
      <c r="L120" s="43" t="str">
        <f>IFERROR(ABS(G120/VLOOKUP(2*$B120,$B121:G154,6,TRUE)),"--")</f>
        <v>--</v>
      </c>
      <c r="M120" s="38">
        <f>IF(AND(1+$Q$6&gt;H120,1-$Q$6&lt;H120,1+$Q$6&gt;I120,1-$Q$6&lt;I120,1+$Q$6&gt;J120,1-$Q$6&lt;J120,1+$Q$6&gt;K120,1-$Q$6&lt;K120,1+$Q$6&gt;L120,1-$Q$6&lt;L120),IF(SUM($M$2:M119)=0,1,0),0)</f>
        <v>0</v>
      </c>
      <c r="N120" s="38">
        <f>IF(AND(1+$Q$7&gt;H120,1-$Q$7&lt;H120,1+$Q$7&gt;I120,1-$Q$7&lt;I120,1+$Q$7&gt;J120,1-$Q$7&lt;J120,1+$Q$7&gt;K120,1-$Q$7&lt;K120,1+$Q$7&gt;L120,1-$Q$7&lt;L120),IF(SUM($N$2:N119)=0,1,0),0)</f>
        <v>0</v>
      </c>
      <c r="O120" s="34">
        <f t="shared" si="1"/>
        <v>0</v>
      </c>
    </row>
    <row r="121" spans="8:15" ht="20.100000000000001" customHeight="1" x14ac:dyDescent="0.25">
      <c r="H121" s="43" t="str">
        <f>IFERROR(ABS(C121/VLOOKUP(2*$B121,$B122:C155,2,TRUE)),"--")</f>
        <v>--</v>
      </c>
      <c r="I121" s="43" t="str">
        <f>IFERROR(ABS(D121/VLOOKUP(2*$B121,$B122:D155,3,TRUE)),"--")</f>
        <v>--</v>
      </c>
      <c r="J121" s="43" t="str">
        <f>IFERROR(ABS(E121/VLOOKUP(2*$B121,$B122:E155,4,TRUE)),"--")</f>
        <v>--</v>
      </c>
      <c r="K121" s="43" t="str">
        <f>IFERROR(ABS(F121/VLOOKUP(2*$B121,$B122:F155,5,TRUE)),"--")</f>
        <v>--</v>
      </c>
      <c r="L121" s="43" t="str">
        <f>IFERROR(ABS(G121/VLOOKUP(2*$B121,$B122:G155,6,TRUE)),"--")</f>
        <v>--</v>
      </c>
      <c r="M121" s="38">
        <f>IF(AND(1+$Q$6&gt;H121,1-$Q$6&lt;H121,1+$Q$6&gt;I121,1-$Q$6&lt;I121,1+$Q$6&gt;J121,1-$Q$6&lt;J121,1+$Q$6&gt;K121,1-$Q$6&lt;K121,1+$Q$6&gt;L121,1-$Q$6&lt;L121),IF(SUM($M$2:M120)=0,1,0),0)</f>
        <v>0</v>
      </c>
      <c r="N121" s="38">
        <f>IF(AND(1+$Q$7&gt;H121,1-$Q$7&lt;H121,1+$Q$7&gt;I121,1-$Q$7&lt;I121,1+$Q$7&gt;J121,1-$Q$7&lt;J121,1+$Q$7&gt;K121,1-$Q$7&lt;K121,1+$Q$7&gt;L121,1-$Q$7&lt;L121),IF(SUM($N$2:N120)=0,1,0),0)</f>
        <v>0</v>
      </c>
      <c r="O121" s="34">
        <f t="shared" si="1"/>
        <v>0</v>
      </c>
    </row>
    <row r="122" spans="8:15" ht="20.100000000000001" customHeight="1" x14ac:dyDescent="0.25">
      <c r="H122" s="43" t="str">
        <f>IFERROR(ABS(C122/VLOOKUP(2*$B122,$B123:C156,2,TRUE)),"--")</f>
        <v>--</v>
      </c>
      <c r="I122" s="43" t="str">
        <f>IFERROR(ABS(D122/VLOOKUP(2*$B122,$B123:D156,3,TRUE)),"--")</f>
        <v>--</v>
      </c>
      <c r="J122" s="43" t="str">
        <f>IFERROR(ABS(E122/VLOOKUP(2*$B122,$B123:E156,4,TRUE)),"--")</f>
        <v>--</v>
      </c>
      <c r="K122" s="43" t="str">
        <f>IFERROR(ABS(F122/VLOOKUP(2*$B122,$B123:F156,5,TRUE)),"--")</f>
        <v>--</v>
      </c>
      <c r="L122" s="43" t="str">
        <f>IFERROR(ABS(G122/VLOOKUP(2*$B122,$B123:G156,6,TRUE)),"--")</f>
        <v>--</v>
      </c>
      <c r="M122" s="38">
        <f>IF(AND(1+$Q$6&gt;H122,1-$Q$6&lt;H122,1+$Q$6&gt;I122,1-$Q$6&lt;I122,1+$Q$6&gt;J122,1-$Q$6&lt;J122,1+$Q$6&gt;K122,1-$Q$6&lt;K122,1+$Q$6&gt;L122,1-$Q$6&lt;L122),IF(SUM($M$2:M121)=0,1,0),0)</f>
        <v>0</v>
      </c>
      <c r="N122" s="38">
        <f>IF(AND(1+$Q$7&gt;H122,1-$Q$7&lt;H122,1+$Q$7&gt;I122,1-$Q$7&lt;I122,1+$Q$7&gt;J122,1-$Q$7&lt;J122,1+$Q$7&gt;K122,1-$Q$7&lt;K122,1+$Q$7&gt;L122,1-$Q$7&lt;L122),IF(SUM($N$2:N121)=0,1,0),0)</f>
        <v>0</v>
      </c>
      <c r="O122" s="34">
        <f t="shared" si="1"/>
        <v>0</v>
      </c>
    </row>
    <row r="123" spans="8:15" ht="20.100000000000001" customHeight="1" x14ac:dyDescent="0.25">
      <c r="H123" s="43" t="str">
        <f>IFERROR(ABS(C123/VLOOKUP(2*$B123,$B124:C157,2,TRUE)),"--")</f>
        <v>--</v>
      </c>
      <c r="I123" s="43" t="str">
        <f>IFERROR(ABS(D123/VLOOKUP(2*$B123,$B124:D157,3,TRUE)),"--")</f>
        <v>--</v>
      </c>
      <c r="J123" s="43" t="str">
        <f>IFERROR(ABS(E123/VLOOKUP(2*$B123,$B124:E157,4,TRUE)),"--")</f>
        <v>--</v>
      </c>
      <c r="K123" s="43" t="str">
        <f>IFERROR(ABS(F123/VLOOKUP(2*$B123,$B124:F157,5,TRUE)),"--")</f>
        <v>--</v>
      </c>
      <c r="L123" s="43" t="str">
        <f>IFERROR(ABS(G123/VLOOKUP(2*$B123,$B124:G157,6,TRUE)),"--")</f>
        <v>--</v>
      </c>
      <c r="M123" s="38">
        <f>IF(AND(1+$Q$6&gt;H123,1-$Q$6&lt;H123,1+$Q$6&gt;I123,1-$Q$6&lt;I123,1+$Q$6&gt;J123,1-$Q$6&lt;J123,1+$Q$6&gt;K123,1-$Q$6&lt;K123,1+$Q$6&gt;L123,1-$Q$6&lt;L123),IF(SUM($M$2:M122)=0,1,0),0)</f>
        <v>0</v>
      </c>
      <c r="N123" s="38">
        <f>IF(AND(1+$Q$7&gt;H123,1-$Q$7&lt;H123,1+$Q$7&gt;I123,1-$Q$7&lt;I123,1+$Q$7&gt;J123,1-$Q$7&lt;J123,1+$Q$7&gt;K123,1-$Q$7&lt;K123,1+$Q$7&gt;L123,1-$Q$7&lt;L123),IF(SUM($N$2:N122)=0,1,0),0)</f>
        <v>0</v>
      </c>
      <c r="O123" s="34">
        <f t="shared" si="1"/>
        <v>0</v>
      </c>
    </row>
    <row r="124" spans="8:15" ht="20.100000000000001" customHeight="1" x14ac:dyDescent="0.25">
      <c r="H124" s="43" t="str">
        <f>IFERROR(ABS(C124/VLOOKUP(2*$B124,$B125:C158,2,TRUE)),"--")</f>
        <v>--</v>
      </c>
      <c r="I124" s="43" t="str">
        <f>IFERROR(ABS(D124/VLOOKUP(2*$B124,$B125:D158,3,TRUE)),"--")</f>
        <v>--</v>
      </c>
      <c r="J124" s="43" t="str">
        <f>IFERROR(ABS(E124/VLOOKUP(2*$B124,$B125:E158,4,TRUE)),"--")</f>
        <v>--</v>
      </c>
      <c r="K124" s="43" t="str">
        <f>IFERROR(ABS(F124/VLOOKUP(2*$B124,$B125:F158,5,TRUE)),"--")</f>
        <v>--</v>
      </c>
      <c r="L124" s="43" t="str">
        <f>IFERROR(ABS(G124/VLOOKUP(2*$B124,$B125:G158,6,TRUE)),"--")</f>
        <v>--</v>
      </c>
      <c r="M124" s="38">
        <f>IF(AND(1+$Q$6&gt;H124,1-$Q$6&lt;H124,1+$Q$6&gt;I124,1-$Q$6&lt;I124,1+$Q$6&gt;J124,1-$Q$6&lt;J124,1+$Q$6&gt;K124,1-$Q$6&lt;K124,1+$Q$6&gt;L124,1-$Q$6&lt;L124),IF(SUM($M$2:M123)=0,1,0),0)</f>
        <v>0</v>
      </c>
      <c r="N124" s="38">
        <f>IF(AND(1+$Q$7&gt;H124,1-$Q$7&lt;H124,1+$Q$7&gt;I124,1-$Q$7&lt;I124,1+$Q$7&gt;J124,1-$Q$7&lt;J124,1+$Q$7&gt;K124,1-$Q$7&lt;K124,1+$Q$7&gt;L124,1-$Q$7&lt;L124),IF(SUM($N$2:N123)=0,1,0),0)</f>
        <v>0</v>
      </c>
      <c r="O124" s="34">
        <f t="shared" si="1"/>
        <v>0</v>
      </c>
    </row>
    <row r="125" spans="8:15" ht="20.100000000000001" customHeight="1" x14ac:dyDescent="0.25">
      <c r="H125" s="43" t="str">
        <f>IFERROR(ABS(C125/VLOOKUP(2*$B125,$B126:C159,2,TRUE)),"--")</f>
        <v>--</v>
      </c>
      <c r="I125" s="43" t="str">
        <f>IFERROR(ABS(D125/VLOOKUP(2*$B125,$B126:D159,3,TRUE)),"--")</f>
        <v>--</v>
      </c>
      <c r="J125" s="43" t="str">
        <f>IFERROR(ABS(E125/VLOOKUP(2*$B125,$B126:E159,4,TRUE)),"--")</f>
        <v>--</v>
      </c>
      <c r="K125" s="43" t="str">
        <f>IFERROR(ABS(F125/VLOOKUP(2*$B125,$B126:F159,5,TRUE)),"--")</f>
        <v>--</v>
      </c>
      <c r="L125" s="43" t="str">
        <f>IFERROR(ABS(G125/VLOOKUP(2*$B125,$B126:G159,6,TRUE)),"--")</f>
        <v>--</v>
      </c>
      <c r="M125" s="38">
        <f>IF(AND(1+$Q$6&gt;H125,1-$Q$6&lt;H125,1+$Q$6&gt;I125,1-$Q$6&lt;I125,1+$Q$6&gt;J125,1-$Q$6&lt;J125,1+$Q$6&gt;K125,1-$Q$6&lt;K125,1+$Q$6&gt;L125,1-$Q$6&lt;L125),IF(SUM($M$2:M124)=0,1,0),0)</f>
        <v>0</v>
      </c>
      <c r="N125" s="38">
        <f>IF(AND(1+$Q$7&gt;H125,1-$Q$7&lt;H125,1+$Q$7&gt;I125,1-$Q$7&lt;I125,1+$Q$7&gt;J125,1-$Q$7&lt;J125,1+$Q$7&gt;K125,1-$Q$7&lt;K125,1+$Q$7&gt;L125,1-$Q$7&lt;L125),IF(SUM($N$2:N124)=0,1,0),0)</f>
        <v>0</v>
      </c>
      <c r="O125" s="34">
        <f t="shared" si="1"/>
        <v>0</v>
      </c>
    </row>
    <row r="126" spans="8:15" ht="20.100000000000001" customHeight="1" x14ac:dyDescent="0.25">
      <c r="H126" s="43" t="str">
        <f>IFERROR(ABS(C126/VLOOKUP(2*$B126,$B127:C160,2,TRUE)),"--")</f>
        <v>--</v>
      </c>
      <c r="I126" s="43" t="str">
        <f>IFERROR(ABS(D126/VLOOKUP(2*$B126,$B127:D160,3,TRUE)),"--")</f>
        <v>--</v>
      </c>
      <c r="J126" s="43" t="str">
        <f>IFERROR(ABS(E126/VLOOKUP(2*$B126,$B127:E160,4,TRUE)),"--")</f>
        <v>--</v>
      </c>
      <c r="K126" s="43" t="str">
        <f>IFERROR(ABS(F126/VLOOKUP(2*$B126,$B127:F160,5,TRUE)),"--")</f>
        <v>--</v>
      </c>
      <c r="L126" s="43" t="str">
        <f>IFERROR(ABS(G126/VLOOKUP(2*$B126,$B127:G160,6,TRUE)),"--")</f>
        <v>--</v>
      </c>
      <c r="M126" s="38">
        <f>IF(AND(1+$Q$6&gt;H126,1-$Q$6&lt;H126,1+$Q$6&gt;I126,1-$Q$6&lt;I126,1+$Q$6&gt;J126,1-$Q$6&lt;J126,1+$Q$6&gt;K126,1-$Q$6&lt;K126,1+$Q$6&gt;L126,1-$Q$6&lt;L126),IF(SUM($M$2:M125)=0,1,0),0)</f>
        <v>0</v>
      </c>
      <c r="N126" s="38">
        <f>IF(AND(1+$Q$7&gt;H126,1-$Q$7&lt;H126,1+$Q$7&gt;I126,1-$Q$7&lt;I126,1+$Q$7&gt;J126,1-$Q$7&lt;J126,1+$Q$7&gt;K126,1-$Q$7&lt;K126,1+$Q$7&gt;L126,1-$Q$7&lt;L126),IF(SUM($N$2:N125)=0,1,0),0)</f>
        <v>0</v>
      </c>
      <c r="O126" s="34">
        <f t="shared" si="1"/>
        <v>0</v>
      </c>
    </row>
    <row r="127" spans="8:15" ht="20.100000000000001" customHeight="1" x14ac:dyDescent="0.25">
      <c r="H127" s="43" t="str">
        <f>IFERROR(ABS(C127/VLOOKUP(2*$B127,$B128:C161,2,TRUE)),"--")</f>
        <v>--</v>
      </c>
      <c r="I127" s="43" t="str">
        <f>IFERROR(ABS(D127/VLOOKUP(2*$B127,$B128:D161,3,TRUE)),"--")</f>
        <v>--</v>
      </c>
      <c r="J127" s="43" t="str">
        <f>IFERROR(ABS(E127/VLOOKUP(2*$B127,$B128:E161,4,TRUE)),"--")</f>
        <v>--</v>
      </c>
      <c r="K127" s="43" t="str">
        <f>IFERROR(ABS(F127/VLOOKUP(2*$B127,$B128:F161,5,TRUE)),"--")</f>
        <v>--</v>
      </c>
      <c r="L127" s="43" t="str">
        <f>IFERROR(ABS(G127/VLOOKUP(2*$B127,$B128:G161,6,TRUE)),"--")</f>
        <v>--</v>
      </c>
      <c r="M127" s="38">
        <f>IF(AND(1+$Q$6&gt;H127,1-$Q$6&lt;H127,1+$Q$6&gt;I127,1-$Q$6&lt;I127,1+$Q$6&gt;J127,1-$Q$6&lt;J127,1+$Q$6&gt;K127,1-$Q$6&lt;K127,1+$Q$6&gt;L127,1-$Q$6&lt;L127),IF(SUM($M$2:M126)=0,1,0),0)</f>
        <v>0</v>
      </c>
      <c r="N127" s="38">
        <f>IF(AND(1+$Q$7&gt;H127,1-$Q$7&lt;H127,1+$Q$7&gt;I127,1-$Q$7&lt;I127,1+$Q$7&gt;J127,1-$Q$7&lt;J127,1+$Q$7&gt;K127,1-$Q$7&lt;K127,1+$Q$7&gt;L127,1-$Q$7&lt;L127),IF(SUM($N$2:N126)=0,1,0),0)</f>
        <v>0</v>
      </c>
      <c r="O127" s="34">
        <f t="shared" si="1"/>
        <v>0</v>
      </c>
    </row>
    <row r="128" spans="8:15" ht="20.100000000000001" customHeight="1" x14ac:dyDescent="0.25">
      <c r="H128" s="43" t="str">
        <f>IFERROR(ABS(C128/VLOOKUP(2*$B128,$B129:C162,2,TRUE)),"--")</f>
        <v>--</v>
      </c>
      <c r="I128" s="43" t="str">
        <f>IFERROR(ABS(D128/VLOOKUP(2*$B128,$B129:D162,3,TRUE)),"--")</f>
        <v>--</v>
      </c>
      <c r="J128" s="43" t="str">
        <f>IFERROR(ABS(E128/VLOOKUP(2*$B128,$B129:E162,4,TRUE)),"--")</f>
        <v>--</v>
      </c>
      <c r="K128" s="43" t="str">
        <f>IFERROR(ABS(F128/VLOOKUP(2*$B128,$B129:F162,5,TRUE)),"--")</f>
        <v>--</v>
      </c>
      <c r="L128" s="43" t="str">
        <f>IFERROR(ABS(G128/VLOOKUP(2*$B128,$B129:G162,6,TRUE)),"--")</f>
        <v>--</v>
      </c>
      <c r="M128" s="38">
        <f>IF(AND(1+$Q$6&gt;H128,1-$Q$6&lt;H128,1+$Q$6&gt;I128,1-$Q$6&lt;I128,1+$Q$6&gt;J128,1-$Q$6&lt;J128,1+$Q$6&gt;K128,1-$Q$6&lt;K128,1+$Q$6&gt;L128,1-$Q$6&lt;L128),IF(SUM($M$2:M127)=0,1,0),0)</f>
        <v>0</v>
      </c>
      <c r="N128" s="38">
        <f>IF(AND(1+$Q$7&gt;H128,1-$Q$7&lt;H128,1+$Q$7&gt;I128,1-$Q$7&lt;I128,1+$Q$7&gt;J128,1-$Q$7&lt;J128,1+$Q$7&gt;K128,1-$Q$7&lt;K128,1+$Q$7&gt;L128,1-$Q$7&lt;L128),IF(SUM($N$2:N127)=0,1,0),0)</f>
        <v>0</v>
      </c>
      <c r="O128" s="34">
        <f t="shared" si="1"/>
        <v>0</v>
      </c>
    </row>
    <row r="129" spans="8:15" ht="20.100000000000001" customHeight="1" x14ac:dyDescent="0.25">
      <c r="H129" s="43" t="str">
        <f>IFERROR(ABS(C129/VLOOKUP(2*$B129,$B130:C163,2,TRUE)),"--")</f>
        <v>--</v>
      </c>
      <c r="I129" s="43" t="str">
        <f>IFERROR(ABS(D129/VLOOKUP(2*$B129,$B130:D163,3,TRUE)),"--")</f>
        <v>--</v>
      </c>
      <c r="J129" s="43" t="str">
        <f>IFERROR(ABS(E129/VLOOKUP(2*$B129,$B130:E163,4,TRUE)),"--")</f>
        <v>--</v>
      </c>
      <c r="K129" s="43" t="str">
        <f>IFERROR(ABS(F129/VLOOKUP(2*$B129,$B130:F163,5,TRUE)),"--")</f>
        <v>--</v>
      </c>
      <c r="L129" s="43" t="str">
        <f>IFERROR(ABS(G129/VLOOKUP(2*$B129,$B130:G163,6,TRUE)),"--")</f>
        <v>--</v>
      </c>
      <c r="M129" s="38">
        <f>IF(AND(1+$Q$6&gt;H129,1-$Q$6&lt;H129,1+$Q$6&gt;I129,1-$Q$6&lt;I129,1+$Q$6&gt;J129,1-$Q$6&lt;J129,1+$Q$6&gt;K129,1-$Q$6&lt;K129,1+$Q$6&gt;L129,1-$Q$6&lt;L129),IF(SUM($M$2:M128)=0,1,0),0)</f>
        <v>0</v>
      </c>
      <c r="N129" s="38">
        <f>IF(AND(1+$Q$7&gt;H129,1-$Q$7&lt;H129,1+$Q$7&gt;I129,1-$Q$7&lt;I129,1+$Q$7&gt;J129,1-$Q$7&lt;J129,1+$Q$7&gt;K129,1-$Q$7&lt;K129,1+$Q$7&gt;L129,1-$Q$7&lt;L129),IF(SUM($N$2:N128)=0,1,0),0)</f>
        <v>0</v>
      </c>
      <c r="O129" s="34">
        <f t="shared" si="1"/>
        <v>0</v>
      </c>
    </row>
    <row r="130" spans="8:15" ht="20.100000000000001" customHeight="1" x14ac:dyDescent="0.25">
      <c r="H130" s="43" t="str">
        <f>IFERROR(ABS(C130/VLOOKUP(2*$B130,$B131:C164,2,TRUE)),"--")</f>
        <v>--</v>
      </c>
      <c r="I130" s="43" t="str">
        <f>IFERROR(ABS(D130/VLOOKUP(2*$B130,$B131:D164,3,TRUE)),"--")</f>
        <v>--</v>
      </c>
      <c r="J130" s="43" t="str">
        <f>IFERROR(ABS(E130/VLOOKUP(2*$B130,$B131:E164,4,TRUE)),"--")</f>
        <v>--</v>
      </c>
      <c r="K130" s="43" t="str">
        <f>IFERROR(ABS(F130/VLOOKUP(2*$B130,$B131:F164,5,TRUE)),"--")</f>
        <v>--</v>
      </c>
      <c r="L130" s="43" t="str">
        <f>IFERROR(ABS(G130/VLOOKUP(2*$B130,$B131:G164,6,TRUE)),"--")</f>
        <v>--</v>
      </c>
      <c r="M130" s="38">
        <f>IF(AND(1+$Q$6&gt;H130,1-$Q$6&lt;H130,1+$Q$6&gt;I130,1-$Q$6&lt;I130,1+$Q$6&gt;J130,1-$Q$6&lt;J130,1+$Q$6&gt;K130,1-$Q$6&lt;K130,1+$Q$6&gt;L130,1-$Q$6&lt;L130),IF(SUM($M$2:M129)=0,1,0),0)</f>
        <v>0</v>
      </c>
      <c r="N130" s="38">
        <f>IF(AND(1+$Q$7&gt;H130,1-$Q$7&lt;H130,1+$Q$7&gt;I130,1-$Q$7&lt;I130,1+$Q$7&gt;J130,1-$Q$7&lt;J130,1+$Q$7&gt;K130,1-$Q$7&lt;K130,1+$Q$7&gt;L130,1-$Q$7&lt;L130),IF(SUM($N$2:N129)=0,1,0),0)</f>
        <v>0</v>
      </c>
      <c r="O130" s="34">
        <f t="shared" si="1"/>
        <v>0</v>
      </c>
    </row>
    <row r="131" spans="8:15" ht="20.100000000000001" customHeight="1" x14ac:dyDescent="0.25">
      <c r="H131" s="43" t="str">
        <f>IFERROR(ABS(C131/VLOOKUP(2*$B131,$B132:C165,2,TRUE)),"--")</f>
        <v>--</v>
      </c>
      <c r="I131" s="43" t="str">
        <f>IFERROR(ABS(D131/VLOOKUP(2*$B131,$B132:D165,3,TRUE)),"--")</f>
        <v>--</v>
      </c>
      <c r="J131" s="43" t="str">
        <f>IFERROR(ABS(E131/VLOOKUP(2*$B131,$B132:E165,4,TRUE)),"--")</f>
        <v>--</v>
      </c>
      <c r="K131" s="43" t="str">
        <f>IFERROR(ABS(F131/VLOOKUP(2*$B131,$B132:F165,5,TRUE)),"--")</f>
        <v>--</v>
      </c>
      <c r="L131" s="43" t="str">
        <f>IFERROR(ABS(G131/VLOOKUP(2*$B131,$B132:G165,6,TRUE)),"--")</f>
        <v>--</v>
      </c>
      <c r="M131" s="38">
        <f>IF(AND(1+$Q$6&gt;H131,1-$Q$6&lt;H131,1+$Q$6&gt;I131,1-$Q$6&lt;I131,1+$Q$6&gt;J131,1-$Q$6&lt;J131,1+$Q$6&gt;K131,1-$Q$6&lt;K131,1+$Q$6&gt;L131,1-$Q$6&lt;L131),IF(SUM($M$2:M130)=0,1,0),0)</f>
        <v>0</v>
      </c>
      <c r="N131" s="38">
        <f>IF(AND(1+$Q$7&gt;H131,1-$Q$7&lt;H131,1+$Q$7&gt;I131,1-$Q$7&lt;I131,1+$Q$7&gt;J131,1-$Q$7&lt;J131,1+$Q$7&gt;K131,1-$Q$7&lt;K131,1+$Q$7&gt;L131,1-$Q$7&lt;L131),IF(SUM($N$2:N130)=0,1,0),0)</f>
        <v>0</v>
      </c>
      <c r="O131" s="34">
        <f t="shared" ref="O131:O194" si="2">A131</f>
        <v>0</v>
      </c>
    </row>
    <row r="132" spans="8:15" ht="20.100000000000001" customHeight="1" x14ac:dyDescent="0.25">
      <c r="H132" s="43" t="str">
        <f>IFERROR(ABS(C132/VLOOKUP(2*$B132,$B133:C166,2,TRUE)),"--")</f>
        <v>--</v>
      </c>
      <c r="I132" s="43" t="str">
        <f>IFERROR(ABS(D132/VLOOKUP(2*$B132,$B133:D166,3,TRUE)),"--")</f>
        <v>--</v>
      </c>
      <c r="J132" s="43" t="str">
        <f>IFERROR(ABS(E132/VLOOKUP(2*$B132,$B133:E166,4,TRUE)),"--")</f>
        <v>--</v>
      </c>
      <c r="K132" s="43" t="str">
        <f>IFERROR(ABS(F132/VLOOKUP(2*$B132,$B133:F166,5,TRUE)),"--")</f>
        <v>--</v>
      </c>
      <c r="L132" s="43" t="str">
        <f>IFERROR(ABS(G132/VLOOKUP(2*$B132,$B133:G166,6,TRUE)),"--")</f>
        <v>--</v>
      </c>
      <c r="M132" s="38">
        <f>IF(AND(1+$Q$6&gt;H132,1-$Q$6&lt;H132,1+$Q$6&gt;I132,1-$Q$6&lt;I132,1+$Q$6&gt;J132,1-$Q$6&lt;J132,1+$Q$6&gt;K132,1-$Q$6&lt;K132,1+$Q$6&gt;L132,1-$Q$6&lt;L132),IF(SUM($M$2:M131)=0,1,0),0)</f>
        <v>0</v>
      </c>
      <c r="N132" s="38">
        <f>IF(AND(1+$Q$7&gt;H132,1-$Q$7&lt;H132,1+$Q$7&gt;I132,1-$Q$7&lt;I132,1+$Q$7&gt;J132,1-$Q$7&lt;J132,1+$Q$7&gt;K132,1-$Q$7&lt;K132,1+$Q$7&gt;L132,1-$Q$7&lt;L132),IF(SUM($N$2:N131)=0,1,0),0)</f>
        <v>0</v>
      </c>
      <c r="O132" s="34">
        <f t="shared" si="2"/>
        <v>0</v>
      </c>
    </row>
    <row r="133" spans="8:15" ht="20.100000000000001" customHeight="1" x14ac:dyDescent="0.25">
      <c r="H133" s="43" t="str">
        <f>IFERROR(ABS(C133/VLOOKUP(2*$B133,$B134:C167,2,TRUE)),"--")</f>
        <v>--</v>
      </c>
      <c r="I133" s="43" t="str">
        <f>IFERROR(ABS(D133/VLOOKUP(2*$B133,$B134:D167,3,TRUE)),"--")</f>
        <v>--</v>
      </c>
      <c r="J133" s="43" t="str">
        <f>IFERROR(ABS(E133/VLOOKUP(2*$B133,$B134:E167,4,TRUE)),"--")</f>
        <v>--</v>
      </c>
      <c r="K133" s="43" t="str">
        <f>IFERROR(ABS(F133/VLOOKUP(2*$B133,$B134:F167,5,TRUE)),"--")</f>
        <v>--</v>
      </c>
      <c r="L133" s="43" t="str">
        <f>IFERROR(ABS(G133/VLOOKUP(2*$B133,$B134:G167,6,TRUE)),"--")</f>
        <v>--</v>
      </c>
      <c r="M133" s="38">
        <f>IF(AND(1+$Q$6&gt;H133,1-$Q$6&lt;H133,1+$Q$6&gt;I133,1-$Q$6&lt;I133,1+$Q$6&gt;J133,1-$Q$6&lt;J133,1+$Q$6&gt;K133,1-$Q$6&lt;K133,1+$Q$6&gt;L133,1-$Q$6&lt;L133),IF(SUM($M$2:M132)=0,1,0),0)</f>
        <v>0</v>
      </c>
      <c r="N133" s="38">
        <f>IF(AND(1+$Q$7&gt;H133,1-$Q$7&lt;H133,1+$Q$7&gt;I133,1-$Q$7&lt;I133,1+$Q$7&gt;J133,1-$Q$7&lt;J133,1+$Q$7&gt;K133,1-$Q$7&lt;K133,1+$Q$7&gt;L133,1-$Q$7&lt;L133),IF(SUM($N$2:N132)=0,1,0),0)</f>
        <v>0</v>
      </c>
      <c r="O133" s="34">
        <f t="shared" si="2"/>
        <v>0</v>
      </c>
    </row>
    <row r="134" spans="8:15" ht="20.100000000000001" customHeight="1" x14ac:dyDescent="0.25">
      <c r="H134" s="43" t="str">
        <f>IFERROR(ABS(C134/VLOOKUP(2*$B134,$B135:C168,2,TRUE)),"--")</f>
        <v>--</v>
      </c>
      <c r="I134" s="43" t="str">
        <f>IFERROR(ABS(D134/VLOOKUP(2*$B134,$B135:D168,3,TRUE)),"--")</f>
        <v>--</v>
      </c>
      <c r="J134" s="43" t="str">
        <f>IFERROR(ABS(E134/VLOOKUP(2*$B134,$B135:E168,4,TRUE)),"--")</f>
        <v>--</v>
      </c>
      <c r="K134" s="43" t="str">
        <f>IFERROR(ABS(F134/VLOOKUP(2*$B134,$B135:F168,5,TRUE)),"--")</f>
        <v>--</v>
      </c>
      <c r="L134" s="43" t="str">
        <f>IFERROR(ABS(G134/VLOOKUP(2*$B134,$B135:G168,6,TRUE)),"--")</f>
        <v>--</v>
      </c>
      <c r="M134" s="38">
        <f>IF(AND(1+$Q$6&gt;H134,1-$Q$6&lt;H134,1+$Q$6&gt;I134,1-$Q$6&lt;I134,1+$Q$6&gt;J134,1-$Q$6&lt;J134,1+$Q$6&gt;K134,1-$Q$6&lt;K134,1+$Q$6&gt;L134,1-$Q$6&lt;L134),IF(SUM($M$2:M133)=0,1,0),0)</f>
        <v>0</v>
      </c>
      <c r="N134" s="38">
        <f>IF(AND(1+$Q$7&gt;H134,1-$Q$7&lt;H134,1+$Q$7&gt;I134,1-$Q$7&lt;I134,1+$Q$7&gt;J134,1-$Q$7&lt;J134,1+$Q$7&gt;K134,1-$Q$7&lt;K134,1+$Q$7&gt;L134,1-$Q$7&lt;L134),IF(SUM($N$2:N133)=0,1,0),0)</f>
        <v>0</v>
      </c>
      <c r="O134" s="34">
        <f t="shared" si="2"/>
        <v>0</v>
      </c>
    </row>
    <row r="135" spans="8:15" ht="20.100000000000001" customHeight="1" x14ac:dyDescent="0.25">
      <c r="H135" s="43" t="str">
        <f>IFERROR(ABS(C135/VLOOKUP(2*$B135,$B136:C169,2,TRUE)),"--")</f>
        <v>--</v>
      </c>
      <c r="I135" s="43" t="str">
        <f>IFERROR(ABS(D135/VLOOKUP(2*$B135,$B136:D169,3,TRUE)),"--")</f>
        <v>--</v>
      </c>
      <c r="J135" s="43" t="str">
        <f>IFERROR(ABS(E135/VLOOKUP(2*$B135,$B136:E169,4,TRUE)),"--")</f>
        <v>--</v>
      </c>
      <c r="K135" s="43" t="str">
        <f>IFERROR(ABS(F135/VLOOKUP(2*$B135,$B136:F169,5,TRUE)),"--")</f>
        <v>--</v>
      </c>
      <c r="L135" s="43" t="str">
        <f>IFERROR(ABS(G135/VLOOKUP(2*$B135,$B136:G169,6,TRUE)),"--")</f>
        <v>--</v>
      </c>
      <c r="M135" s="38">
        <f>IF(AND(1+$Q$6&gt;H135,1-$Q$6&lt;H135,1+$Q$6&gt;I135,1-$Q$6&lt;I135,1+$Q$6&gt;J135,1-$Q$6&lt;J135,1+$Q$6&gt;K135,1-$Q$6&lt;K135,1+$Q$6&gt;L135,1-$Q$6&lt;L135),IF(SUM($M$2:M134)=0,1,0),0)</f>
        <v>0</v>
      </c>
      <c r="N135" s="38">
        <f>IF(AND(1+$Q$7&gt;H135,1-$Q$7&lt;H135,1+$Q$7&gt;I135,1-$Q$7&lt;I135,1+$Q$7&gt;J135,1-$Q$7&lt;J135,1+$Q$7&gt;K135,1-$Q$7&lt;K135,1+$Q$7&gt;L135,1-$Q$7&lt;L135),IF(SUM($N$2:N134)=0,1,0),0)</f>
        <v>0</v>
      </c>
      <c r="O135" s="34">
        <f t="shared" si="2"/>
        <v>0</v>
      </c>
    </row>
    <row r="136" spans="8:15" ht="20.100000000000001" customHeight="1" x14ac:dyDescent="0.25">
      <c r="H136" s="43" t="str">
        <f>IFERROR(ABS(C136/VLOOKUP(2*$B136,$B137:C170,2,TRUE)),"--")</f>
        <v>--</v>
      </c>
      <c r="I136" s="43" t="str">
        <f>IFERROR(ABS(D136/VLOOKUP(2*$B136,$B137:D170,3,TRUE)),"--")</f>
        <v>--</v>
      </c>
      <c r="J136" s="43" t="str">
        <f>IFERROR(ABS(E136/VLOOKUP(2*$B136,$B137:E170,4,TRUE)),"--")</f>
        <v>--</v>
      </c>
      <c r="K136" s="43" t="str">
        <f>IFERROR(ABS(F136/VLOOKUP(2*$B136,$B137:F170,5,TRUE)),"--")</f>
        <v>--</v>
      </c>
      <c r="L136" s="43" t="str">
        <f>IFERROR(ABS(G136/VLOOKUP(2*$B136,$B137:G170,6,TRUE)),"--")</f>
        <v>--</v>
      </c>
      <c r="M136" s="38">
        <f>IF(AND(1+$Q$6&gt;H136,1-$Q$6&lt;H136,1+$Q$6&gt;I136,1-$Q$6&lt;I136,1+$Q$6&gt;J136,1-$Q$6&lt;J136,1+$Q$6&gt;K136,1-$Q$6&lt;K136,1+$Q$6&gt;L136,1-$Q$6&lt;L136),IF(SUM($M$2:M135)=0,1,0),0)</f>
        <v>0</v>
      </c>
      <c r="N136" s="38">
        <f>IF(AND(1+$Q$7&gt;H136,1-$Q$7&lt;H136,1+$Q$7&gt;I136,1-$Q$7&lt;I136,1+$Q$7&gt;J136,1-$Q$7&lt;J136,1+$Q$7&gt;K136,1-$Q$7&lt;K136,1+$Q$7&gt;L136,1-$Q$7&lt;L136),IF(SUM($N$2:N135)=0,1,0),0)</f>
        <v>0</v>
      </c>
      <c r="O136" s="34">
        <f t="shared" si="2"/>
        <v>0</v>
      </c>
    </row>
    <row r="137" spans="8:15" ht="20.100000000000001" customHeight="1" x14ac:dyDescent="0.25">
      <c r="H137" s="43" t="str">
        <f>IFERROR(ABS(C137/VLOOKUP(2*$B137,$B138:C171,2,TRUE)),"--")</f>
        <v>--</v>
      </c>
      <c r="I137" s="43" t="str">
        <f>IFERROR(ABS(D137/VLOOKUP(2*$B137,$B138:D171,3,TRUE)),"--")</f>
        <v>--</v>
      </c>
      <c r="J137" s="43" t="str">
        <f>IFERROR(ABS(E137/VLOOKUP(2*$B137,$B138:E171,4,TRUE)),"--")</f>
        <v>--</v>
      </c>
      <c r="K137" s="43" t="str">
        <f>IFERROR(ABS(F137/VLOOKUP(2*$B137,$B138:F171,5,TRUE)),"--")</f>
        <v>--</v>
      </c>
      <c r="L137" s="43" t="str">
        <f>IFERROR(ABS(G137/VLOOKUP(2*$B137,$B138:G171,6,TRUE)),"--")</f>
        <v>--</v>
      </c>
      <c r="M137" s="38">
        <f>IF(AND(1+$Q$6&gt;H137,1-$Q$6&lt;H137,1+$Q$6&gt;I137,1-$Q$6&lt;I137,1+$Q$6&gt;J137,1-$Q$6&lt;J137,1+$Q$6&gt;K137,1-$Q$6&lt;K137,1+$Q$6&gt;L137,1-$Q$6&lt;L137),IF(SUM($M$2:M136)=0,1,0),0)</f>
        <v>0</v>
      </c>
      <c r="N137" s="38">
        <f>IF(AND(1+$Q$7&gt;H137,1-$Q$7&lt;H137,1+$Q$7&gt;I137,1-$Q$7&lt;I137,1+$Q$7&gt;J137,1-$Q$7&lt;J137,1+$Q$7&gt;K137,1-$Q$7&lt;K137,1+$Q$7&gt;L137,1-$Q$7&lt;L137),IF(SUM($N$2:N136)=0,1,0),0)</f>
        <v>0</v>
      </c>
      <c r="O137" s="34">
        <f t="shared" si="2"/>
        <v>0</v>
      </c>
    </row>
    <row r="138" spans="8:15" ht="20.100000000000001" customHeight="1" x14ac:dyDescent="0.25">
      <c r="H138" s="43" t="str">
        <f>IFERROR(ABS(C138/VLOOKUP(2*$B138,$B139:C172,2,TRUE)),"--")</f>
        <v>--</v>
      </c>
      <c r="I138" s="43" t="str">
        <f>IFERROR(ABS(D138/VLOOKUP(2*$B138,$B139:D172,3,TRUE)),"--")</f>
        <v>--</v>
      </c>
      <c r="J138" s="43" t="str">
        <f>IFERROR(ABS(E138/VLOOKUP(2*$B138,$B139:E172,4,TRUE)),"--")</f>
        <v>--</v>
      </c>
      <c r="K138" s="43" t="str">
        <f>IFERROR(ABS(F138/VLOOKUP(2*$B138,$B139:F172,5,TRUE)),"--")</f>
        <v>--</v>
      </c>
      <c r="L138" s="43" t="str">
        <f>IFERROR(ABS(G138/VLOOKUP(2*$B138,$B139:G172,6,TRUE)),"--")</f>
        <v>--</v>
      </c>
      <c r="M138" s="38">
        <f>IF(AND(1+$Q$6&gt;H138,1-$Q$6&lt;H138,1+$Q$6&gt;I138,1-$Q$6&lt;I138,1+$Q$6&gt;J138,1-$Q$6&lt;J138,1+$Q$6&gt;K138,1-$Q$6&lt;K138,1+$Q$6&gt;L138,1-$Q$6&lt;L138),IF(SUM($M$2:M137)=0,1,0),0)</f>
        <v>0</v>
      </c>
      <c r="N138" s="38">
        <f>IF(AND(1+$Q$7&gt;H138,1-$Q$7&lt;H138,1+$Q$7&gt;I138,1-$Q$7&lt;I138,1+$Q$7&gt;J138,1-$Q$7&lt;J138,1+$Q$7&gt;K138,1-$Q$7&lt;K138,1+$Q$7&gt;L138,1-$Q$7&lt;L138),IF(SUM($N$2:N137)=0,1,0),0)</f>
        <v>0</v>
      </c>
      <c r="O138" s="34">
        <f t="shared" si="2"/>
        <v>0</v>
      </c>
    </row>
    <row r="139" spans="8:15" ht="20.100000000000001" customHeight="1" x14ac:dyDescent="0.25">
      <c r="H139" s="43" t="str">
        <f>IFERROR(ABS(C139/VLOOKUP(2*$B139,$B140:C173,2,TRUE)),"--")</f>
        <v>--</v>
      </c>
      <c r="I139" s="43" t="str">
        <f>IFERROR(ABS(D139/VLOOKUP(2*$B139,$B140:D173,3,TRUE)),"--")</f>
        <v>--</v>
      </c>
      <c r="J139" s="43" t="str">
        <f>IFERROR(ABS(E139/VLOOKUP(2*$B139,$B140:E173,4,TRUE)),"--")</f>
        <v>--</v>
      </c>
      <c r="K139" s="43" t="str">
        <f>IFERROR(ABS(F139/VLOOKUP(2*$B139,$B140:F173,5,TRUE)),"--")</f>
        <v>--</v>
      </c>
      <c r="L139" s="43" t="str">
        <f>IFERROR(ABS(G139/VLOOKUP(2*$B139,$B140:G173,6,TRUE)),"--")</f>
        <v>--</v>
      </c>
      <c r="M139" s="38">
        <f>IF(AND(1+$Q$6&gt;H139,1-$Q$6&lt;H139,1+$Q$6&gt;I139,1-$Q$6&lt;I139,1+$Q$6&gt;J139,1-$Q$6&lt;J139,1+$Q$6&gt;K139,1-$Q$6&lt;K139,1+$Q$6&gt;L139,1-$Q$6&lt;L139),IF(SUM($M$2:M138)=0,1,0),0)</f>
        <v>0</v>
      </c>
      <c r="N139" s="38">
        <f>IF(AND(1+$Q$7&gt;H139,1-$Q$7&lt;H139,1+$Q$7&gt;I139,1-$Q$7&lt;I139,1+$Q$7&gt;J139,1-$Q$7&lt;J139,1+$Q$7&gt;K139,1-$Q$7&lt;K139,1+$Q$7&gt;L139,1-$Q$7&lt;L139),IF(SUM($N$2:N138)=0,1,0),0)</f>
        <v>0</v>
      </c>
      <c r="O139" s="34">
        <f t="shared" si="2"/>
        <v>0</v>
      </c>
    </row>
    <row r="140" spans="8:15" ht="20.100000000000001" customHeight="1" x14ac:dyDescent="0.25">
      <c r="H140" s="43" t="str">
        <f>IFERROR(ABS(C140/VLOOKUP(2*$B140,$B141:C174,2,TRUE)),"--")</f>
        <v>--</v>
      </c>
      <c r="I140" s="43" t="str">
        <f>IFERROR(ABS(D140/VLOOKUP(2*$B140,$B141:D174,3,TRUE)),"--")</f>
        <v>--</v>
      </c>
      <c r="J140" s="43" t="str">
        <f>IFERROR(ABS(E140/VLOOKUP(2*$B140,$B141:E174,4,TRUE)),"--")</f>
        <v>--</v>
      </c>
      <c r="K140" s="43" t="str">
        <f>IFERROR(ABS(F140/VLOOKUP(2*$B140,$B141:F174,5,TRUE)),"--")</f>
        <v>--</v>
      </c>
      <c r="L140" s="43" t="str">
        <f>IFERROR(ABS(G140/VLOOKUP(2*$B140,$B141:G174,6,TRUE)),"--")</f>
        <v>--</v>
      </c>
      <c r="M140" s="38">
        <f>IF(AND(1+$Q$6&gt;H140,1-$Q$6&lt;H140,1+$Q$6&gt;I140,1-$Q$6&lt;I140,1+$Q$6&gt;J140,1-$Q$6&lt;J140,1+$Q$6&gt;K140,1-$Q$6&lt;K140,1+$Q$6&gt;L140,1-$Q$6&lt;L140),IF(SUM($M$2:M139)=0,1,0),0)</f>
        <v>0</v>
      </c>
      <c r="N140" s="38">
        <f>IF(AND(1+$Q$7&gt;H140,1-$Q$7&lt;H140,1+$Q$7&gt;I140,1-$Q$7&lt;I140,1+$Q$7&gt;J140,1-$Q$7&lt;J140,1+$Q$7&gt;K140,1-$Q$7&lt;K140,1+$Q$7&gt;L140,1-$Q$7&lt;L140),IF(SUM($N$2:N139)=0,1,0),0)</f>
        <v>0</v>
      </c>
      <c r="O140" s="34">
        <f t="shared" si="2"/>
        <v>0</v>
      </c>
    </row>
    <row r="141" spans="8:15" ht="20.100000000000001" customHeight="1" x14ac:dyDescent="0.25">
      <c r="H141" s="43" t="str">
        <f>IFERROR(ABS(C141/VLOOKUP(2*$B141,$B142:C175,2,TRUE)),"--")</f>
        <v>--</v>
      </c>
      <c r="I141" s="43" t="str">
        <f>IFERROR(ABS(D141/VLOOKUP(2*$B141,$B142:D175,3,TRUE)),"--")</f>
        <v>--</v>
      </c>
      <c r="J141" s="43" t="str">
        <f>IFERROR(ABS(E141/VLOOKUP(2*$B141,$B142:E175,4,TRUE)),"--")</f>
        <v>--</v>
      </c>
      <c r="K141" s="43" t="str">
        <f>IFERROR(ABS(F141/VLOOKUP(2*$B141,$B142:F175,5,TRUE)),"--")</f>
        <v>--</v>
      </c>
      <c r="L141" s="43" t="str">
        <f>IFERROR(ABS(G141/VLOOKUP(2*$B141,$B142:G175,6,TRUE)),"--")</f>
        <v>--</v>
      </c>
      <c r="M141" s="38">
        <f>IF(AND(1+$Q$6&gt;H141,1-$Q$6&lt;H141,1+$Q$6&gt;I141,1-$Q$6&lt;I141,1+$Q$6&gt;J141,1-$Q$6&lt;J141,1+$Q$6&gt;K141,1-$Q$6&lt;K141,1+$Q$6&gt;L141,1-$Q$6&lt;L141),IF(SUM($M$2:M140)=0,1,0),0)</f>
        <v>0</v>
      </c>
      <c r="N141" s="38">
        <f>IF(AND(1+$Q$7&gt;H141,1-$Q$7&lt;H141,1+$Q$7&gt;I141,1-$Q$7&lt;I141,1+$Q$7&gt;J141,1-$Q$7&lt;J141,1+$Q$7&gt;K141,1-$Q$7&lt;K141,1+$Q$7&gt;L141,1-$Q$7&lt;L141),IF(SUM($N$2:N140)=0,1,0),0)</f>
        <v>0</v>
      </c>
      <c r="O141" s="34">
        <f t="shared" si="2"/>
        <v>0</v>
      </c>
    </row>
    <row r="142" spans="8:15" ht="20.100000000000001" customHeight="1" x14ac:dyDescent="0.25">
      <c r="H142" s="43" t="str">
        <f>IFERROR(ABS(C142/VLOOKUP(2*$B142,$B143:C176,2,TRUE)),"--")</f>
        <v>--</v>
      </c>
      <c r="I142" s="43" t="str">
        <f>IFERROR(ABS(D142/VLOOKUP(2*$B142,$B143:D176,3,TRUE)),"--")</f>
        <v>--</v>
      </c>
      <c r="J142" s="43" t="str">
        <f>IFERROR(ABS(E142/VLOOKUP(2*$B142,$B143:E176,4,TRUE)),"--")</f>
        <v>--</v>
      </c>
      <c r="K142" s="43" t="str">
        <f>IFERROR(ABS(F142/VLOOKUP(2*$B142,$B143:F176,5,TRUE)),"--")</f>
        <v>--</v>
      </c>
      <c r="L142" s="43" t="str">
        <f>IFERROR(ABS(G142/VLOOKUP(2*$B142,$B143:G176,6,TRUE)),"--")</f>
        <v>--</v>
      </c>
      <c r="M142" s="38">
        <f>IF(AND(1+$Q$6&gt;H142,1-$Q$6&lt;H142,1+$Q$6&gt;I142,1-$Q$6&lt;I142,1+$Q$6&gt;J142,1-$Q$6&lt;J142,1+$Q$6&gt;K142,1-$Q$6&lt;K142,1+$Q$6&gt;L142,1-$Q$6&lt;L142),IF(SUM($M$2:M141)=0,1,0),0)</f>
        <v>0</v>
      </c>
      <c r="N142" s="38">
        <f>IF(AND(1+$Q$7&gt;H142,1-$Q$7&lt;H142,1+$Q$7&gt;I142,1-$Q$7&lt;I142,1+$Q$7&gt;J142,1-$Q$7&lt;J142,1+$Q$7&gt;K142,1-$Q$7&lt;K142,1+$Q$7&gt;L142,1-$Q$7&lt;L142),IF(SUM($N$2:N141)=0,1,0),0)</f>
        <v>0</v>
      </c>
      <c r="O142" s="34">
        <f t="shared" si="2"/>
        <v>0</v>
      </c>
    </row>
    <row r="143" spans="8:15" ht="20.100000000000001" customHeight="1" x14ac:dyDescent="0.25">
      <c r="H143" s="43" t="str">
        <f>IFERROR(ABS(C143/VLOOKUP(2*$B143,$B144:C177,2,TRUE)),"--")</f>
        <v>--</v>
      </c>
      <c r="I143" s="43" t="str">
        <f>IFERROR(ABS(D143/VLOOKUP(2*$B143,$B144:D177,3,TRUE)),"--")</f>
        <v>--</v>
      </c>
      <c r="J143" s="43" t="str">
        <f>IFERROR(ABS(E143/VLOOKUP(2*$B143,$B144:E177,4,TRUE)),"--")</f>
        <v>--</v>
      </c>
      <c r="K143" s="43" t="str">
        <f>IFERROR(ABS(F143/VLOOKUP(2*$B143,$B144:F177,5,TRUE)),"--")</f>
        <v>--</v>
      </c>
      <c r="L143" s="43" t="str">
        <f>IFERROR(ABS(G143/VLOOKUP(2*$B143,$B144:G177,6,TRUE)),"--")</f>
        <v>--</v>
      </c>
      <c r="M143" s="38">
        <f>IF(AND(1+$Q$6&gt;H143,1-$Q$6&lt;H143,1+$Q$6&gt;I143,1-$Q$6&lt;I143,1+$Q$6&gt;J143,1-$Q$6&lt;J143,1+$Q$6&gt;K143,1-$Q$6&lt;K143,1+$Q$6&gt;L143,1-$Q$6&lt;L143),IF(SUM($M$2:M142)=0,1,0),0)</f>
        <v>0</v>
      </c>
      <c r="N143" s="38">
        <f>IF(AND(1+$Q$7&gt;H143,1-$Q$7&lt;H143,1+$Q$7&gt;I143,1-$Q$7&lt;I143,1+$Q$7&gt;J143,1-$Q$7&lt;J143,1+$Q$7&gt;K143,1-$Q$7&lt;K143,1+$Q$7&gt;L143,1-$Q$7&lt;L143),IF(SUM($N$2:N142)=0,1,0),0)</f>
        <v>0</v>
      </c>
      <c r="O143" s="34">
        <f t="shared" si="2"/>
        <v>0</v>
      </c>
    </row>
    <row r="144" spans="8:15" ht="20.100000000000001" customHeight="1" x14ac:dyDescent="0.25">
      <c r="H144" s="43" t="str">
        <f>IFERROR(ABS(C144/VLOOKUP(2*$B144,$B145:C178,2,TRUE)),"--")</f>
        <v>--</v>
      </c>
      <c r="I144" s="43" t="str">
        <f>IFERROR(ABS(D144/VLOOKUP(2*$B144,$B145:D178,3,TRUE)),"--")</f>
        <v>--</v>
      </c>
      <c r="J144" s="43" t="str">
        <f>IFERROR(ABS(E144/VLOOKUP(2*$B144,$B145:E178,4,TRUE)),"--")</f>
        <v>--</v>
      </c>
      <c r="K144" s="43" t="str">
        <f>IFERROR(ABS(F144/VLOOKUP(2*$B144,$B145:F178,5,TRUE)),"--")</f>
        <v>--</v>
      </c>
      <c r="L144" s="43" t="str">
        <f>IFERROR(ABS(G144/VLOOKUP(2*$B144,$B145:G178,6,TRUE)),"--")</f>
        <v>--</v>
      </c>
      <c r="M144" s="38">
        <f>IF(AND(1+$Q$6&gt;H144,1-$Q$6&lt;H144,1+$Q$6&gt;I144,1-$Q$6&lt;I144,1+$Q$6&gt;J144,1-$Q$6&lt;J144,1+$Q$6&gt;K144,1-$Q$6&lt;K144,1+$Q$6&gt;L144,1-$Q$6&lt;L144),IF(SUM($M$2:M143)=0,1,0),0)</f>
        <v>0</v>
      </c>
      <c r="N144" s="38">
        <f>IF(AND(1+$Q$7&gt;H144,1-$Q$7&lt;H144,1+$Q$7&gt;I144,1-$Q$7&lt;I144,1+$Q$7&gt;J144,1-$Q$7&lt;J144,1+$Q$7&gt;K144,1-$Q$7&lt;K144,1+$Q$7&gt;L144,1-$Q$7&lt;L144),IF(SUM($N$2:N143)=0,1,0),0)</f>
        <v>0</v>
      </c>
      <c r="O144" s="34">
        <f t="shared" si="2"/>
        <v>0</v>
      </c>
    </row>
    <row r="145" spans="8:15" ht="20.100000000000001" customHeight="1" x14ac:dyDescent="0.25">
      <c r="H145" s="43" t="str">
        <f>IFERROR(ABS(C145/VLOOKUP(2*$B145,$B146:C179,2,TRUE)),"--")</f>
        <v>--</v>
      </c>
      <c r="I145" s="43" t="str">
        <f>IFERROR(ABS(D145/VLOOKUP(2*$B145,$B146:D179,3,TRUE)),"--")</f>
        <v>--</v>
      </c>
      <c r="J145" s="43" t="str">
        <f>IFERROR(ABS(E145/VLOOKUP(2*$B145,$B146:E179,4,TRUE)),"--")</f>
        <v>--</v>
      </c>
      <c r="K145" s="43" t="str">
        <f>IFERROR(ABS(F145/VLOOKUP(2*$B145,$B146:F179,5,TRUE)),"--")</f>
        <v>--</v>
      </c>
      <c r="L145" s="43" t="str">
        <f>IFERROR(ABS(G145/VLOOKUP(2*$B145,$B146:G179,6,TRUE)),"--")</f>
        <v>--</v>
      </c>
      <c r="M145" s="38">
        <f>IF(AND(1+$Q$6&gt;H145,1-$Q$6&lt;H145,1+$Q$6&gt;I145,1-$Q$6&lt;I145,1+$Q$6&gt;J145,1-$Q$6&lt;J145,1+$Q$6&gt;K145,1-$Q$6&lt;K145,1+$Q$6&gt;L145,1-$Q$6&lt;L145),IF(SUM($M$2:M144)=0,1,0),0)</f>
        <v>0</v>
      </c>
      <c r="N145" s="38">
        <f>IF(AND(1+$Q$7&gt;H145,1-$Q$7&lt;H145,1+$Q$7&gt;I145,1-$Q$7&lt;I145,1+$Q$7&gt;J145,1-$Q$7&lt;J145,1+$Q$7&gt;K145,1-$Q$7&lt;K145,1+$Q$7&gt;L145,1-$Q$7&lt;L145),IF(SUM($N$2:N144)=0,1,0),0)</f>
        <v>0</v>
      </c>
      <c r="O145" s="34">
        <f t="shared" si="2"/>
        <v>0</v>
      </c>
    </row>
    <row r="146" spans="8:15" ht="20.100000000000001" customHeight="1" x14ac:dyDescent="0.25">
      <c r="H146" s="43" t="str">
        <f>IFERROR(ABS(C146/VLOOKUP(2*$B146,$B147:C180,2,TRUE)),"--")</f>
        <v>--</v>
      </c>
      <c r="I146" s="43" t="str">
        <f>IFERROR(ABS(D146/VLOOKUP(2*$B146,$B147:D180,3,TRUE)),"--")</f>
        <v>--</v>
      </c>
      <c r="J146" s="43" t="str">
        <f>IFERROR(ABS(E146/VLOOKUP(2*$B146,$B147:E180,4,TRUE)),"--")</f>
        <v>--</v>
      </c>
      <c r="K146" s="43" t="str">
        <f>IFERROR(ABS(F146/VLOOKUP(2*$B146,$B147:F180,5,TRUE)),"--")</f>
        <v>--</v>
      </c>
      <c r="L146" s="43" t="str">
        <f>IFERROR(ABS(G146/VLOOKUP(2*$B146,$B147:G180,6,TRUE)),"--")</f>
        <v>--</v>
      </c>
      <c r="M146" s="38">
        <f>IF(AND(1+$Q$6&gt;H146,1-$Q$6&lt;H146,1+$Q$6&gt;I146,1-$Q$6&lt;I146,1+$Q$6&gt;J146,1-$Q$6&lt;J146,1+$Q$6&gt;K146,1-$Q$6&lt;K146,1+$Q$6&gt;L146,1-$Q$6&lt;L146),IF(SUM($M$2:M145)=0,1,0),0)</f>
        <v>0</v>
      </c>
      <c r="N146" s="38">
        <f>IF(AND(1+$Q$7&gt;H146,1-$Q$7&lt;H146,1+$Q$7&gt;I146,1-$Q$7&lt;I146,1+$Q$7&gt;J146,1-$Q$7&lt;J146,1+$Q$7&gt;K146,1-$Q$7&lt;K146,1+$Q$7&gt;L146,1-$Q$7&lt;L146),IF(SUM($N$2:N145)=0,1,0),0)</f>
        <v>0</v>
      </c>
      <c r="O146" s="34">
        <f t="shared" si="2"/>
        <v>0</v>
      </c>
    </row>
    <row r="147" spans="8:15" ht="20.100000000000001" customHeight="1" x14ac:dyDescent="0.25">
      <c r="H147" s="43" t="str">
        <f>IFERROR(ABS(C147/VLOOKUP(2*$B147,$B148:C181,2,TRUE)),"--")</f>
        <v>--</v>
      </c>
      <c r="I147" s="43" t="str">
        <f>IFERROR(ABS(D147/VLOOKUP(2*$B147,$B148:D181,3,TRUE)),"--")</f>
        <v>--</v>
      </c>
      <c r="J147" s="43" t="str">
        <f>IFERROR(ABS(E147/VLOOKUP(2*$B147,$B148:E181,4,TRUE)),"--")</f>
        <v>--</v>
      </c>
      <c r="K147" s="43" t="str">
        <f>IFERROR(ABS(F147/VLOOKUP(2*$B147,$B148:F181,5,TRUE)),"--")</f>
        <v>--</v>
      </c>
      <c r="L147" s="43" t="str">
        <f>IFERROR(ABS(G147/VLOOKUP(2*$B147,$B148:G181,6,TRUE)),"--")</f>
        <v>--</v>
      </c>
      <c r="M147" s="38">
        <f>IF(AND(1+$Q$6&gt;H147,1-$Q$6&lt;H147,1+$Q$6&gt;I147,1-$Q$6&lt;I147,1+$Q$6&gt;J147,1-$Q$6&lt;J147,1+$Q$6&gt;K147,1-$Q$6&lt;K147,1+$Q$6&gt;L147,1-$Q$6&lt;L147),IF(SUM($M$2:M146)=0,1,0),0)</f>
        <v>0</v>
      </c>
      <c r="N147" s="38">
        <f>IF(AND(1+$Q$7&gt;H147,1-$Q$7&lt;H147,1+$Q$7&gt;I147,1-$Q$7&lt;I147,1+$Q$7&gt;J147,1-$Q$7&lt;J147,1+$Q$7&gt;K147,1-$Q$7&lt;K147,1+$Q$7&gt;L147,1-$Q$7&lt;L147),IF(SUM($N$2:N146)=0,1,0),0)</f>
        <v>0</v>
      </c>
      <c r="O147" s="34">
        <f t="shared" si="2"/>
        <v>0</v>
      </c>
    </row>
    <row r="148" spans="8:15" ht="20.100000000000001" customHeight="1" x14ac:dyDescent="0.25">
      <c r="H148" s="43" t="str">
        <f>IFERROR(ABS(C148/VLOOKUP(2*$B148,$B149:C182,2,TRUE)),"--")</f>
        <v>--</v>
      </c>
      <c r="I148" s="43" t="str">
        <f>IFERROR(ABS(D148/VLOOKUP(2*$B148,$B149:D182,3,TRUE)),"--")</f>
        <v>--</v>
      </c>
      <c r="J148" s="43" t="str">
        <f>IFERROR(ABS(E148/VLOOKUP(2*$B148,$B149:E182,4,TRUE)),"--")</f>
        <v>--</v>
      </c>
      <c r="K148" s="43" t="str">
        <f>IFERROR(ABS(F148/VLOOKUP(2*$B148,$B149:F182,5,TRUE)),"--")</f>
        <v>--</v>
      </c>
      <c r="L148" s="43" t="str">
        <f>IFERROR(ABS(G148/VLOOKUP(2*$B148,$B149:G182,6,TRUE)),"--")</f>
        <v>--</v>
      </c>
      <c r="M148" s="38">
        <f>IF(AND(1+$Q$6&gt;H148,1-$Q$6&lt;H148,1+$Q$6&gt;I148,1-$Q$6&lt;I148,1+$Q$6&gt;J148,1-$Q$6&lt;J148,1+$Q$6&gt;K148,1-$Q$6&lt;K148,1+$Q$6&gt;L148,1-$Q$6&lt;L148),IF(SUM($M$2:M147)=0,1,0),0)</f>
        <v>0</v>
      </c>
      <c r="N148" s="38">
        <f>IF(AND(1+$Q$7&gt;H148,1-$Q$7&lt;H148,1+$Q$7&gt;I148,1-$Q$7&lt;I148,1+$Q$7&gt;J148,1-$Q$7&lt;J148,1+$Q$7&gt;K148,1-$Q$7&lt;K148,1+$Q$7&gt;L148,1-$Q$7&lt;L148),IF(SUM($N$2:N147)=0,1,0),0)</f>
        <v>0</v>
      </c>
      <c r="O148" s="34">
        <f t="shared" si="2"/>
        <v>0</v>
      </c>
    </row>
    <row r="149" spans="8:15" ht="20.100000000000001" customHeight="1" x14ac:dyDescent="0.25">
      <c r="H149" s="43" t="str">
        <f>IFERROR(ABS(C149/VLOOKUP(2*$B149,$B150:C183,2,TRUE)),"--")</f>
        <v>--</v>
      </c>
      <c r="I149" s="43" t="str">
        <f>IFERROR(ABS(D149/VLOOKUP(2*$B149,$B150:D183,3,TRUE)),"--")</f>
        <v>--</v>
      </c>
      <c r="J149" s="43" t="str">
        <f>IFERROR(ABS(E149/VLOOKUP(2*$B149,$B150:E183,4,TRUE)),"--")</f>
        <v>--</v>
      </c>
      <c r="K149" s="43" t="str">
        <f>IFERROR(ABS(F149/VLOOKUP(2*$B149,$B150:F183,5,TRUE)),"--")</f>
        <v>--</v>
      </c>
      <c r="L149" s="43" t="str">
        <f>IFERROR(ABS(G149/VLOOKUP(2*$B149,$B150:G183,6,TRUE)),"--")</f>
        <v>--</v>
      </c>
      <c r="M149" s="38">
        <f>IF(AND(1+$Q$6&gt;H149,1-$Q$6&lt;H149,1+$Q$6&gt;I149,1-$Q$6&lt;I149,1+$Q$6&gt;J149,1-$Q$6&lt;J149,1+$Q$6&gt;K149,1-$Q$6&lt;K149,1+$Q$6&gt;L149,1-$Q$6&lt;L149),IF(SUM($M$2:M148)=0,1,0),0)</f>
        <v>0</v>
      </c>
      <c r="N149" s="38">
        <f>IF(AND(1+$Q$7&gt;H149,1-$Q$7&lt;H149,1+$Q$7&gt;I149,1-$Q$7&lt;I149,1+$Q$7&gt;J149,1-$Q$7&lt;J149,1+$Q$7&gt;K149,1-$Q$7&lt;K149,1+$Q$7&gt;L149,1-$Q$7&lt;L149),IF(SUM($N$2:N148)=0,1,0),0)</f>
        <v>0</v>
      </c>
      <c r="O149" s="34">
        <f t="shared" si="2"/>
        <v>0</v>
      </c>
    </row>
    <row r="150" spans="8:15" ht="20.100000000000001" customHeight="1" x14ac:dyDescent="0.25">
      <c r="H150" s="43" t="str">
        <f>IFERROR(ABS(C150/VLOOKUP(2*$B150,$B151:C184,2,TRUE)),"--")</f>
        <v>--</v>
      </c>
      <c r="I150" s="43" t="str">
        <f>IFERROR(ABS(D150/VLOOKUP(2*$B150,$B151:D184,3,TRUE)),"--")</f>
        <v>--</v>
      </c>
      <c r="J150" s="43" t="str">
        <f>IFERROR(ABS(E150/VLOOKUP(2*$B150,$B151:E184,4,TRUE)),"--")</f>
        <v>--</v>
      </c>
      <c r="K150" s="43" t="str">
        <f>IFERROR(ABS(F150/VLOOKUP(2*$B150,$B151:F184,5,TRUE)),"--")</f>
        <v>--</v>
      </c>
      <c r="L150" s="43" t="str">
        <f>IFERROR(ABS(G150/VLOOKUP(2*$B150,$B151:G184,6,TRUE)),"--")</f>
        <v>--</v>
      </c>
      <c r="M150" s="38">
        <f>IF(AND(1+$Q$6&gt;H150,1-$Q$6&lt;H150,1+$Q$6&gt;I150,1-$Q$6&lt;I150,1+$Q$6&gt;J150,1-$Q$6&lt;J150,1+$Q$6&gt;K150,1-$Q$6&lt;K150,1+$Q$6&gt;L150,1-$Q$6&lt;L150),IF(SUM($M$2:M149)=0,1,0),0)</f>
        <v>0</v>
      </c>
      <c r="N150" s="38">
        <f>IF(AND(1+$Q$7&gt;H150,1-$Q$7&lt;H150,1+$Q$7&gt;I150,1-$Q$7&lt;I150,1+$Q$7&gt;J150,1-$Q$7&lt;J150,1+$Q$7&gt;K150,1-$Q$7&lt;K150,1+$Q$7&gt;L150,1-$Q$7&lt;L150),IF(SUM($N$2:N149)=0,1,0),0)</f>
        <v>0</v>
      </c>
      <c r="O150" s="34">
        <f t="shared" si="2"/>
        <v>0</v>
      </c>
    </row>
    <row r="151" spans="8:15" ht="20.100000000000001" customHeight="1" x14ac:dyDescent="0.25">
      <c r="H151" s="43" t="str">
        <f>IFERROR(ABS(C151/VLOOKUP(2*$B151,$B152:C185,2,TRUE)),"--")</f>
        <v>--</v>
      </c>
      <c r="I151" s="43" t="str">
        <f>IFERROR(ABS(D151/VLOOKUP(2*$B151,$B152:D185,3,TRUE)),"--")</f>
        <v>--</v>
      </c>
      <c r="J151" s="43" t="str">
        <f>IFERROR(ABS(E151/VLOOKUP(2*$B151,$B152:E185,4,TRUE)),"--")</f>
        <v>--</v>
      </c>
      <c r="K151" s="43" t="str">
        <f>IFERROR(ABS(F151/VLOOKUP(2*$B151,$B152:F185,5,TRUE)),"--")</f>
        <v>--</v>
      </c>
      <c r="L151" s="43" t="str">
        <f>IFERROR(ABS(G151/VLOOKUP(2*$B151,$B152:G185,6,TRUE)),"--")</f>
        <v>--</v>
      </c>
      <c r="M151" s="38">
        <f>IF(AND(1+$Q$6&gt;H151,1-$Q$6&lt;H151,1+$Q$6&gt;I151,1-$Q$6&lt;I151,1+$Q$6&gt;J151,1-$Q$6&lt;J151,1+$Q$6&gt;K151,1-$Q$6&lt;K151,1+$Q$6&gt;L151,1-$Q$6&lt;L151),IF(SUM($M$2:M150)=0,1,0),0)</f>
        <v>0</v>
      </c>
      <c r="N151" s="38">
        <f>IF(AND(1+$Q$7&gt;H151,1-$Q$7&lt;H151,1+$Q$7&gt;I151,1-$Q$7&lt;I151,1+$Q$7&gt;J151,1-$Q$7&lt;J151,1+$Q$7&gt;K151,1-$Q$7&lt;K151,1+$Q$7&gt;L151,1-$Q$7&lt;L151),IF(SUM($N$2:N150)=0,1,0),0)</f>
        <v>0</v>
      </c>
      <c r="O151" s="34">
        <f t="shared" si="2"/>
        <v>0</v>
      </c>
    </row>
    <row r="152" spans="8:15" ht="20.100000000000001" customHeight="1" x14ac:dyDescent="0.25">
      <c r="H152" s="43" t="str">
        <f>IFERROR(ABS(C152/VLOOKUP(2*$B152,$B153:C186,2,TRUE)),"--")</f>
        <v>--</v>
      </c>
      <c r="I152" s="43" t="str">
        <f>IFERROR(ABS(D152/VLOOKUP(2*$B152,$B153:D186,3,TRUE)),"--")</f>
        <v>--</v>
      </c>
      <c r="J152" s="43" t="str">
        <f>IFERROR(ABS(E152/VLOOKUP(2*$B152,$B153:E186,4,TRUE)),"--")</f>
        <v>--</v>
      </c>
      <c r="K152" s="43" t="str">
        <f>IFERROR(ABS(F152/VLOOKUP(2*$B152,$B153:F186,5,TRUE)),"--")</f>
        <v>--</v>
      </c>
      <c r="L152" s="43" t="str">
        <f>IFERROR(ABS(G152/VLOOKUP(2*$B152,$B153:G186,6,TRUE)),"--")</f>
        <v>--</v>
      </c>
      <c r="M152" s="38">
        <f>IF(AND(1+$Q$6&gt;H152,1-$Q$6&lt;H152,1+$Q$6&gt;I152,1-$Q$6&lt;I152,1+$Q$6&gt;J152,1-$Q$6&lt;J152,1+$Q$6&gt;K152,1-$Q$6&lt;K152,1+$Q$6&gt;L152,1-$Q$6&lt;L152),IF(SUM($M$2:M151)=0,1,0),0)</f>
        <v>0</v>
      </c>
      <c r="N152" s="38">
        <f>IF(AND(1+$Q$7&gt;H152,1-$Q$7&lt;H152,1+$Q$7&gt;I152,1-$Q$7&lt;I152,1+$Q$7&gt;J152,1-$Q$7&lt;J152,1+$Q$7&gt;K152,1-$Q$7&lt;K152,1+$Q$7&gt;L152,1-$Q$7&lt;L152),IF(SUM($N$2:N151)=0,1,0),0)</f>
        <v>0</v>
      </c>
      <c r="O152" s="34">
        <f t="shared" si="2"/>
        <v>0</v>
      </c>
    </row>
    <row r="153" spans="8:15" ht="20.100000000000001" customHeight="1" x14ac:dyDescent="0.25">
      <c r="H153" s="43" t="str">
        <f>IFERROR(ABS(C153/VLOOKUP(2*$B153,$B154:C187,2,TRUE)),"--")</f>
        <v>--</v>
      </c>
      <c r="I153" s="43" t="str">
        <f>IFERROR(ABS(D153/VLOOKUP(2*$B153,$B154:D187,3,TRUE)),"--")</f>
        <v>--</v>
      </c>
      <c r="J153" s="43" t="str">
        <f>IFERROR(ABS(E153/VLOOKUP(2*$B153,$B154:E187,4,TRUE)),"--")</f>
        <v>--</v>
      </c>
      <c r="K153" s="43" t="str">
        <f>IFERROR(ABS(F153/VLOOKUP(2*$B153,$B154:F187,5,TRUE)),"--")</f>
        <v>--</v>
      </c>
      <c r="L153" s="43" t="str">
        <f>IFERROR(ABS(G153/VLOOKUP(2*$B153,$B154:G187,6,TRUE)),"--")</f>
        <v>--</v>
      </c>
      <c r="M153" s="38">
        <f>IF(AND(1+$Q$6&gt;H153,1-$Q$6&lt;H153,1+$Q$6&gt;I153,1-$Q$6&lt;I153,1+$Q$6&gt;J153,1-$Q$6&lt;J153,1+$Q$6&gt;K153,1-$Q$6&lt;K153,1+$Q$6&gt;L153,1-$Q$6&lt;L153),IF(SUM($M$2:M152)=0,1,0),0)</f>
        <v>0</v>
      </c>
      <c r="N153" s="38">
        <f>IF(AND(1+$Q$7&gt;H153,1-$Q$7&lt;H153,1+$Q$7&gt;I153,1-$Q$7&lt;I153,1+$Q$7&gt;J153,1-$Q$7&lt;J153,1+$Q$7&gt;K153,1-$Q$7&lt;K153,1+$Q$7&gt;L153,1-$Q$7&lt;L153),IF(SUM($N$2:N152)=0,1,0),0)</f>
        <v>0</v>
      </c>
      <c r="O153" s="34">
        <f t="shared" si="2"/>
        <v>0</v>
      </c>
    </row>
    <row r="154" spans="8:15" ht="20.100000000000001" customHeight="1" x14ac:dyDescent="0.25">
      <c r="H154" s="43" t="str">
        <f>IFERROR(ABS(C154/VLOOKUP(2*$B154,$B155:C188,2,TRUE)),"--")</f>
        <v>--</v>
      </c>
      <c r="I154" s="43" t="str">
        <f>IFERROR(ABS(D154/VLOOKUP(2*$B154,$B155:D188,3,TRUE)),"--")</f>
        <v>--</v>
      </c>
      <c r="J154" s="43" t="str">
        <f>IFERROR(ABS(E154/VLOOKUP(2*$B154,$B155:E188,4,TRUE)),"--")</f>
        <v>--</v>
      </c>
      <c r="K154" s="43" t="str">
        <f>IFERROR(ABS(F154/VLOOKUP(2*$B154,$B155:F188,5,TRUE)),"--")</f>
        <v>--</v>
      </c>
      <c r="L154" s="43" t="str">
        <f>IFERROR(ABS(G154/VLOOKUP(2*$B154,$B155:G188,6,TRUE)),"--")</f>
        <v>--</v>
      </c>
      <c r="M154" s="38">
        <f>IF(AND(1+$Q$6&gt;H154,1-$Q$6&lt;H154,1+$Q$6&gt;I154,1-$Q$6&lt;I154,1+$Q$6&gt;J154,1-$Q$6&lt;J154,1+$Q$6&gt;K154,1-$Q$6&lt;K154,1+$Q$6&gt;L154,1-$Q$6&lt;L154),IF(SUM($M$2:M153)=0,1,0),0)</f>
        <v>0</v>
      </c>
      <c r="N154" s="38">
        <f>IF(AND(1+$Q$7&gt;H154,1-$Q$7&lt;H154,1+$Q$7&gt;I154,1-$Q$7&lt;I154,1+$Q$7&gt;J154,1-$Q$7&lt;J154,1+$Q$7&gt;K154,1-$Q$7&lt;K154,1+$Q$7&gt;L154,1-$Q$7&lt;L154),IF(SUM($N$2:N153)=0,1,0),0)</f>
        <v>0</v>
      </c>
      <c r="O154" s="34">
        <f t="shared" si="2"/>
        <v>0</v>
      </c>
    </row>
    <row r="155" spans="8:15" ht="20.100000000000001" customHeight="1" x14ac:dyDescent="0.25">
      <c r="H155" s="43" t="str">
        <f>IFERROR(ABS(C155/VLOOKUP(2*$B155,$B156:C189,2,TRUE)),"--")</f>
        <v>--</v>
      </c>
      <c r="I155" s="43" t="str">
        <f>IFERROR(ABS(D155/VLOOKUP(2*$B155,$B156:D189,3,TRUE)),"--")</f>
        <v>--</v>
      </c>
      <c r="J155" s="43" t="str">
        <f>IFERROR(ABS(E155/VLOOKUP(2*$B155,$B156:E189,4,TRUE)),"--")</f>
        <v>--</v>
      </c>
      <c r="K155" s="43" t="str">
        <f>IFERROR(ABS(F155/VLOOKUP(2*$B155,$B156:F189,5,TRUE)),"--")</f>
        <v>--</v>
      </c>
      <c r="L155" s="43" t="str">
        <f>IFERROR(ABS(G155/VLOOKUP(2*$B155,$B156:G189,6,TRUE)),"--")</f>
        <v>--</v>
      </c>
      <c r="M155" s="38">
        <f>IF(AND(1+$Q$6&gt;H155,1-$Q$6&lt;H155,1+$Q$6&gt;I155,1-$Q$6&lt;I155,1+$Q$6&gt;J155,1-$Q$6&lt;J155,1+$Q$6&gt;K155,1-$Q$6&lt;K155,1+$Q$6&gt;L155,1-$Q$6&lt;L155),IF(SUM($M$2:M154)=0,1,0),0)</f>
        <v>0</v>
      </c>
      <c r="N155" s="38">
        <f>IF(AND(1+$Q$7&gt;H155,1-$Q$7&lt;H155,1+$Q$7&gt;I155,1-$Q$7&lt;I155,1+$Q$7&gt;J155,1-$Q$7&lt;J155,1+$Q$7&gt;K155,1-$Q$7&lt;K155,1+$Q$7&gt;L155,1-$Q$7&lt;L155),IF(SUM($N$2:N154)=0,1,0),0)</f>
        <v>0</v>
      </c>
      <c r="O155" s="34">
        <f t="shared" si="2"/>
        <v>0</v>
      </c>
    </row>
    <row r="156" spans="8:15" ht="20.100000000000001" customHeight="1" x14ac:dyDescent="0.25">
      <c r="H156" s="43" t="str">
        <f>IFERROR(ABS(C156/VLOOKUP(2*$B156,$B157:C190,2,TRUE)),"--")</f>
        <v>--</v>
      </c>
      <c r="I156" s="43" t="str">
        <f>IFERROR(ABS(D156/VLOOKUP(2*$B156,$B157:D190,3,TRUE)),"--")</f>
        <v>--</v>
      </c>
      <c r="J156" s="43" t="str">
        <f>IFERROR(ABS(E156/VLOOKUP(2*$B156,$B157:E190,4,TRUE)),"--")</f>
        <v>--</v>
      </c>
      <c r="K156" s="43" t="str">
        <f>IFERROR(ABS(F156/VLOOKUP(2*$B156,$B157:F190,5,TRUE)),"--")</f>
        <v>--</v>
      </c>
      <c r="L156" s="43" t="str">
        <f>IFERROR(ABS(G156/VLOOKUP(2*$B156,$B157:G190,6,TRUE)),"--")</f>
        <v>--</v>
      </c>
      <c r="M156" s="38">
        <f>IF(AND(1+$Q$6&gt;H156,1-$Q$6&lt;H156,1+$Q$6&gt;I156,1-$Q$6&lt;I156,1+$Q$6&gt;J156,1-$Q$6&lt;J156,1+$Q$6&gt;K156,1-$Q$6&lt;K156,1+$Q$6&gt;L156,1-$Q$6&lt;L156),IF(SUM($M$2:M155)=0,1,0),0)</f>
        <v>0</v>
      </c>
      <c r="N156" s="38">
        <f>IF(AND(1+$Q$7&gt;H156,1-$Q$7&lt;H156,1+$Q$7&gt;I156,1-$Q$7&lt;I156,1+$Q$7&gt;J156,1-$Q$7&lt;J156,1+$Q$7&gt;K156,1-$Q$7&lt;K156,1+$Q$7&gt;L156,1-$Q$7&lt;L156),IF(SUM($N$2:N155)=0,1,0),0)</f>
        <v>0</v>
      </c>
      <c r="O156" s="34">
        <f t="shared" si="2"/>
        <v>0</v>
      </c>
    </row>
    <row r="157" spans="8:15" ht="20.100000000000001" customHeight="1" x14ac:dyDescent="0.25">
      <c r="H157" s="43" t="str">
        <f>IFERROR(ABS(C157/VLOOKUP(2*$B157,$B158:C191,2,TRUE)),"--")</f>
        <v>--</v>
      </c>
      <c r="I157" s="43" t="str">
        <f>IFERROR(ABS(D157/VLOOKUP(2*$B157,$B158:D191,3,TRUE)),"--")</f>
        <v>--</v>
      </c>
      <c r="J157" s="43" t="str">
        <f>IFERROR(ABS(E157/VLOOKUP(2*$B157,$B158:E191,4,TRUE)),"--")</f>
        <v>--</v>
      </c>
      <c r="K157" s="43" t="str">
        <f>IFERROR(ABS(F157/VLOOKUP(2*$B157,$B158:F191,5,TRUE)),"--")</f>
        <v>--</v>
      </c>
      <c r="L157" s="43" t="str">
        <f>IFERROR(ABS(G157/VLOOKUP(2*$B157,$B158:G191,6,TRUE)),"--")</f>
        <v>--</v>
      </c>
      <c r="M157" s="38">
        <f>IF(AND(1+$Q$6&gt;H157,1-$Q$6&lt;H157,1+$Q$6&gt;I157,1-$Q$6&lt;I157,1+$Q$6&gt;J157,1-$Q$6&lt;J157,1+$Q$6&gt;K157,1-$Q$6&lt;K157,1+$Q$6&gt;L157,1-$Q$6&lt;L157),IF(SUM($M$2:M156)=0,1,0),0)</f>
        <v>0</v>
      </c>
      <c r="N157" s="38">
        <f>IF(AND(1+$Q$7&gt;H157,1-$Q$7&lt;H157,1+$Q$7&gt;I157,1-$Q$7&lt;I157,1+$Q$7&gt;J157,1-$Q$7&lt;J157,1+$Q$7&gt;K157,1-$Q$7&lt;K157,1+$Q$7&gt;L157,1-$Q$7&lt;L157),IF(SUM($N$2:N156)=0,1,0),0)</f>
        <v>0</v>
      </c>
      <c r="O157" s="34">
        <f t="shared" si="2"/>
        <v>0</v>
      </c>
    </row>
    <row r="158" spans="8:15" ht="20.100000000000001" customHeight="1" x14ac:dyDescent="0.25">
      <c r="H158" s="43" t="str">
        <f>IFERROR(ABS(C158/VLOOKUP(2*$B158,$B159:C192,2,TRUE)),"--")</f>
        <v>--</v>
      </c>
      <c r="I158" s="43" t="str">
        <f>IFERROR(ABS(D158/VLOOKUP(2*$B158,$B159:D192,3,TRUE)),"--")</f>
        <v>--</v>
      </c>
      <c r="J158" s="43" t="str">
        <f>IFERROR(ABS(E158/VLOOKUP(2*$B158,$B159:E192,4,TRUE)),"--")</f>
        <v>--</v>
      </c>
      <c r="K158" s="43" t="str">
        <f>IFERROR(ABS(F158/VLOOKUP(2*$B158,$B159:F192,5,TRUE)),"--")</f>
        <v>--</v>
      </c>
      <c r="L158" s="43" t="str">
        <f>IFERROR(ABS(G158/VLOOKUP(2*$B158,$B159:G192,6,TRUE)),"--")</f>
        <v>--</v>
      </c>
      <c r="M158" s="38">
        <f>IF(AND(1+$Q$6&gt;H158,1-$Q$6&lt;H158,1+$Q$6&gt;I158,1-$Q$6&lt;I158,1+$Q$6&gt;J158,1-$Q$6&lt;J158,1+$Q$6&gt;K158,1-$Q$6&lt;K158,1+$Q$6&gt;L158,1-$Q$6&lt;L158),IF(SUM($M$2:M157)=0,1,0),0)</f>
        <v>0</v>
      </c>
      <c r="N158" s="38">
        <f>IF(AND(1+$Q$7&gt;H158,1-$Q$7&lt;H158,1+$Q$7&gt;I158,1-$Q$7&lt;I158,1+$Q$7&gt;J158,1-$Q$7&lt;J158,1+$Q$7&gt;K158,1-$Q$7&lt;K158,1+$Q$7&gt;L158,1-$Q$7&lt;L158),IF(SUM($N$2:N157)=0,1,0),0)</f>
        <v>0</v>
      </c>
      <c r="O158" s="34">
        <f t="shared" si="2"/>
        <v>0</v>
      </c>
    </row>
    <row r="159" spans="8:15" ht="20.100000000000001" customHeight="1" x14ac:dyDescent="0.25">
      <c r="H159" s="43" t="str">
        <f>IFERROR(ABS(C159/VLOOKUP(2*$B159,$B160:C193,2,TRUE)),"--")</f>
        <v>--</v>
      </c>
      <c r="I159" s="43" t="str">
        <f>IFERROR(ABS(D159/VLOOKUP(2*$B159,$B160:D193,3,TRUE)),"--")</f>
        <v>--</v>
      </c>
      <c r="J159" s="43" t="str">
        <f>IFERROR(ABS(E159/VLOOKUP(2*$B159,$B160:E193,4,TRUE)),"--")</f>
        <v>--</v>
      </c>
      <c r="K159" s="43" t="str">
        <f>IFERROR(ABS(F159/VLOOKUP(2*$B159,$B160:F193,5,TRUE)),"--")</f>
        <v>--</v>
      </c>
      <c r="L159" s="43" t="str">
        <f>IFERROR(ABS(G159/VLOOKUP(2*$B159,$B160:G193,6,TRUE)),"--")</f>
        <v>--</v>
      </c>
      <c r="M159" s="38">
        <f>IF(AND(1+$Q$6&gt;H159,1-$Q$6&lt;H159,1+$Q$6&gt;I159,1-$Q$6&lt;I159,1+$Q$6&gt;J159,1-$Q$6&lt;J159,1+$Q$6&gt;K159,1-$Q$6&lt;K159,1+$Q$6&gt;L159,1-$Q$6&lt;L159),IF(SUM($M$2:M158)=0,1,0),0)</f>
        <v>0</v>
      </c>
      <c r="N159" s="38">
        <f>IF(AND(1+$Q$7&gt;H159,1-$Q$7&lt;H159,1+$Q$7&gt;I159,1-$Q$7&lt;I159,1+$Q$7&gt;J159,1-$Q$7&lt;J159,1+$Q$7&gt;K159,1-$Q$7&lt;K159,1+$Q$7&gt;L159,1-$Q$7&lt;L159),IF(SUM($N$2:N158)=0,1,0),0)</f>
        <v>0</v>
      </c>
      <c r="O159" s="34">
        <f t="shared" si="2"/>
        <v>0</v>
      </c>
    </row>
    <row r="160" spans="8:15" ht="20.100000000000001" customHeight="1" x14ac:dyDescent="0.25">
      <c r="H160" s="43" t="str">
        <f>IFERROR(ABS(C160/VLOOKUP(2*$B160,$B161:C194,2,TRUE)),"--")</f>
        <v>--</v>
      </c>
      <c r="I160" s="43" t="str">
        <f>IFERROR(ABS(D160/VLOOKUP(2*$B160,$B161:D194,3,TRUE)),"--")</f>
        <v>--</v>
      </c>
      <c r="J160" s="43" t="str">
        <f>IFERROR(ABS(E160/VLOOKUP(2*$B160,$B161:E194,4,TRUE)),"--")</f>
        <v>--</v>
      </c>
      <c r="K160" s="43" t="str">
        <f>IFERROR(ABS(F160/VLOOKUP(2*$B160,$B161:F194,5,TRUE)),"--")</f>
        <v>--</v>
      </c>
      <c r="L160" s="43" t="str">
        <f>IFERROR(ABS(G160/VLOOKUP(2*$B160,$B161:G194,6,TRUE)),"--")</f>
        <v>--</v>
      </c>
      <c r="M160" s="38">
        <f>IF(AND(1+$Q$6&gt;H160,1-$Q$6&lt;H160,1+$Q$6&gt;I160,1-$Q$6&lt;I160,1+$Q$6&gt;J160,1-$Q$6&lt;J160,1+$Q$6&gt;K160,1-$Q$6&lt;K160,1+$Q$6&gt;L160,1-$Q$6&lt;L160),IF(SUM($M$2:M159)=0,1,0),0)</f>
        <v>0</v>
      </c>
      <c r="N160" s="38">
        <f>IF(AND(1+$Q$7&gt;H160,1-$Q$7&lt;H160,1+$Q$7&gt;I160,1-$Q$7&lt;I160,1+$Q$7&gt;J160,1-$Q$7&lt;J160,1+$Q$7&gt;K160,1-$Q$7&lt;K160,1+$Q$7&gt;L160,1-$Q$7&lt;L160),IF(SUM($N$2:N159)=0,1,0),0)</f>
        <v>0</v>
      </c>
      <c r="O160" s="34">
        <f t="shared" si="2"/>
        <v>0</v>
      </c>
    </row>
    <row r="161" spans="8:15" ht="20.100000000000001" customHeight="1" x14ac:dyDescent="0.25">
      <c r="H161" s="43" t="str">
        <f>IFERROR(ABS(C161/VLOOKUP(2*$B161,$B162:C195,2,TRUE)),"--")</f>
        <v>--</v>
      </c>
      <c r="I161" s="43" t="str">
        <f>IFERROR(ABS(D161/VLOOKUP(2*$B161,$B162:D195,3,TRUE)),"--")</f>
        <v>--</v>
      </c>
      <c r="J161" s="43" t="str">
        <f>IFERROR(ABS(E161/VLOOKUP(2*$B161,$B162:E195,4,TRUE)),"--")</f>
        <v>--</v>
      </c>
      <c r="K161" s="43" t="str">
        <f>IFERROR(ABS(F161/VLOOKUP(2*$B161,$B162:F195,5,TRUE)),"--")</f>
        <v>--</v>
      </c>
      <c r="L161" s="43" t="str">
        <f>IFERROR(ABS(G161/VLOOKUP(2*$B161,$B162:G195,6,TRUE)),"--")</f>
        <v>--</v>
      </c>
      <c r="M161" s="38">
        <f>IF(AND(1+$Q$6&gt;H161,1-$Q$6&lt;H161,1+$Q$6&gt;I161,1-$Q$6&lt;I161,1+$Q$6&gt;J161,1-$Q$6&lt;J161,1+$Q$6&gt;K161,1-$Q$6&lt;K161,1+$Q$6&gt;L161,1-$Q$6&lt;L161),IF(SUM($M$2:M160)=0,1,0),0)</f>
        <v>0</v>
      </c>
      <c r="N161" s="38">
        <f>IF(AND(1+$Q$7&gt;H161,1-$Q$7&lt;H161,1+$Q$7&gt;I161,1-$Q$7&lt;I161,1+$Q$7&gt;J161,1-$Q$7&lt;J161,1+$Q$7&gt;K161,1-$Q$7&lt;K161,1+$Q$7&gt;L161,1-$Q$7&lt;L161),IF(SUM($N$2:N160)=0,1,0),0)</f>
        <v>0</v>
      </c>
      <c r="O161" s="34">
        <f t="shared" si="2"/>
        <v>0</v>
      </c>
    </row>
    <row r="162" spans="8:15" ht="20.100000000000001" customHeight="1" x14ac:dyDescent="0.25">
      <c r="H162" s="43" t="str">
        <f>IFERROR(ABS(C162/VLOOKUP(2*$B162,$B163:C196,2,TRUE)),"--")</f>
        <v>--</v>
      </c>
      <c r="I162" s="43" t="str">
        <f>IFERROR(ABS(D162/VLOOKUP(2*$B162,$B163:D196,3,TRUE)),"--")</f>
        <v>--</v>
      </c>
      <c r="J162" s="43" t="str">
        <f>IFERROR(ABS(E162/VLOOKUP(2*$B162,$B163:E196,4,TRUE)),"--")</f>
        <v>--</v>
      </c>
      <c r="K162" s="43" t="str">
        <f>IFERROR(ABS(F162/VLOOKUP(2*$B162,$B163:F196,5,TRUE)),"--")</f>
        <v>--</v>
      </c>
      <c r="L162" s="43" t="str">
        <f>IFERROR(ABS(G162/VLOOKUP(2*$B162,$B163:G196,6,TRUE)),"--")</f>
        <v>--</v>
      </c>
      <c r="M162" s="38">
        <f>IF(AND(1+$Q$6&gt;H162,1-$Q$6&lt;H162,1+$Q$6&gt;I162,1-$Q$6&lt;I162,1+$Q$6&gt;J162,1-$Q$6&lt;J162,1+$Q$6&gt;K162,1-$Q$6&lt;K162,1+$Q$6&gt;L162,1-$Q$6&lt;L162),IF(SUM($M$2:M161)=0,1,0),0)</f>
        <v>0</v>
      </c>
      <c r="N162" s="38">
        <f>IF(AND(1+$Q$7&gt;H162,1-$Q$7&lt;H162,1+$Q$7&gt;I162,1-$Q$7&lt;I162,1+$Q$7&gt;J162,1-$Q$7&lt;J162,1+$Q$7&gt;K162,1-$Q$7&lt;K162,1+$Q$7&gt;L162,1-$Q$7&lt;L162),IF(SUM($N$2:N161)=0,1,0),0)</f>
        <v>0</v>
      </c>
      <c r="O162" s="34">
        <f t="shared" si="2"/>
        <v>0</v>
      </c>
    </row>
    <row r="163" spans="8:15" ht="20.100000000000001" customHeight="1" x14ac:dyDescent="0.25">
      <c r="H163" s="43" t="str">
        <f>IFERROR(ABS(C163/VLOOKUP(2*$B163,$B164:C197,2,TRUE)),"--")</f>
        <v>--</v>
      </c>
      <c r="I163" s="43" t="str">
        <f>IFERROR(ABS(D163/VLOOKUP(2*$B163,$B164:D197,3,TRUE)),"--")</f>
        <v>--</v>
      </c>
      <c r="J163" s="43" t="str">
        <f>IFERROR(ABS(E163/VLOOKUP(2*$B163,$B164:E197,4,TRUE)),"--")</f>
        <v>--</v>
      </c>
      <c r="K163" s="43" t="str">
        <f>IFERROR(ABS(F163/VLOOKUP(2*$B163,$B164:F197,5,TRUE)),"--")</f>
        <v>--</v>
      </c>
      <c r="L163" s="43" t="str">
        <f>IFERROR(ABS(G163/VLOOKUP(2*$B163,$B164:G197,6,TRUE)),"--")</f>
        <v>--</v>
      </c>
      <c r="M163" s="38">
        <f>IF(AND(1+$Q$6&gt;H163,1-$Q$6&lt;H163,1+$Q$6&gt;I163,1-$Q$6&lt;I163,1+$Q$6&gt;J163,1-$Q$6&lt;J163,1+$Q$6&gt;K163,1-$Q$6&lt;K163,1+$Q$6&gt;L163,1-$Q$6&lt;L163),IF(SUM($M$2:M162)=0,1,0),0)</f>
        <v>0</v>
      </c>
      <c r="N163" s="38">
        <f>IF(AND(1+$Q$7&gt;H163,1-$Q$7&lt;H163,1+$Q$7&gt;I163,1-$Q$7&lt;I163,1+$Q$7&gt;J163,1-$Q$7&lt;J163,1+$Q$7&gt;K163,1-$Q$7&lt;K163,1+$Q$7&gt;L163,1-$Q$7&lt;L163),IF(SUM($N$2:N162)=0,1,0),0)</f>
        <v>0</v>
      </c>
      <c r="O163" s="34">
        <f t="shared" si="2"/>
        <v>0</v>
      </c>
    </row>
    <row r="164" spans="8:15" ht="20.100000000000001" customHeight="1" x14ac:dyDescent="0.25">
      <c r="H164" s="43" t="str">
        <f>IFERROR(ABS(C164/VLOOKUP(2*$B164,$B165:C198,2,TRUE)),"--")</f>
        <v>--</v>
      </c>
      <c r="I164" s="43" t="str">
        <f>IFERROR(ABS(D164/VLOOKUP(2*$B164,$B165:D198,3,TRUE)),"--")</f>
        <v>--</v>
      </c>
      <c r="J164" s="43" t="str">
        <f>IFERROR(ABS(E164/VLOOKUP(2*$B164,$B165:E198,4,TRUE)),"--")</f>
        <v>--</v>
      </c>
      <c r="K164" s="43" t="str">
        <f>IFERROR(ABS(F164/VLOOKUP(2*$B164,$B165:F198,5,TRUE)),"--")</f>
        <v>--</v>
      </c>
      <c r="L164" s="43" t="str">
        <f>IFERROR(ABS(G164/VLOOKUP(2*$B164,$B165:G198,6,TRUE)),"--")</f>
        <v>--</v>
      </c>
      <c r="M164" s="38">
        <f>IF(AND(1+$Q$6&gt;H164,1-$Q$6&lt;H164,1+$Q$6&gt;I164,1-$Q$6&lt;I164,1+$Q$6&gt;J164,1-$Q$6&lt;J164,1+$Q$6&gt;K164,1-$Q$6&lt;K164,1+$Q$6&gt;L164,1-$Q$6&lt;L164),IF(SUM($M$2:M163)=0,1,0),0)</f>
        <v>0</v>
      </c>
      <c r="N164" s="38">
        <f>IF(AND(1+$Q$7&gt;H164,1-$Q$7&lt;H164,1+$Q$7&gt;I164,1-$Q$7&lt;I164,1+$Q$7&gt;J164,1-$Q$7&lt;J164,1+$Q$7&gt;K164,1-$Q$7&lt;K164,1+$Q$7&gt;L164,1-$Q$7&lt;L164),IF(SUM($N$2:N163)=0,1,0),0)</f>
        <v>0</v>
      </c>
      <c r="O164" s="34">
        <f t="shared" si="2"/>
        <v>0</v>
      </c>
    </row>
    <row r="165" spans="8:15" ht="20.100000000000001" customHeight="1" x14ac:dyDescent="0.25">
      <c r="H165" s="43" t="str">
        <f>IFERROR(ABS(C165/VLOOKUP(2*$B165,$B166:C199,2,TRUE)),"--")</f>
        <v>--</v>
      </c>
      <c r="I165" s="43" t="str">
        <f>IFERROR(ABS(D165/VLOOKUP(2*$B165,$B166:D199,3,TRUE)),"--")</f>
        <v>--</v>
      </c>
      <c r="J165" s="43" t="str">
        <f>IFERROR(ABS(E165/VLOOKUP(2*$B165,$B166:E199,4,TRUE)),"--")</f>
        <v>--</v>
      </c>
      <c r="K165" s="43" t="str">
        <f>IFERROR(ABS(F165/VLOOKUP(2*$B165,$B166:F199,5,TRUE)),"--")</f>
        <v>--</v>
      </c>
      <c r="L165" s="43" t="str">
        <f>IFERROR(ABS(G165/VLOOKUP(2*$B165,$B166:G199,6,TRUE)),"--")</f>
        <v>--</v>
      </c>
      <c r="M165" s="38">
        <f>IF(AND(1+$Q$6&gt;H165,1-$Q$6&lt;H165,1+$Q$6&gt;I165,1-$Q$6&lt;I165,1+$Q$6&gt;J165,1-$Q$6&lt;J165,1+$Q$6&gt;K165,1-$Q$6&lt;K165,1+$Q$6&gt;L165,1-$Q$6&lt;L165),IF(SUM($M$2:M164)=0,1,0),0)</f>
        <v>0</v>
      </c>
      <c r="N165" s="38">
        <f>IF(AND(1+$Q$7&gt;H165,1-$Q$7&lt;H165,1+$Q$7&gt;I165,1-$Q$7&lt;I165,1+$Q$7&gt;J165,1-$Q$7&lt;J165,1+$Q$7&gt;K165,1-$Q$7&lt;K165,1+$Q$7&gt;L165,1-$Q$7&lt;L165),IF(SUM($N$2:N164)=0,1,0),0)</f>
        <v>0</v>
      </c>
      <c r="O165" s="34">
        <f t="shared" si="2"/>
        <v>0</v>
      </c>
    </row>
    <row r="166" spans="8:15" ht="20.100000000000001" customHeight="1" x14ac:dyDescent="0.25">
      <c r="H166" s="43" t="str">
        <f>IFERROR(ABS(C166/VLOOKUP(2*$B166,$B167:C200,2,TRUE)),"--")</f>
        <v>--</v>
      </c>
      <c r="I166" s="43" t="str">
        <f>IFERROR(ABS(D166/VLOOKUP(2*$B166,$B167:D200,3,TRUE)),"--")</f>
        <v>--</v>
      </c>
      <c r="J166" s="43" t="str">
        <f>IFERROR(ABS(E166/VLOOKUP(2*$B166,$B167:E200,4,TRUE)),"--")</f>
        <v>--</v>
      </c>
      <c r="K166" s="43" t="str">
        <f>IFERROR(ABS(F166/VLOOKUP(2*$B166,$B167:F200,5,TRUE)),"--")</f>
        <v>--</v>
      </c>
      <c r="L166" s="43" t="str">
        <f>IFERROR(ABS(G166/VLOOKUP(2*$B166,$B167:G200,6,TRUE)),"--")</f>
        <v>--</v>
      </c>
      <c r="M166" s="38">
        <f>IF(AND(1+$Q$6&gt;H166,1-$Q$6&lt;H166,1+$Q$6&gt;I166,1-$Q$6&lt;I166,1+$Q$6&gt;J166,1-$Q$6&lt;J166,1+$Q$6&gt;K166,1-$Q$6&lt;K166,1+$Q$6&gt;L166,1-$Q$6&lt;L166),IF(SUM($M$2:M165)=0,1,0),0)</f>
        <v>0</v>
      </c>
      <c r="N166" s="38">
        <f>IF(AND(1+$Q$7&gt;H166,1-$Q$7&lt;H166,1+$Q$7&gt;I166,1-$Q$7&lt;I166,1+$Q$7&gt;J166,1-$Q$7&lt;J166,1+$Q$7&gt;K166,1-$Q$7&lt;K166,1+$Q$7&gt;L166,1-$Q$7&lt;L166),IF(SUM($N$2:N165)=0,1,0),0)</f>
        <v>0</v>
      </c>
      <c r="O166" s="34">
        <f t="shared" si="2"/>
        <v>0</v>
      </c>
    </row>
    <row r="167" spans="8:15" ht="20.100000000000001" customHeight="1" x14ac:dyDescent="0.25">
      <c r="H167" s="43" t="str">
        <f>IFERROR(ABS(C167/VLOOKUP(2*$B167,$B168:C201,2,TRUE)),"--")</f>
        <v>--</v>
      </c>
      <c r="I167" s="43" t="str">
        <f>IFERROR(ABS(D167/VLOOKUP(2*$B167,$B168:D201,3,TRUE)),"--")</f>
        <v>--</v>
      </c>
      <c r="J167" s="43" t="str">
        <f>IFERROR(ABS(E167/VLOOKUP(2*$B167,$B168:E201,4,TRUE)),"--")</f>
        <v>--</v>
      </c>
      <c r="K167" s="43" t="str">
        <f>IFERROR(ABS(F167/VLOOKUP(2*$B167,$B168:F201,5,TRUE)),"--")</f>
        <v>--</v>
      </c>
      <c r="L167" s="43" t="str">
        <f>IFERROR(ABS(G167/VLOOKUP(2*$B167,$B168:G201,6,TRUE)),"--")</f>
        <v>--</v>
      </c>
      <c r="M167" s="38">
        <f>IF(AND(1+$Q$6&gt;H167,1-$Q$6&lt;H167,1+$Q$6&gt;I167,1-$Q$6&lt;I167,1+$Q$6&gt;J167,1-$Q$6&lt;J167,1+$Q$6&gt;K167,1-$Q$6&lt;K167,1+$Q$6&gt;L167,1-$Q$6&lt;L167),IF(SUM($M$2:M166)=0,1,0),0)</f>
        <v>0</v>
      </c>
      <c r="N167" s="38">
        <f>IF(AND(1+$Q$7&gt;H167,1-$Q$7&lt;H167,1+$Q$7&gt;I167,1-$Q$7&lt;I167,1+$Q$7&gt;J167,1-$Q$7&lt;J167,1+$Q$7&gt;K167,1-$Q$7&lt;K167,1+$Q$7&gt;L167,1-$Q$7&lt;L167),IF(SUM($N$2:N166)=0,1,0),0)</f>
        <v>0</v>
      </c>
      <c r="O167" s="34">
        <f t="shared" si="2"/>
        <v>0</v>
      </c>
    </row>
    <row r="168" spans="8:15" ht="20.100000000000001" customHeight="1" x14ac:dyDescent="0.25">
      <c r="H168" s="43" t="str">
        <f>IFERROR(ABS(C168/VLOOKUP(2*$B168,$B169:C202,2,TRUE)),"--")</f>
        <v>--</v>
      </c>
      <c r="I168" s="43" t="str">
        <f>IFERROR(ABS(D168/VLOOKUP(2*$B168,$B169:D202,3,TRUE)),"--")</f>
        <v>--</v>
      </c>
      <c r="J168" s="43" t="str">
        <f>IFERROR(ABS(E168/VLOOKUP(2*$B168,$B169:E202,4,TRUE)),"--")</f>
        <v>--</v>
      </c>
      <c r="K168" s="43" t="str">
        <f>IFERROR(ABS(F168/VLOOKUP(2*$B168,$B169:F202,5,TRUE)),"--")</f>
        <v>--</v>
      </c>
      <c r="L168" s="43" t="str">
        <f>IFERROR(ABS(G168/VLOOKUP(2*$B168,$B169:G202,6,TRUE)),"--")</f>
        <v>--</v>
      </c>
      <c r="M168" s="38">
        <f>IF(AND(1+$Q$6&gt;H168,1-$Q$6&lt;H168,1+$Q$6&gt;I168,1-$Q$6&lt;I168,1+$Q$6&gt;J168,1-$Q$6&lt;J168,1+$Q$6&gt;K168,1-$Q$6&lt;K168,1+$Q$6&gt;L168,1-$Q$6&lt;L168),IF(SUM($M$2:M167)=0,1,0),0)</f>
        <v>0</v>
      </c>
      <c r="N168" s="38">
        <f>IF(AND(1+$Q$7&gt;H168,1-$Q$7&lt;H168,1+$Q$7&gt;I168,1-$Q$7&lt;I168,1+$Q$7&gt;J168,1-$Q$7&lt;J168,1+$Q$7&gt;K168,1-$Q$7&lt;K168,1+$Q$7&gt;L168,1-$Q$7&lt;L168),IF(SUM($N$2:N167)=0,1,0),0)</f>
        <v>0</v>
      </c>
      <c r="O168" s="34">
        <f t="shared" si="2"/>
        <v>0</v>
      </c>
    </row>
    <row r="169" spans="8:15" ht="20.100000000000001" customHeight="1" x14ac:dyDescent="0.25">
      <c r="H169" s="43" t="str">
        <f>IFERROR(ABS(C169/VLOOKUP(2*$B169,$B170:C203,2,TRUE)),"--")</f>
        <v>--</v>
      </c>
      <c r="I169" s="43" t="str">
        <f>IFERROR(ABS(D169/VLOOKUP(2*$B169,$B170:D203,3,TRUE)),"--")</f>
        <v>--</v>
      </c>
      <c r="J169" s="43" t="str">
        <f>IFERROR(ABS(E169/VLOOKUP(2*$B169,$B170:E203,4,TRUE)),"--")</f>
        <v>--</v>
      </c>
      <c r="K169" s="43" t="str">
        <f>IFERROR(ABS(F169/VLOOKUP(2*$B169,$B170:F203,5,TRUE)),"--")</f>
        <v>--</v>
      </c>
      <c r="L169" s="43" t="str">
        <f>IFERROR(ABS(G169/VLOOKUP(2*$B169,$B170:G203,6,TRUE)),"--")</f>
        <v>--</v>
      </c>
      <c r="M169" s="38">
        <f>IF(AND(1+$Q$6&gt;H169,1-$Q$6&lt;H169,1+$Q$6&gt;I169,1-$Q$6&lt;I169,1+$Q$6&gt;J169,1-$Q$6&lt;J169,1+$Q$6&gt;K169,1-$Q$6&lt;K169,1+$Q$6&gt;L169,1-$Q$6&lt;L169),IF(SUM($M$2:M168)=0,1,0),0)</f>
        <v>0</v>
      </c>
      <c r="N169" s="38">
        <f>IF(AND(1+$Q$7&gt;H169,1-$Q$7&lt;H169,1+$Q$7&gt;I169,1-$Q$7&lt;I169,1+$Q$7&gt;J169,1-$Q$7&lt;J169,1+$Q$7&gt;K169,1-$Q$7&lt;K169,1+$Q$7&gt;L169,1-$Q$7&lt;L169),IF(SUM($N$2:N168)=0,1,0),0)</f>
        <v>0</v>
      </c>
      <c r="O169" s="34">
        <f t="shared" si="2"/>
        <v>0</v>
      </c>
    </row>
    <row r="170" spans="8:15" ht="20.100000000000001" customHeight="1" x14ac:dyDescent="0.25">
      <c r="H170" s="43" t="str">
        <f>IFERROR(ABS(C170/VLOOKUP(2*$B170,$B171:C204,2,TRUE)),"--")</f>
        <v>--</v>
      </c>
      <c r="I170" s="43" t="str">
        <f>IFERROR(ABS(D170/VLOOKUP(2*$B170,$B171:D204,3,TRUE)),"--")</f>
        <v>--</v>
      </c>
      <c r="J170" s="43" t="str">
        <f>IFERROR(ABS(E170/VLOOKUP(2*$B170,$B171:E204,4,TRUE)),"--")</f>
        <v>--</v>
      </c>
      <c r="K170" s="43" t="str">
        <f>IFERROR(ABS(F170/VLOOKUP(2*$B170,$B171:F204,5,TRUE)),"--")</f>
        <v>--</v>
      </c>
      <c r="L170" s="43" t="str">
        <f>IFERROR(ABS(G170/VLOOKUP(2*$B170,$B171:G204,6,TRUE)),"--")</f>
        <v>--</v>
      </c>
      <c r="M170" s="38">
        <f>IF(AND(1+$Q$6&gt;H170,1-$Q$6&lt;H170,1+$Q$6&gt;I170,1-$Q$6&lt;I170,1+$Q$6&gt;J170,1-$Q$6&lt;J170,1+$Q$6&gt;K170,1-$Q$6&lt;K170,1+$Q$6&gt;L170,1-$Q$6&lt;L170),IF(SUM($M$2:M169)=0,1,0),0)</f>
        <v>0</v>
      </c>
      <c r="N170" s="38">
        <f>IF(AND(1+$Q$7&gt;H170,1-$Q$7&lt;H170,1+$Q$7&gt;I170,1-$Q$7&lt;I170,1+$Q$7&gt;J170,1-$Q$7&lt;J170,1+$Q$7&gt;K170,1-$Q$7&lt;K170,1+$Q$7&gt;L170,1-$Q$7&lt;L170),IF(SUM($N$2:N169)=0,1,0),0)</f>
        <v>0</v>
      </c>
      <c r="O170" s="34">
        <f t="shared" si="2"/>
        <v>0</v>
      </c>
    </row>
    <row r="171" spans="8:15" ht="20.100000000000001" customHeight="1" x14ac:dyDescent="0.25">
      <c r="H171" s="43" t="str">
        <f>IFERROR(ABS(C171/VLOOKUP(2*$B171,$B172:C205,2,TRUE)),"--")</f>
        <v>--</v>
      </c>
      <c r="I171" s="43" t="str">
        <f>IFERROR(ABS(D171/VLOOKUP(2*$B171,$B172:D205,3,TRUE)),"--")</f>
        <v>--</v>
      </c>
      <c r="J171" s="43" t="str">
        <f>IFERROR(ABS(E171/VLOOKUP(2*$B171,$B172:E205,4,TRUE)),"--")</f>
        <v>--</v>
      </c>
      <c r="K171" s="43" t="str">
        <f>IFERROR(ABS(F171/VLOOKUP(2*$B171,$B172:F205,5,TRUE)),"--")</f>
        <v>--</v>
      </c>
      <c r="L171" s="43" t="str">
        <f>IFERROR(ABS(G171/VLOOKUP(2*$B171,$B172:G205,6,TRUE)),"--")</f>
        <v>--</v>
      </c>
      <c r="M171" s="38">
        <f>IF(AND(1+$Q$6&gt;H171,1-$Q$6&lt;H171,1+$Q$6&gt;I171,1-$Q$6&lt;I171,1+$Q$6&gt;J171,1-$Q$6&lt;J171,1+$Q$6&gt;K171,1-$Q$6&lt;K171,1+$Q$6&gt;L171,1-$Q$6&lt;L171),IF(SUM($M$2:M170)=0,1,0),0)</f>
        <v>0</v>
      </c>
      <c r="N171" s="38">
        <f>IF(AND(1+$Q$7&gt;H171,1-$Q$7&lt;H171,1+$Q$7&gt;I171,1-$Q$7&lt;I171,1+$Q$7&gt;J171,1-$Q$7&lt;J171,1+$Q$7&gt;K171,1-$Q$7&lt;K171,1+$Q$7&gt;L171,1-$Q$7&lt;L171),IF(SUM($N$2:N170)=0,1,0),0)</f>
        <v>0</v>
      </c>
      <c r="O171" s="34">
        <f t="shared" si="2"/>
        <v>0</v>
      </c>
    </row>
    <row r="172" spans="8:15" ht="20.100000000000001" customHeight="1" x14ac:dyDescent="0.25">
      <c r="H172" s="43" t="str">
        <f>IFERROR(ABS(C172/VLOOKUP(2*$B172,$B173:C206,2,TRUE)),"--")</f>
        <v>--</v>
      </c>
      <c r="I172" s="43" t="str">
        <f>IFERROR(ABS(D172/VLOOKUP(2*$B172,$B173:D206,3,TRUE)),"--")</f>
        <v>--</v>
      </c>
      <c r="J172" s="43" t="str">
        <f>IFERROR(ABS(E172/VLOOKUP(2*$B172,$B173:E206,4,TRUE)),"--")</f>
        <v>--</v>
      </c>
      <c r="K172" s="43" t="str">
        <f>IFERROR(ABS(F172/VLOOKUP(2*$B172,$B173:F206,5,TRUE)),"--")</f>
        <v>--</v>
      </c>
      <c r="L172" s="43" t="str">
        <f>IFERROR(ABS(G172/VLOOKUP(2*$B172,$B173:G206,6,TRUE)),"--")</f>
        <v>--</v>
      </c>
      <c r="M172" s="38">
        <f>IF(AND(1+$Q$6&gt;H172,1-$Q$6&lt;H172,1+$Q$6&gt;I172,1-$Q$6&lt;I172,1+$Q$6&gt;J172,1-$Q$6&lt;J172,1+$Q$6&gt;K172,1-$Q$6&lt;K172,1+$Q$6&gt;L172,1-$Q$6&lt;L172),IF(SUM($M$2:M171)=0,1,0),0)</f>
        <v>0</v>
      </c>
      <c r="N172" s="38">
        <f>IF(AND(1+$Q$7&gt;H172,1-$Q$7&lt;H172,1+$Q$7&gt;I172,1-$Q$7&lt;I172,1+$Q$7&gt;J172,1-$Q$7&lt;J172,1+$Q$7&gt;K172,1-$Q$7&lt;K172,1+$Q$7&gt;L172,1-$Q$7&lt;L172),IF(SUM($N$2:N171)=0,1,0),0)</f>
        <v>0</v>
      </c>
      <c r="O172" s="34">
        <f t="shared" si="2"/>
        <v>0</v>
      </c>
    </row>
    <row r="173" spans="8:15" ht="20.100000000000001" customHeight="1" x14ac:dyDescent="0.25">
      <c r="H173" s="43" t="str">
        <f>IFERROR(ABS(C173/VLOOKUP(2*$B173,$B174:C207,2,TRUE)),"--")</f>
        <v>--</v>
      </c>
      <c r="I173" s="43" t="str">
        <f>IFERROR(ABS(D173/VLOOKUP(2*$B173,$B174:D207,3,TRUE)),"--")</f>
        <v>--</v>
      </c>
      <c r="J173" s="43" t="str">
        <f>IFERROR(ABS(E173/VLOOKUP(2*$B173,$B174:E207,4,TRUE)),"--")</f>
        <v>--</v>
      </c>
      <c r="K173" s="43" t="str">
        <f>IFERROR(ABS(F173/VLOOKUP(2*$B173,$B174:F207,5,TRUE)),"--")</f>
        <v>--</v>
      </c>
      <c r="L173" s="43" t="str">
        <f>IFERROR(ABS(G173/VLOOKUP(2*$B173,$B174:G207,6,TRUE)),"--")</f>
        <v>--</v>
      </c>
      <c r="M173" s="38">
        <f>IF(AND(1+$Q$6&gt;H173,1-$Q$6&lt;H173,1+$Q$6&gt;I173,1-$Q$6&lt;I173,1+$Q$6&gt;J173,1-$Q$6&lt;J173,1+$Q$6&gt;K173,1-$Q$6&lt;K173,1+$Q$6&gt;L173,1-$Q$6&lt;L173),IF(SUM($M$2:M172)=0,1,0),0)</f>
        <v>0</v>
      </c>
      <c r="N173" s="38">
        <f>IF(AND(1+$Q$7&gt;H173,1-$Q$7&lt;H173,1+$Q$7&gt;I173,1-$Q$7&lt;I173,1+$Q$7&gt;J173,1-$Q$7&lt;J173,1+$Q$7&gt;K173,1-$Q$7&lt;K173,1+$Q$7&gt;L173,1-$Q$7&lt;L173),IF(SUM($N$2:N172)=0,1,0),0)</f>
        <v>0</v>
      </c>
      <c r="O173" s="34">
        <f t="shared" si="2"/>
        <v>0</v>
      </c>
    </row>
    <row r="174" spans="8:15" ht="20.100000000000001" customHeight="1" x14ac:dyDescent="0.25">
      <c r="H174" s="43" t="str">
        <f>IFERROR(ABS(C174/VLOOKUP(2*$B174,$B175:C208,2,TRUE)),"--")</f>
        <v>--</v>
      </c>
      <c r="I174" s="43" t="str">
        <f>IFERROR(ABS(D174/VLOOKUP(2*$B174,$B175:D208,3,TRUE)),"--")</f>
        <v>--</v>
      </c>
      <c r="J174" s="43" t="str">
        <f>IFERROR(ABS(E174/VLOOKUP(2*$B174,$B175:E208,4,TRUE)),"--")</f>
        <v>--</v>
      </c>
      <c r="K174" s="43" t="str">
        <f>IFERROR(ABS(F174/VLOOKUP(2*$B174,$B175:F208,5,TRUE)),"--")</f>
        <v>--</v>
      </c>
      <c r="L174" s="43" t="str">
        <f>IFERROR(ABS(G174/VLOOKUP(2*$B174,$B175:G208,6,TRUE)),"--")</f>
        <v>--</v>
      </c>
      <c r="M174" s="38">
        <f>IF(AND(1+$Q$6&gt;H174,1-$Q$6&lt;H174,1+$Q$6&gt;I174,1-$Q$6&lt;I174,1+$Q$6&gt;J174,1-$Q$6&lt;J174,1+$Q$6&gt;K174,1-$Q$6&lt;K174,1+$Q$6&gt;L174,1-$Q$6&lt;L174),IF(SUM($M$2:M173)=0,1,0),0)</f>
        <v>0</v>
      </c>
      <c r="N174" s="38">
        <f>IF(AND(1+$Q$7&gt;H174,1-$Q$7&lt;H174,1+$Q$7&gt;I174,1-$Q$7&lt;I174,1+$Q$7&gt;J174,1-$Q$7&lt;J174,1+$Q$7&gt;K174,1-$Q$7&lt;K174,1+$Q$7&gt;L174,1-$Q$7&lt;L174),IF(SUM($N$2:N173)=0,1,0),0)</f>
        <v>0</v>
      </c>
      <c r="O174" s="34">
        <f t="shared" si="2"/>
        <v>0</v>
      </c>
    </row>
    <row r="175" spans="8:15" ht="20.100000000000001" customHeight="1" x14ac:dyDescent="0.25">
      <c r="H175" s="43" t="str">
        <f>IFERROR(ABS(C175/VLOOKUP(2*$B175,$B176:C209,2,TRUE)),"--")</f>
        <v>--</v>
      </c>
      <c r="I175" s="43" t="str">
        <f>IFERROR(ABS(D175/VLOOKUP(2*$B175,$B176:D209,3,TRUE)),"--")</f>
        <v>--</v>
      </c>
      <c r="J175" s="43" t="str">
        <f>IFERROR(ABS(E175/VLOOKUP(2*$B175,$B176:E209,4,TRUE)),"--")</f>
        <v>--</v>
      </c>
      <c r="K175" s="43" t="str">
        <f>IFERROR(ABS(F175/VLOOKUP(2*$B175,$B176:F209,5,TRUE)),"--")</f>
        <v>--</v>
      </c>
      <c r="L175" s="43" t="str">
        <f>IFERROR(ABS(G175/VLOOKUP(2*$B175,$B176:G209,6,TRUE)),"--")</f>
        <v>--</v>
      </c>
      <c r="M175" s="38">
        <f>IF(AND(1+$Q$6&gt;H175,1-$Q$6&lt;H175,1+$Q$6&gt;I175,1-$Q$6&lt;I175,1+$Q$6&gt;J175,1-$Q$6&lt;J175,1+$Q$6&gt;K175,1-$Q$6&lt;K175,1+$Q$6&gt;L175,1-$Q$6&lt;L175),IF(SUM($M$2:M174)=0,1,0),0)</f>
        <v>0</v>
      </c>
      <c r="N175" s="38">
        <f>IF(AND(1+$Q$7&gt;H175,1-$Q$7&lt;H175,1+$Q$7&gt;I175,1-$Q$7&lt;I175,1+$Q$7&gt;J175,1-$Q$7&lt;J175,1+$Q$7&gt;K175,1-$Q$7&lt;K175,1+$Q$7&gt;L175,1-$Q$7&lt;L175),IF(SUM($N$2:N174)=0,1,0),0)</f>
        <v>0</v>
      </c>
      <c r="O175" s="34">
        <f t="shared" si="2"/>
        <v>0</v>
      </c>
    </row>
    <row r="176" spans="8:15" ht="20.100000000000001" customHeight="1" x14ac:dyDescent="0.25">
      <c r="H176" s="43" t="str">
        <f>IFERROR(ABS(C176/VLOOKUP(2*$B176,$B177:C210,2,TRUE)),"--")</f>
        <v>--</v>
      </c>
      <c r="I176" s="43" t="str">
        <f>IFERROR(ABS(D176/VLOOKUP(2*$B176,$B177:D210,3,TRUE)),"--")</f>
        <v>--</v>
      </c>
      <c r="J176" s="43" t="str">
        <f>IFERROR(ABS(E176/VLOOKUP(2*$B176,$B177:E210,4,TRUE)),"--")</f>
        <v>--</v>
      </c>
      <c r="K176" s="43" t="str">
        <f>IFERROR(ABS(F176/VLOOKUP(2*$B176,$B177:F210,5,TRUE)),"--")</f>
        <v>--</v>
      </c>
      <c r="L176" s="43" t="str">
        <f>IFERROR(ABS(G176/VLOOKUP(2*$B176,$B177:G210,6,TRUE)),"--")</f>
        <v>--</v>
      </c>
      <c r="M176" s="38">
        <f>IF(AND(1+$Q$6&gt;H176,1-$Q$6&lt;H176,1+$Q$6&gt;I176,1-$Q$6&lt;I176,1+$Q$6&gt;J176,1-$Q$6&lt;J176,1+$Q$6&gt;K176,1-$Q$6&lt;K176,1+$Q$6&gt;L176,1-$Q$6&lt;L176),IF(SUM($M$2:M175)=0,1,0),0)</f>
        <v>0</v>
      </c>
      <c r="N176" s="38">
        <f>IF(AND(1+$Q$7&gt;H176,1-$Q$7&lt;H176,1+$Q$7&gt;I176,1-$Q$7&lt;I176,1+$Q$7&gt;J176,1-$Q$7&lt;J176,1+$Q$7&gt;K176,1-$Q$7&lt;K176,1+$Q$7&gt;L176,1-$Q$7&lt;L176),IF(SUM($N$2:N175)=0,1,0),0)</f>
        <v>0</v>
      </c>
      <c r="O176" s="34">
        <f t="shared" si="2"/>
        <v>0</v>
      </c>
    </row>
    <row r="177" spans="8:15" ht="20.100000000000001" customHeight="1" x14ac:dyDescent="0.25">
      <c r="H177" s="43" t="str">
        <f>IFERROR(ABS(C177/VLOOKUP(2*$B177,$B178:C211,2,TRUE)),"--")</f>
        <v>--</v>
      </c>
      <c r="I177" s="43" t="str">
        <f>IFERROR(ABS(D177/VLOOKUP(2*$B177,$B178:D211,3,TRUE)),"--")</f>
        <v>--</v>
      </c>
      <c r="J177" s="43" t="str">
        <f>IFERROR(ABS(E177/VLOOKUP(2*$B177,$B178:E211,4,TRUE)),"--")</f>
        <v>--</v>
      </c>
      <c r="K177" s="43" t="str">
        <f>IFERROR(ABS(F177/VLOOKUP(2*$B177,$B178:F211,5,TRUE)),"--")</f>
        <v>--</v>
      </c>
      <c r="L177" s="43" t="str">
        <f>IFERROR(ABS(G177/VLOOKUP(2*$B177,$B178:G211,6,TRUE)),"--")</f>
        <v>--</v>
      </c>
      <c r="M177" s="38">
        <f>IF(AND(1+$Q$6&gt;H177,1-$Q$6&lt;H177,1+$Q$6&gt;I177,1-$Q$6&lt;I177,1+$Q$6&gt;J177,1-$Q$6&lt;J177,1+$Q$6&gt;K177,1-$Q$6&lt;K177,1+$Q$6&gt;L177,1-$Q$6&lt;L177),IF(SUM($M$2:M176)=0,1,0),0)</f>
        <v>0</v>
      </c>
      <c r="N177" s="38">
        <f>IF(AND(1+$Q$7&gt;H177,1-$Q$7&lt;H177,1+$Q$7&gt;I177,1-$Q$7&lt;I177,1+$Q$7&gt;J177,1-$Q$7&lt;J177,1+$Q$7&gt;K177,1-$Q$7&lt;K177,1+$Q$7&gt;L177,1-$Q$7&lt;L177),IF(SUM($N$2:N176)=0,1,0),0)</f>
        <v>0</v>
      </c>
      <c r="O177" s="34">
        <f t="shared" si="2"/>
        <v>0</v>
      </c>
    </row>
    <row r="178" spans="8:15" ht="20.100000000000001" customHeight="1" x14ac:dyDescent="0.25">
      <c r="H178" s="43" t="str">
        <f>IFERROR(ABS(C178/VLOOKUP(2*$B178,$B179:C212,2,TRUE)),"--")</f>
        <v>--</v>
      </c>
      <c r="I178" s="43" t="str">
        <f>IFERROR(ABS(D178/VLOOKUP(2*$B178,$B179:D212,3,TRUE)),"--")</f>
        <v>--</v>
      </c>
      <c r="J178" s="43" t="str">
        <f>IFERROR(ABS(E178/VLOOKUP(2*$B178,$B179:E212,4,TRUE)),"--")</f>
        <v>--</v>
      </c>
      <c r="K178" s="43" t="str">
        <f>IFERROR(ABS(F178/VLOOKUP(2*$B178,$B179:F212,5,TRUE)),"--")</f>
        <v>--</v>
      </c>
      <c r="L178" s="43" t="str">
        <f>IFERROR(ABS(G178/VLOOKUP(2*$B178,$B179:G212,6,TRUE)),"--")</f>
        <v>--</v>
      </c>
      <c r="M178" s="38">
        <f>IF(AND(1+$Q$6&gt;H178,1-$Q$6&lt;H178,1+$Q$6&gt;I178,1-$Q$6&lt;I178,1+$Q$6&gt;J178,1-$Q$6&lt;J178,1+$Q$6&gt;K178,1-$Q$6&lt;K178,1+$Q$6&gt;L178,1-$Q$6&lt;L178),IF(SUM($M$2:M177)=0,1,0),0)</f>
        <v>0</v>
      </c>
      <c r="N178" s="38">
        <f>IF(AND(1+$Q$7&gt;H178,1-$Q$7&lt;H178,1+$Q$7&gt;I178,1-$Q$7&lt;I178,1+$Q$7&gt;J178,1-$Q$7&lt;J178,1+$Q$7&gt;K178,1-$Q$7&lt;K178,1+$Q$7&gt;L178,1-$Q$7&lt;L178),IF(SUM($N$2:N177)=0,1,0),0)</f>
        <v>0</v>
      </c>
      <c r="O178" s="34">
        <f t="shared" si="2"/>
        <v>0</v>
      </c>
    </row>
    <row r="179" spans="8:15" ht="20.100000000000001" customHeight="1" x14ac:dyDescent="0.25">
      <c r="H179" s="43" t="str">
        <f>IFERROR(ABS(C179/VLOOKUP(2*$B179,$B180:C213,2,TRUE)),"--")</f>
        <v>--</v>
      </c>
      <c r="I179" s="43" t="str">
        <f>IFERROR(ABS(D179/VLOOKUP(2*$B179,$B180:D213,3,TRUE)),"--")</f>
        <v>--</v>
      </c>
      <c r="J179" s="43" t="str">
        <f>IFERROR(ABS(E179/VLOOKUP(2*$B179,$B180:E213,4,TRUE)),"--")</f>
        <v>--</v>
      </c>
      <c r="K179" s="43" t="str">
        <f>IFERROR(ABS(F179/VLOOKUP(2*$B179,$B180:F213,5,TRUE)),"--")</f>
        <v>--</v>
      </c>
      <c r="L179" s="43" t="str">
        <f>IFERROR(ABS(G179/VLOOKUP(2*$B179,$B180:G213,6,TRUE)),"--")</f>
        <v>--</v>
      </c>
      <c r="M179" s="38">
        <f>IF(AND(1+$Q$6&gt;H179,1-$Q$6&lt;H179,1+$Q$6&gt;I179,1-$Q$6&lt;I179,1+$Q$6&gt;J179,1-$Q$6&lt;J179,1+$Q$6&gt;K179,1-$Q$6&lt;K179,1+$Q$6&gt;L179,1-$Q$6&lt;L179),IF(SUM($M$2:M178)=0,1,0),0)</f>
        <v>0</v>
      </c>
      <c r="N179" s="38">
        <f>IF(AND(1+$Q$7&gt;H179,1-$Q$7&lt;H179,1+$Q$7&gt;I179,1-$Q$7&lt;I179,1+$Q$7&gt;J179,1-$Q$7&lt;J179,1+$Q$7&gt;K179,1-$Q$7&lt;K179,1+$Q$7&gt;L179,1-$Q$7&lt;L179),IF(SUM($N$2:N178)=0,1,0),0)</f>
        <v>0</v>
      </c>
      <c r="O179" s="34">
        <f t="shared" si="2"/>
        <v>0</v>
      </c>
    </row>
    <row r="180" spans="8:15" ht="20.100000000000001" customHeight="1" x14ac:dyDescent="0.25">
      <c r="H180" s="43" t="str">
        <f>IFERROR(ABS(C180/VLOOKUP(2*$B180,$B181:C214,2,TRUE)),"--")</f>
        <v>--</v>
      </c>
      <c r="I180" s="43" t="str">
        <f>IFERROR(ABS(D180/VLOOKUP(2*$B180,$B181:D214,3,TRUE)),"--")</f>
        <v>--</v>
      </c>
      <c r="J180" s="43" t="str">
        <f>IFERROR(ABS(E180/VLOOKUP(2*$B180,$B181:E214,4,TRUE)),"--")</f>
        <v>--</v>
      </c>
      <c r="K180" s="43" t="str">
        <f>IFERROR(ABS(F180/VLOOKUP(2*$B180,$B181:F214,5,TRUE)),"--")</f>
        <v>--</v>
      </c>
      <c r="L180" s="43" t="str">
        <f>IFERROR(ABS(G180/VLOOKUP(2*$B180,$B181:G214,6,TRUE)),"--")</f>
        <v>--</v>
      </c>
      <c r="M180" s="38">
        <f>IF(AND(1+$Q$6&gt;H180,1-$Q$6&lt;H180,1+$Q$6&gt;I180,1-$Q$6&lt;I180,1+$Q$6&gt;J180,1-$Q$6&lt;J180,1+$Q$6&gt;K180,1-$Q$6&lt;K180,1+$Q$6&gt;L180,1-$Q$6&lt;L180),IF(SUM($M$2:M179)=0,1,0),0)</f>
        <v>0</v>
      </c>
      <c r="N180" s="38">
        <f>IF(AND(1+$Q$7&gt;H180,1-$Q$7&lt;H180,1+$Q$7&gt;I180,1-$Q$7&lt;I180,1+$Q$7&gt;J180,1-$Q$7&lt;J180,1+$Q$7&gt;K180,1-$Q$7&lt;K180,1+$Q$7&gt;L180,1-$Q$7&lt;L180),IF(SUM($N$2:N179)=0,1,0),0)</f>
        <v>0</v>
      </c>
      <c r="O180" s="34">
        <f t="shared" si="2"/>
        <v>0</v>
      </c>
    </row>
    <row r="181" spans="8:15" ht="20.100000000000001" customHeight="1" x14ac:dyDescent="0.25">
      <c r="H181" s="43" t="str">
        <f>IFERROR(ABS(C181/VLOOKUP(2*$B181,$B182:C215,2,TRUE)),"--")</f>
        <v>--</v>
      </c>
      <c r="I181" s="43" t="str">
        <f>IFERROR(ABS(D181/VLOOKUP(2*$B181,$B182:D215,3,TRUE)),"--")</f>
        <v>--</v>
      </c>
      <c r="J181" s="43" t="str">
        <f>IFERROR(ABS(E181/VLOOKUP(2*$B181,$B182:E215,4,TRUE)),"--")</f>
        <v>--</v>
      </c>
      <c r="K181" s="43" t="str">
        <f>IFERROR(ABS(F181/VLOOKUP(2*$B181,$B182:F215,5,TRUE)),"--")</f>
        <v>--</v>
      </c>
      <c r="L181" s="43" t="str">
        <f>IFERROR(ABS(G181/VLOOKUP(2*$B181,$B182:G215,6,TRUE)),"--")</f>
        <v>--</v>
      </c>
      <c r="M181" s="38">
        <f>IF(AND(1+$Q$6&gt;H181,1-$Q$6&lt;H181,1+$Q$6&gt;I181,1-$Q$6&lt;I181,1+$Q$6&gt;J181,1-$Q$6&lt;J181,1+$Q$6&gt;K181,1-$Q$6&lt;K181,1+$Q$6&gt;L181,1-$Q$6&lt;L181),IF(SUM($M$2:M180)=0,1,0),0)</f>
        <v>0</v>
      </c>
      <c r="N181" s="38">
        <f>IF(AND(1+$Q$7&gt;H181,1-$Q$7&lt;H181,1+$Q$7&gt;I181,1-$Q$7&lt;I181,1+$Q$7&gt;J181,1-$Q$7&lt;J181,1+$Q$7&gt;K181,1-$Q$7&lt;K181,1+$Q$7&gt;L181,1-$Q$7&lt;L181),IF(SUM($N$2:N180)=0,1,0),0)</f>
        <v>0</v>
      </c>
      <c r="O181" s="34">
        <f t="shared" si="2"/>
        <v>0</v>
      </c>
    </row>
    <row r="182" spans="8:15" ht="20.100000000000001" customHeight="1" x14ac:dyDescent="0.25">
      <c r="H182" s="43" t="str">
        <f>IFERROR(ABS(C182/VLOOKUP(2*$B182,$B183:C216,2,TRUE)),"--")</f>
        <v>--</v>
      </c>
      <c r="I182" s="43" t="str">
        <f>IFERROR(ABS(D182/VLOOKUP(2*$B182,$B183:D216,3,TRUE)),"--")</f>
        <v>--</v>
      </c>
      <c r="J182" s="43" t="str">
        <f>IFERROR(ABS(E182/VLOOKUP(2*$B182,$B183:E216,4,TRUE)),"--")</f>
        <v>--</v>
      </c>
      <c r="K182" s="43" t="str">
        <f>IFERROR(ABS(F182/VLOOKUP(2*$B182,$B183:F216,5,TRUE)),"--")</f>
        <v>--</v>
      </c>
      <c r="L182" s="43" t="str">
        <f>IFERROR(ABS(G182/VLOOKUP(2*$B182,$B183:G216,6,TRUE)),"--")</f>
        <v>--</v>
      </c>
      <c r="M182" s="38">
        <f>IF(AND(1+$Q$6&gt;H182,1-$Q$6&lt;H182,1+$Q$6&gt;I182,1-$Q$6&lt;I182,1+$Q$6&gt;J182,1-$Q$6&lt;J182,1+$Q$6&gt;K182,1-$Q$6&lt;K182,1+$Q$6&gt;L182,1-$Q$6&lt;L182),IF(SUM($M$2:M181)=0,1,0),0)</f>
        <v>0</v>
      </c>
      <c r="N182" s="38">
        <f>IF(AND(1+$Q$7&gt;H182,1-$Q$7&lt;H182,1+$Q$7&gt;I182,1-$Q$7&lt;I182,1+$Q$7&gt;J182,1-$Q$7&lt;J182,1+$Q$7&gt;K182,1-$Q$7&lt;K182,1+$Q$7&gt;L182,1-$Q$7&lt;L182),IF(SUM($N$2:N181)=0,1,0),0)</f>
        <v>0</v>
      </c>
      <c r="O182" s="34">
        <f t="shared" si="2"/>
        <v>0</v>
      </c>
    </row>
    <row r="183" spans="8:15" ht="20.100000000000001" customHeight="1" x14ac:dyDescent="0.25">
      <c r="H183" s="43" t="str">
        <f>IFERROR(ABS(C183/VLOOKUP(2*$B183,$B184:C217,2,TRUE)),"--")</f>
        <v>--</v>
      </c>
      <c r="I183" s="43" t="str">
        <f>IFERROR(ABS(D183/VLOOKUP(2*$B183,$B184:D217,3,TRUE)),"--")</f>
        <v>--</v>
      </c>
      <c r="J183" s="43" t="str">
        <f>IFERROR(ABS(E183/VLOOKUP(2*$B183,$B184:E217,4,TRUE)),"--")</f>
        <v>--</v>
      </c>
      <c r="K183" s="43" t="str">
        <f>IFERROR(ABS(F183/VLOOKUP(2*$B183,$B184:F217,5,TRUE)),"--")</f>
        <v>--</v>
      </c>
      <c r="L183" s="43" t="str">
        <f>IFERROR(ABS(G183/VLOOKUP(2*$B183,$B184:G217,6,TRUE)),"--")</f>
        <v>--</v>
      </c>
      <c r="M183" s="38">
        <f>IF(AND(1+$Q$6&gt;H183,1-$Q$6&lt;H183,1+$Q$6&gt;I183,1-$Q$6&lt;I183,1+$Q$6&gt;J183,1-$Q$6&lt;J183,1+$Q$6&gt;K183,1-$Q$6&lt;K183,1+$Q$6&gt;L183,1-$Q$6&lt;L183),IF(SUM($M$2:M182)=0,1,0),0)</f>
        <v>0</v>
      </c>
      <c r="N183" s="38">
        <f>IF(AND(1+$Q$7&gt;H183,1-$Q$7&lt;H183,1+$Q$7&gt;I183,1-$Q$7&lt;I183,1+$Q$7&gt;J183,1-$Q$7&lt;J183,1+$Q$7&gt;K183,1-$Q$7&lt;K183,1+$Q$7&gt;L183,1-$Q$7&lt;L183),IF(SUM($N$2:N182)=0,1,0),0)</f>
        <v>0</v>
      </c>
      <c r="O183" s="34">
        <f t="shared" si="2"/>
        <v>0</v>
      </c>
    </row>
    <row r="184" spans="8:15" ht="20.100000000000001" customHeight="1" x14ac:dyDescent="0.25">
      <c r="H184" s="43" t="str">
        <f>IFERROR(ABS(C184/VLOOKUP(2*$B184,$B185:C218,2,TRUE)),"--")</f>
        <v>--</v>
      </c>
      <c r="I184" s="43" t="str">
        <f>IFERROR(ABS(D184/VLOOKUP(2*$B184,$B185:D218,3,TRUE)),"--")</f>
        <v>--</v>
      </c>
      <c r="J184" s="43" t="str">
        <f>IFERROR(ABS(E184/VLOOKUP(2*$B184,$B185:E218,4,TRUE)),"--")</f>
        <v>--</v>
      </c>
      <c r="K184" s="43" t="str">
        <f>IFERROR(ABS(F184/VLOOKUP(2*$B184,$B185:F218,5,TRUE)),"--")</f>
        <v>--</v>
      </c>
      <c r="L184" s="43" t="str">
        <f>IFERROR(ABS(G184/VLOOKUP(2*$B184,$B185:G218,6,TRUE)),"--")</f>
        <v>--</v>
      </c>
      <c r="M184" s="38">
        <f>IF(AND(1+$Q$6&gt;H184,1-$Q$6&lt;H184,1+$Q$6&gt;I184,1-$Q$6&lt;I184,1+$Q$6&gt;J184,1-$Q$6&lt;J184,1+$Q$6&gt;K184,1-$Q$6&lt;K184,1+$Q$6&gt;L184,1-$Q$6&lt;L184),IF(SUM($M$2:M183)=0,1,0),0)</f>
        <v>0</v>
      </c>
      <c r="N184" s="38">
        <f>IF(AND(1+$Q$7&gt;H184,1-$Q$7&lt;H184,1+$Q$7&gt;I184,1-$Q$7&lt;I184,1+$Q$7&gt;J184,1-$Q$7&lt;J184,1+$Q$7&gt;K184,1-$Q$7&lt;K184,1+$Q$7&gt;L184,1-$Q$7&lt;L184),IF(SUM($N$2:N183)=0,1,0),0)</f>
        <v>0</v>
      </c>
      <c r="O184" s="34">
        <f t="shared" si="2"/>
        <v>0</v>
      </c>
    </row>
    <row r="185" spans="8:15" ht="20.100000000000001" customHeight="1" x14ac:dyDescent="0.25">
      <c r="H185" s="43" t="str">
        <f>IFERROR(ABS(C185/VLOOKUP(2*$B185,$B186:C219,2,TRUE)),"--")</f>
        <v>--</v>
      </c>
      <c r="I185" s="43" t="str">
        <f>IFERROR(ABS(D185/VLOOKUP(2*$B185,$B186:D219,3,TRUE)),"--")</f>
        <v>--</v>
      </c>
      <c r="J185" s="43" t="str">
        <f>IFERROR(ABS(E185/VLOOKUP(2*$B185,$B186:E219,4,TRUE)),"--")</f>
        <v>--</v>
      </c>
      <c r="K185" s="43" t="str">
        <f>IFERROR(ABS(F185/VLOOKUP(2*$B185,$B186:F219,5,TRUE)),"--")</f>
        <v>--</v>
      </c>
      <c r="L185" s="43" t="str">
        <f>IFERROR(ABS(G185/VLOOKUP(2*$B185,$B186:G219,6,TRUE)),"--")</f>
        <v>--</v>
      </c>
      <c r="M185" s="38">
        <f>IF(AND(1+$Q$6&gt;H185,1-$Q$6&lt;H185,1+$Q$6&gt;I185,1-$Q$6&lt;I185,1+$Q$6&gt;J185,1-$Q$6&lt;J185,1+$Q$6&gt;K185,1-$Q$6&lt;K185,1+$Q$6&gt;L185,1-$Q$6&lt;L185),IF(SUM($M$2:M184)=0,1,0),0)</f>
        <v>0</v>
      </c>
      <c r="N185" s="38">
        <f>IF(AND(1+$Q$7&gt;H185,1-$Q$7&lt;H185,1+$Q$7&gt;I185,1-$Q$7&lt;I185,1+$Q$7&gt;J185,1-$Q$7&lt;J185,1+$Q$7&gt;K185,1-$Q$7&lt;K185,1+$Q$7&gt;L185,1-$Q$7&lt;L185),IF(SUM($N$2:N184)=0,1,0),0)</f>
        <v>0</v>
      </c>
      <c r="O185" s="34">
        <f t="shared" si="2"/>
        <v>0</v>
      </c>
    </row>
    <row r="186" spans="8:15" ht="20.100000000000001" customHeight="1" x14ac:dyDescent="0.25">
      <c r="H186" s="43" t="str">
        <f>IFERROR(ABS(C186/VLOOKUP(2*$B186,$B187:C220,2,TRUE)),"--")</f>
        <v>--</v>
      </c>
      <c r="I186" s="43" t="str">
        <f>IFERROR(ABS(D186/VLOOKUP(2*$B186,$B187:D220,3,TRUE)),"--")</f>
        <v>--</v>
      </c>
      <c r="J186" s="43" t="str">
        <f>IFERROR(ABS(E186/VLOOKUP(2*$B186,$B187:E220,4,TRUE)),"--")</f>
        <v>--</v>
      </c>
      <c r="K186" s="43" t="str">
        <f>IFERROR(ABS(F186/VLOOKUP(2*$B186,$B187:F220,5,TRUE)),"--")</f>
        <v>--</v>
      </c>
      <c r="L186" s="43" t="str">
        <f>IFERROR(ABS(G186/VLOOKUP(2*$B186,$B187:G220,6,TRUE)),"--")</f>
        <v>--</v>
      </c>
      <c r="M186" s="38">
        <f>IF(AND(1+$Q$6&gt;H186,1-$Q$6&lt;H186,1+$Q$6&gt;I186,1-$Q$6&lt;I186,1+$Q$6&gt;J186,1-$Q$6&lt;J186,1+$Q$6&gt;K186,1-$Q$6&lt;K186,1+$Q$6&gt;L186,1-$Q$6&lt;L186),IF(SUM($M$2:M185)=0,1,0),0)</f>
        <v>0</v>
      </c>
      <c r="N186" s="38">
        <f>IF(AND(1+$Q$7&gt;H186,1-$Q$7&lt;H186,1+$Q$7&gt;I186,1-$Q$7&lt;I186,1+$Q$7&gt;J186,1-$Q$7&lt;J186,1+$Q$7&gt;K186,1-$Q$7&lt;K186,1+$Q$7&gt;L186,1-$Q$7&lt;L186),IF(SUM($N$2:N185)=0,1,0),0)</f>
        <v>0</v>
      </c>
      <c r="O186" s="34">
        <f t="shared" si="2"/>
        <v>0</v>
      </c>
    </row>
    <row r="187" spans="8:15" ht="20.100000000000001" customHeight="1" x14ac:dyDescent="0.25">
      <c r="H187" s="43" t="str">
        <f>IFERROR(ABS(C187/VLOOKUP(2*$B187,$B188:C221,2,TRUE)),"--")</f>
        <v>--</v>
      </c>
      <c r="I187" s="43" t="str">
        <f>IFERROR(ABS(D187/VLOOKUP(2*$B187,$B188:D221,3,TRUE)),"--")</f>
        <v>--</v>
      </c>
      <c r="J187" s="43" t="str">
        <f>IFERROR(ABS(E187/VLOOKUP(2*$B187,$B188:E221,4,TRUE)),"--")</f>
        <v>--</v>
      </c>
      <c r="K187" s="43" t="str">
        <f>IFERROR(ABS(F187/VLOOKUP(2*$B187,$B188:F221,5,TRUE)),"--")</f>
        <v>--</v>
      </c>
      <c r="L187" s="43" t="str">
        <f>IFERROR(ABS(G187/VLOOKUP(2*$B187,$B188:G221,6,TRUE)),"--")</f>
        <v>--</v>
      </c>
      <c r="M187" s="38">
        <f>IF(AND(1+$Q$6&gt;H187,1-$Q$6&lt;H187,1+$Q$6&gt;I187,1-$Q$6&lt;I187,1+$Q$6&gt;J187,1-$Q$6&lt;J187,1+$Q$6&gt;K187,1-$Q$6&lt;K187,1+$Q$6&gt;L187,1-$Q$6&lt;L187),IF(SUM($M$2:M186)=0,1,0),0)</f>
        <v>0</v>
      </c>
      <c r="N187" s="38">
        <f>IF(AND(1+$Q$7&gt;H187,1-$Q$7&lt;H187,1+$Q$7&gt;I187,1-$Q$7&lt;I187,1+$Q$7&gt;J187,1-$Q$7&lt;J187,1+$Q$7&gt;K187,1-$Q$7&lt;K187,1+$Q$7&gt;L187,1-$Q$7&lt;L187),IF(SUM($N$2:N186)=0,1,0),0)</f>
        <v>0</v>
      </c>
      <c r="O187" s="34">
        <f t="shared" si="2"/>
        <v>0</v>
      </c>
    </row>
    <row r="188" spans="8:15" ht="20.100000000000001" customHeight="1" x14ac:dyDescent="0.25">
      <c r="H188" s="43" t="str">
        <f>IFERROR(ABS(C188/VLOOKUP(2*$B188,$B189:C222,2,TRUE)),"--")</f>
        <v>--</v>
      </c>
      <c r="I188" s="43" t="str">
        <f>IFERROR(ABS(D188/VLOOKUP(2*$B188,$B189:D222,3,TRUE)),"--")</f>
        <v>--</v>
      </c>
      <c r="J188" s="43" t="str">
        <f>IFERROR(ABS(E188/VLOOKUP(2*$B188,$B189:E222,4,TRUE)),"--")</f>
        <v>--</v>
      </c>
      <c r="K188" s="43" t="str">
        <f>IFERROR(ABS(F188/VLOOKUP(2*$B188,$B189:F222,5,TRUE)),"--")</f>
        <v>--</v>
      </c>
      <c r="L188" s="43" t="str">
        <f>IFERROR(ABS(G188/VLOOKUP(2*$B188,$B189:G222,6,TRUE)),"--")</f>
        <v>--</v>
      </c>
      <c r="M188" s="38">
        <f>IF(AND(1+$Q$6&gt;H188,1-$Q$6&lt;H188,1+$Q$6&gt;I188,1-$Q$6&lt;I188,1+$Q$6&gt;J188,1-$Q$6&lt;J188,1+$Q$6&gt;K188,1-$Q$6&lt;K188,1+$Q$6&gt;L188,1-$Q$6&lt;L188),IF(SUM($M$2:M187)=0,1,0),0)</f>
        <v>0</v>
      </c>
      <c r="N188" s="38">
        <f>IF(AND(1+$Q$7&gt;H188,1-$Q$7&lt;H188,1+$Q$7&gt;I188,1-$Q$7&lt;I188,1+$Q$7&gt;J188,1-$Q$7&lt;J188,1+$Q$7&gt;K188,1-$Q$7&lt;K188,1+$Q$7&gt;L188,1-$Q$7&lt;L188),IF(SUM($N$2:N187)=0,1,0),0)</f>
        <v>0</v>
      </c>
      <c r="O188" s="34">
        <f t="shared" si="2"/>
        <v>0</v>
      </c>
    </row>
    <row r="189" spans="8:15" ht="20.100000000000001" customHeight="1" x14ac:dyDescent="0.25">
      <c r="H189" s="43" t="str">
        <f>IFERROR(ABS(C189/VLOOKUP(2*$B189,$B190:C223,2,TRUE)),"--")</f>
        <v>--</v>
      </c>
      <c r="I189" s="43" t="str">
        <f>IFERROR(ABS(D189/VLOOKUP(2*$B189,$B190:D223,3,TRUE)),"--")</f>
        <v>--</v>
      </c>
      <c r="J189" s="43" t="str">
        <f>IFERROR(ABS(E189/VLOOKUP(2*$B189,$B190:E223,4,TRUE)),"--")</f>
        <v>--</v>
      </c>
      <c r="K189" s="43" t="str">
        <f>IFERROR(ABS(F189/VLOOKUP(2*$B189,$B190:F223,5,TRUE)),"--")</f>
        <v>--</v>
      </c>
      <c r="L189" s="43" t="str">
        <f>IFERROR(ABS(G189/VLOOKUP(2*$B189,$B190:G223,6,TRUE)),"--")</f>
        <v>--</v>
      </c>
      <c r="M189" s="38">
        <f>IF(AND(1+$Q$6&gt;H189,1-$Q$6&lt;H189,1+$Q$6&gt;I189,1-$Q$6&lt;I189,1+$Q$6&gt;J189,1-$Q$6&lt;J189,1+$Q$6&gt;K189,1-$Q$6&lt;K189,1+$Q$6&gt;L189,1-$Q$6&lt;L189),IF(SUM($M$2:M188)=0,1,0),0)</f>
        <v>0</v>
      </c>
      <c r="N189" s="38">
        <f>IF(AND(1+$Q$7&gt;H189,1-$Q$7&lt;H189,1+$Q$7&gt;I189,1-$Q$7&lt;I189,1+$Q$7&gt;J189,1-$Q$7&lt;J189,1+$Q$7&gt;K189,1-$Q$7&lt;K189,1+$Q$7&gt;L189,1-$Q$7&lt;L189),IF(SUM($N$2:N188)=0,1,0),0)</f>
        <v>0</v>
      </c>
      <c r="O189" s="34">
        <f t="shared" si="2"/>
        <v>0</v>
      </c>
    </row>
    <row r="190" spans="8:15" ht="20.100000000000001" customHeight="1" x14ac:dyDescent="0.25">
      <c r="H190" s="43" t="str">
        <f>IFERROR(ABS(C190/VLOOKUP(2*$B190,$B191:C224,2,TRUE)),"--")</f>
        <v>--</v>
      </c>
      <c r="I190" s="43" t="str">
        <f>IFERROR(ABS(D190/VLOOKUP(2*$B190,$B191:D224,3,TRUE)),"--")</f>
        <v>--</v>
      </c>
      <c r="J190" s="43" t="str">
        <f>IFERROR(ABS(E190/VLOOKUP(2*$B190,$B191:E224,4,TRUE)),"--")</f>
        <v>--</v>
      </c>
      <c r="K190" s="43" t="str">
        <f>IFERROR(ABS(F190/VLOOKUP(2*$B190,$B191:F224,5,TRUE)),"--")</f>
        <v>--</v>
      </c>
      <c r="L190" s="43" t="str">
        <f>IFERROR(ABS(G190/VLOOKUP(2*$B190,$B191:G224,6,TRUE)),"--")</f>
        <v>--</v>
      </c>
      <c r="M190" s="38">
        <f>IF(AND(1+$Q$6&gt;H190,1-$Q$6&lt;H190,1+$Q$6&gt;I190,1-$Q$6&lt;I190,1+$Q$6&gt;J190,1-$Q$6&lt;J190,1+$Q$6&gt;K190,1-$Q$6&lt;K190,1+$Q$6&gt;L190,1-$Q$6&lt;L190),IF(SUM($M$2:M189)=0,1,0),0)</f>
        <v>0</v>
      </c>
      <c r="N190" s="38">
        <f>IF(AND(1+$Q$7&gt;H190,1-$Q$7&lt;H190,1+$Q$7&gt;I190,1-$Q$7&lt;I190,1+$Q$7&gt;J190,1-$Q$7&lt;J190,1+$Q$7&gt;K190,1-$Q$7&lt;K190,1+$Q$7&gt;L190,1-$Q$7&lt;L190),IF(SUM($N$2:N189)=0,1,0),0)</f>
        <v>0</v>
      </c>
      <c r="O190" s="34">
        <f t="shared" si="2"/>
        <v>0</v>
      </c>
    </row>
    <row r="191" spans="8:15" ht="20.100000000000001" customHeight="1" x14ac:dyDescent="0.25">
      <c r="H191" s="43" t="str">
        <f>IFERROR(ABS(C191/VLOOKUP(2*$B191,$B192:C225,2,TRUE)),"--")</f>
        <v>--</v>
      </c>
      <c r="I191" s="43" t="str">
        <f>IFERROR(ABS(D191/VLOOKUP(2*$B191,$B192:D225,3,TRUE)),"--")</f>
        <v>--</v>
      </c>
      <c r="J191" s="43" t="str">
        <f>IFERROR(ABS(E191/VLOOKUP(2*$B191,$B192:E225,4,TRUE)),"--")</f>
        <v>--</v>
      </c>
      <c r="K191" s="43" t="str">
        <f>IFERROR(ABS(F191/VLOOKUP(2*$B191,$B192:F225,5,TRUE)),"--")</f>
        <v>--</v>
      </c>
      <c r="L191" s="43" t="str">
        <f>IFERROR(ABS(G191/VLOOKUP(2*$B191,$B192:G225,6,TRUE)),"--")</f>
        <v>--</v>
      </c>
      <c r="M191" s="38">
        <f>IF(AND(1+$Q$6&gt;H191,1-$Q$6&lt;H191,1+$Q$6&gt;I191,1-$Q$6&lt;I191,1+$Q$6&gt;J191,1-$Q$6&lt;J191,1+$Q$6&gt;K191,1-$Q$6&lt;K191,1+$Q$6&gt;L191,1-$Q$6&lt;L191),IF(SUM($M$2:M190)=0,1,0),0)</f>
        <v>0</v>
      </c>
      <c r="N191" s="38">
        <f>IF(AND(1+$Q$7&gt;H191,1-$Q$7&lt;H191,1+$Q$7&gt;I191,1-$Q$7&lt;I191,1+$Q$7&gt;J191,1-$Q$7&lt;J191,1+$Q$7&gt;K191,1-$Q$7&lt;K191,1+$Q$7&gt;L191,1-$Q$7&lt;L191),IF(SUM($N$2:N190)=0,1,0),0)</f>
        <v>0</v>
      </c>
      <c r="O191" s="34">
        <f t="shared" si="2"/>
        <v>0</v>
      </c>
    </row>
    <row r="192" spans="8:15" ht="20.100000000000001" customHeight="1" x14ac:dyDescent="0.25">
      <c r="H192" s="43" t="str">
        <f>IFERROR(ABS(C192/VLOOKUP(2*$B192,$B193:C226,2,TRUE)),"--")</f>
        <v>--</v>
      </c>
      <c r="I192" s="43" t="str">
        <f>IFERROR(ABS(D192/VLOOKUP(2*$B192,$B193:D226,3,TRUE)),"--")</f>
        <v>--</v>
      </c>
      <c r="J192" s="43" t="str">
        <f>IFERROR(ABS(E192/VLOOKUP(2*$B192,$B193:E226,4,TRUE)),"--")</f>
        <v>--</v>
      </c>
      <c r="K192" s="43" t="str">
        <f>IFERROR(ABS(F192/VLOOKUP(2*$B192,$B193:F226,5,TRUE)),"--")</f>
        <v>--</v>
      </c>
      <c r="L192" s="43" t="str">
        <f>IFERROR(ABS(G192/VLOOKUP(2*$B192,$B193:G226,6,TRUE)),"--")</f>
        <v>--</v>
      </c>
      <c r="M192" s="38">
        <f>IF(AND(1+$Q$6&gt;H192,1-$Q$6&lt;H192,1+$Q$6&gt;I192,1-$Q$6&lt;I192,1+$Q$6&gt;J192,1-$Q$6&lt;J192,1+$Q$6&gt;K192,1-$Q$6&lt;K192,1+$Q$6&gt;L192,1-$Q$6&lt;L192),IF(SUM($M$2:M191)=0,1,0),0)</f>
        <v>0</v>
      </c>
      <c r="N192" s="38">
        <f>IF(AND(1+$Q$7&gt;H192,1-$Q$7&lt;H192,1+$Q$7&gt;I192,1-$Q$7&lt;I192,1+$Q$7&gt;J192,1-$Q$7&lt;J192,1+$Q$7&gt;K192,1-$Q$7&lt;K192,1+$Q$7&gt;L192,1-$Q$7&lt;L192),IF(SUM($N$2:N191)=0,1,0),0)</f>
        <v>0</v>
      </c>
      <c r="O192" s="34">
        <f t="shared" si="2"/>
        <v>0</v>
      </c>
    </row>
    <row r="193" spans="8:15" ht="20.100000000000001" customHeight="1" x14ac:dyDescent="0.25">
      <c r="H193" s="43" t="str">
        <f>IFERROR(ABS(C193/VLOOKUP(2*$B193,$B194:C227,2,TRUE)),"--")</f>
        <v>--</v>
      </c>
      <c r="I193" s="43" t="str">
        <f>IFERROR(ABS(D193/VLOOKUP(2*$B193,$B194:D227,3,TRUE)),"--")</f>
        <v>--</v>
      </c>
      <c r="J193" s="43" t="str">
        <f>IFERROR(ABS(E193/VLOOKUP(2*$B193,$B194:E227,4,TRUE)),"--")</f>
        <v>--</v>
      </c>
      <c r="K193" s="43" t="str">
        <f>IFERROR(ABS(F193/VLOOKUP(2*$B193,$B194:F227,5,TRUE)),"--")</f>
        <v>--</v>
      </c>
      <c r="L193" s="43" t="str">
        <f>IFERROR(ABS(G193/VLOOKUP(2*$B193,$B194:G227,6,TRUE)),"--")</f>
        <v>--</v>
      </c>
      <c r="M193" s="38">
        <f>IF(AND(1+$Q$6&gt;H193,1-$Q$6&lt;H193,1+$Q$6&gt;I193,1-$Q$6&lt;I193,1+$Q$6&gt;J193,1-$Q$6&lt;J193,1+$Q$6&gt;K193,1-$Q$6&lt;K193,1+$Q$6&gt;L193,1-$Q$6&lt;L193),IF(SUM($M$2:M192)=0,1,0),0)</f>
        <v>0</v>
      </c>
      <c r="N193" s="38">
        <f>IF(AND(1+$Q$7&gt;H193,1-$Q$7&lt;H193,1+$Q$7&gt;I193,1-$Q$7&lt;I193,1+$Q$7&gt;J193,1-$Q$7&lt;J193,1+$Q$7&gt;K193,1-$Q$7&lt;K193,1+$Q$7&gt;L193,1-$Q$7&lt;L193),IF(SUM($N$2:N192)=0,1,0),0)</f>
        <v>0</v>
      </c>
      <c r="O193" s="34">
        <f t="shared" si="2"/>
        <v>0</v>
      </c>
    </row>
    <row r="194" spans="8:15" ht="20.100000000000001" customHeight="1" x14ac:dyDescent="0.25">
      <c r="H194" s="43" t="str">
        <f>IFERROR(ABS(C194/VLOOKUP(2*$B194,$B195:C228,2,TRUE)),"--")</f>
        <v>--</v>
      </c>
      <c r="I194" s="43" t="str">
        <f>IFERROR(ABS(D194/VLOOKUP(2*$B194,$B195:D228,3,TRUE)),"--")</f>
        <v>--</v>
      </c>
      <c r="J194" s="43" t="str">
        <f>IFERROR(ABS(E194/VLOOKUP(2*$B194,$B195:E228,4,TRUE)),"--")</f>
        <v>--</v>
      </c>
      <c r="K194" s="43" t="str">
        <f>IFERROR(ABS(F194/VLOOKUP(2*$B194,$B195:F228,5,TRUE)),"--")</f>
        <v>--</v>
      </c>
      <c r="L194" s="43" t="str">
        <f>IFERROR(ABS(G194/VLOOKUP(2*$B194,$B195:G228,6,TRUE)),"--")</f>
        <v>--</v>
      </c>
      <c r="M194" s="38">
        <f>IF(AND(1+$Q$6&gt;H194,1-$Q$6&lt;H194,1+$Q$6&gt;I194,1-$Q$6&lt;I194,1+$Q$6&gt;J194,1-$Q$6&lt;J194,1+$Q$6&gt;K194,1-$Q$6&lt;K194,1+$Q$6&gt;L194,1-$Q$6&lt;L194),IF(SUM($M$2:M193)=0,1,0),0)</f>
        <v>0</v>
      </c>
      <c r="N194" s="38">
        <f>IF(AND(1+$Q$7&gt;H194,1-$Q$7&lt;H194,1+$Q$7&gt;I194,1-$Q$7&lt;I194,1+$Q$7&gt;J194,1-$Q$7&lt;J194,1+$Q$7&gt;K194,1-$Q$7&lt;K194,1+$Q$7&gt;L194,1-$Q$7&lt;L194),IF(SUM($N$2:N193)=0,1,0),0)</f>
        <v>0</v>
      </c>
      <c r="O194" s="34">
        <f t="shared" si="2"/>
        <v>0</v>
      </c>
    </row>
    <row r="195" spans="8:15" ht="20.100000000000001" customHeight="1" x14ac:dyDescent="0.25">
      <c r="H195" s="43" t="str">
        <f>IFERROR(ABS(C195/VLOOKUP(2*$B195,$B196:C229,2,TRUE)),"--")</f>
        <v>--</v>
      </c>
      <c r="I195" s="43" t="str">
        <f>IFERROR(ABS(D195/VLOOKUP(2*$B195,$B196:D229,3,TRUE)),"--")</f>
        <v>--</v>
      </c>
      <c r="J195" s="43" t="str">
        <f>IFERROR(ABS(E195/VLOOKUP(2*$B195,$B196:E229,4,TRUE)),"--")</f>
        <v>--</v>
      </c>
      <c r="K195" s="43" t="str">
        <f>IFERROR(ABS(F195/VLOOKUP(2*$B195,$B196:F229,5,TRUE)),"--")</f>
        <v>--</v>
      </c>
      <c r="L195" s="43" t="str">
        <f>IFERROR(ABS(G195/VLOOKUP(2*$B195,$B196:G229,6,TRUE)),"--")</f>
        <v>--</v>
      </c>
      <c r="M195" s="38">
        <f>IF(AND(1+$Q$6&gt;H195,1-$Q$6&lt;H195,1+$Q$6&gt;I195,1-$Q$6&lt;I195,1+$Q$6&gt;J195,1-$Q$6&lt;J195,1+$Q$6&gt;K195,1-$Q$6&lt;K195,1+$Q$6&gt;L195,1-$Q$6&lt;L195),IF(SUM($M$2:M194)=0,1,0),0)</f>
        <v>0</v>
      </c>
      <c r="N195" s="38">
        <f>IF(AND(1+$Q$7&gt;H195,1-$Q$7&lt;H195,1+$Q$7&gt;I195,1-$Q$7&lt;I195,1+$Q$7&gt;J195,1-$Q$7&lt;J195,1+$Q$7&gt;K195,1-$Q$7&lt;K195,1+$Q$7&gt;L195,1-$Q$7&lt;L195),IF(SUM($N$2:N194)=0,1,0),0)</f>
        <v>0</v>
      </c>
      <c r="O195" s="34">
        <f t="shared" ref="O195:O258" si="3">A195</f>
        <v>0</v>
      </c>
    </row>
    <row r="196" spans="8:15" ht="20.100000000000001" customHeight="1" x14ac:dyDescent="0.25">
      <c r="H196" s="43" t="str">
        <f>IFERROR(ABS(C196/VLOOKUP(2*$B196,$B197:C230,2,TRUE)),"--")</f>
        <v>--</v>
      </c>
      <c r="I196" s="43" t="str">
        <f>IFERROR(ABS(D196/VLOOKUP(2*$B196,$B197:D230,3,TRUE)),"--")</f>
        <v>--</v>
      </c>
      <c r="J196" s="43" t="str">
        <f>IFERROR(ABS(E196/VLOOKUP(2*$B196,$B197:E230,4,TRUE)),"--")</f>
        <v>--</v>
      </c>
      <c r="K196" s="43" t="str">
        <f>IFERROR(ABS(F196/VLOOKUP(2*$B196,$B197:F230,5,TRUE)),"--")</f>
        <v>--</v>
      </c>
      <c r="L196" s="43" t="str">
        <f>IFERROR(ABS(G196/VLOOKUP(2*$B196,$B197:G230,6,TRUE)),"--")</f>
        <v>--</v>
      </c>
      <c r="M196" s="38">
        <f>IF(AND(1+$Q$6&gt;H196,1-$Q$6&lt;H196,1+$Q$6&gt;I196,1-$Q$6&lt;I196,1+$Q$6&gt;J196,1-$Q$6&lt;J196,1+$Q$6&gt;K196,1-$Q$6&lt;K196,1+$Q$6&gt;L196,1-$Q$6&lt;L196),IF(SUM($M$2:M195)=0,1,0),0)</f>
        <v>0</v>
      </c>
      <c r="N196" s="38">
        <f>IF(AND(1+$Q$7&gt;H196,1-$Q$7&lt;H196,1+$Q$7&gt;I196,1-$Q$7&lt;I196,1+$Q$7&gt;J196,1-$Q$7&lt;J196,1+$Q$7&gt;K196,1-$Q$7&lt;K196,1+$Q$7&gt;L196,1-$Q$7&lt;L196),IF(SUM($N$2:N195)=0,1,0),0)</f>
        <v>0</v>
      </c>
      <c r="O196" s="34">
        <f t="shared" si="3"/>
        <v>0</v>
      </c>
    </row>
    <row r="197" spans="8:15" ht="20.100000000000001" customHeight="1" x14ac:dyDescent="0.25">
      <c r="H197" s="43" t="str">
        <f>IFERROR(ABS(C197/VLOOKUP(2*$B197,$B198:C231,2,TRUE)),"--")</f>
        <v>--</v>
      </c>
      <c r="I197" s="43" t="str">
        <f>IFERROR(ABS(D197/VLOOKUP(2*$B197,$B198:D231,3,TRUE)),"--")</f>
        <v>--</v>
      </c>
      <c r="J197" s="43" t="str">
        <f>IFERROR(ABS(E197/VLOOKUP(2*$B197,$B198:E231,4,TRUE)),"--")</f>
        <v>--</v>
      </c>
      <c r="K197" s="43" t="str">
        <f>IFERROR(ABS(F197/VLOOKUP(2*$B197,$B198:F231,5,TRUE)),"--")</f>
        <v>--</v>
      </c>
      <c r="L197" s="43" t="str">
        <f>IFERROR(ABS(G197/VLOOKUP(2*$B197,$B198:G231,6,TRUE)),"--")</f>
        <v>--</v>
      </c>
      <c r="M197" s="38">
        <f>IF(AND(1+$Q$6&gt;H197,1-$Q$6&lt;H197,1+$Q$6&gt;I197,1-$Q$6&lt;I197,1+$Q$6&gt;J197,1-$Q$6&lt;J197,1+$Q$6&gt;K197,1-$Q$6&lt;K197,1+$Q$6&gt;L197,1-$Q$6&lt;L197),IF(SUM($M$2:M196)=0,1,0),0)</f>
        <v>0</v>
      </c>
      <c r="N197" s="38">
        <f>IF(AND(1+$Q$7&gt;H197,1-$Q$7&lt;H197,1+$Q$7&gt;I197,1-$Q$7&lt;I197,1+$Q$7&gt;J197,1-$Q$7&lt;J197,1+$Q$7&gt;K197,1-$Q$7&lt;K197,1+$Q$7&gt;L197,1-$Q$7&lt;L197),IF(SUM($N$2:N196)=0,1,0),0)</f>
        <v>0</v>
      </c>
      <c r="O197" s="34">
        <f t="shared" si="3"/>
        <v>0</v>
      </c>
    </row>
    <row r="198" spans="8:15" ht="20.100000000000001" customHeight="1" x14ac:dyDescent="0.25">
      <c r="H198" s="43" t="str">
        <f>IFERROR(ABS(C198/VLOOKUP(2*$B198,$B199:C232,2,TRUE)),"--")</f>
        <v>--</v>
      </c>
      <c r="I198" s="43" t="str">
        <f>IFERROR(ABS(D198/VLOOKUP(2*$B198,$B199:D232,3,TRUE)),"--")</f>
        <v>--</v>
      </c>
      <c r="J198" s="43" t="str">
        <f>IFERROR(ABS(E198/VLOOKUP(2*$B198,$B199:E232,4,TRUE)),"--")</f>
        <v>--</v>
      </c>
      <c r="K198" s="43" t="str">
        <f>IFERROR(ABS(F198/VLOOKUP(2*$B198,$B199:F232,5,TRUE)),"--")</f>
        <v>--</v>
      </c>
      <c r="L198" s="43" t="str">
        <f>IFERROR(ABS(G198/VLOOKUP(2*$B198,$B199:G232,6,TRUE)),"--")</f>
        <v>--</v>
      </c>
      <c r="M198" s="38">
        <f>IF(AND(1+$Q$6&gt;H198,1-$Q$6&lt;H198,1+$Q$6&gt;I198,1-$Q$6&lt;I198,1+$Q$6&gt;J198,1-$Q$6&lt;J198,1+$Q$6&gt;K198,1-$Q$6&lt;K198,1+$Q$6&gt;L198,1-$Q$6&lt;L198),IF(SUM($M$2:M197)=0,1,0),0)</f>
        <v>0</v>
      </c>
      <c r="N198" s="38">
        <f>IF(AND(1+$Q$7&gt;H198,1-$Q$7&lt;H198,1+$Q$7&gt;I198,1-$Q$7&lt;I198,1+$Q$7&gt;J198,1-$Q$7&lt;J198,1+$Q$7&gt;K198,1-$Q$7&lt;K198,1+$Q$7&gt;L198,1-$Q$7&lt;L198),IF(SUM($N$2:N197)=0,1,0),0)</f>
        <v>0</v>
      </c>
      <c r="O198" s="34">
        <f t="shared" si="3"/>
        <v>0</v>
      </c>
    </row>
    <row r="199" spans="8:15" ht="20.100000000000001" customHeight="1" x14ac:dyDescent="0.25">
      <c r="H199" s="43" t="str">
        <f>IFERROR(ABS(C199/VLOOKUP(2*$B199,$B200:C233,2,TRUE)),"--")</f>
        <v>--</v>
      </c>
      <c r="I199" s="43" t="str">
        <f>IFERROR(ABS(D199/VLOOKUP(2*$B199,$B200:D233,3,TRUE)),"--")</f>
        <v>--</v>
      </c>
      <c r="J199" s="43" t="str">
        <f>IFERROR(ABS(E199/VLOOKUP(2*$B199,$B200:E233,4,TRUE)),"--")</f>
        <v>--</v>
      </c>
      <c r="K199" s="43" t="str">
        <f>IFERROR(ABS(F199/VLOOKUP(2*$B199,$B200:F233,5,TRUE)),"--")</f>
        <v>--</v>
      </c>
      <c r="L199" s="43" t="str">
        <f>IFERROR(ABS(G199/VLOOKUP(2*$B199,$B200:G233,6,TRUE)),"--")</f>
        <v>--</v>
      </c>
      <c r="M199" s="38">
        <f>IF(AND(1+$Q$6&gt;H199,1-$Q$6&lt;H199,1+$Q$6&gt;I199,1-$Q$6&lt;I199,1+$Q$6&gt;J199,1-$Q$6&lt;J199,1+$Q$6&gt;K199,1-$Q$6&lt;K199,1+$Q$6&gt;L199,1-$Q$6&lt;L199),IF(SUM($M$2:M198)=0,1,0),0)</f>
        <v>0</v>
      </c>
      <c r="N199" s="38">
        <f>IF(AND(1+$Q$7&gt;H199,1-$Q$7&lt;H199,1+$Q$7&gt;I199,1-$Q$7&lt;I199,1+$Q$7&gt;J199,1-$Q$7&lt;J199,1+$Q$7&gt;K199,1-$Q$7&lt;K199,1+$Q$7&gt;L199,1-$Q$7&lt;L199),IF(SUM($N$2:N198)=0,1,0),0)</f>
        <v>0</v>
      </c>
      <c r="O199" s="34">
        <f t="shared" si="3"/>
        <v>0</v>
      </c>
    </row>
    <row r="200" spans="8:15" ht="20.100000000000001" customHeight="1" x14ac:dyDescent="0.25">
      <c r="H200" s="43" t="str">
        <f>IFERROR(ABS(C200/VLOOKUP(2*$B200,$B201:C234,2,TRUE)),"--")</f>
        <v>--</v>
      </c>
      <c r="I200" s="43" t="str">
        <f>IFERROR(ABS(D200/VLOOKUP(2*$B200,$B201:D234,3,TRUE)),"--")</f>
        <v>--</v>
      </c>
      <c r="J200" s="43" t="str">
        <f>IFERROR(ABS(E200/VLOOKUP(2*$B200,$B201:E234,4,TRUE)),"--")</f>
        <v>--</v>
      </c>
      <c r="K200" s="43" t="str">
        <f>IFERROR(ABS(F200/VLOOKUP(2*$B200,$B201:F234,5,TRUE)),"--")</f>
        <v>--</v>
      </c>
      <c r="L200" s="43" t="str">
        <f>IFERROR(ABS(G200/VLOOKUP(2*$B200,$B201:G234,6,TRUE)),"--")</f>
        <v>--</v>
      </c>
      <c r="M200" s="38">
        <f>IF(AND(1+$Q$6&gt;H200,1-$Q$6&lt;H200,1+$Q$6&gt;I200,1-$Q$6&lt;I200,1+$Q$6&gt;J200,1-$Q$6&lt;J200,1+$Q$6&gt;K200,1-$Q$6&lt;K200,1+$Q$6&gt;L200,1-$Q$6&lt;L200),IF(SUM($M$2:M199)=0,1,0),0)</f>
        <v>0</v>
      </c>
      <c r="N200" s="38">
        <f>IF(AND(1+$Q$7&gt;H200,1-$Q$7&lt;H200,1+$Q$7&gt;I200,1-$Q$7&lt;I200,1+$Q$7&gt;J200,1-$Q$7&lt;J200,1+$Q$7&gt;K200,1-$Q$7&lt;K200,1+$Q$7&gt;L200,1-$Q$7&lt;L200),IF(SUM($N$2:N199)=0,1,0),0)</f>
        <v>0</v>
      </c>
      <c r="O200" s="34">
        <f t="shared" si="3"/>
        <v>0</v>
      </c>
    </row>
    <row r="201" spans="8:15" ht="20.100000000000001" customHeight="1" x14ac:dyDescent="0.25">
      <c r="H201" s="43" t="str">
        <f>IFERROR(ABS(C201/VLOOKUP(2*$B201,$B202:C235,2,TRUE)),"--")</f>
        <v>--</v>
      </c>
      <c r="I201" s="43" t="str">
        <f>IFERROR(ABS(D201/VLOOKUP(2*$B201,$B202:D235,3,TRUE)),"--")</f>
        <v>--</v>
      </c>
      <c r="J201" s="43" t="str">
        <f>IFERROR(ABS(E201/VLOOKUP(2*$B201,$B202:E235,4,TRUE)),"--")</f>
        <v>--</v>
      </c>
      <c r="K201" s="43" t="str">
        <f>IFERROR(ABS(F201/VLOOKUP(2*$B201,$B202:F235,5,TRUE)),"--")</f>
        <v>--</v>
      </c>
      <c r="L201" s="43" t="str">
        <f>IFERROR(ABS(G201/VLOOKUP(2*$B201,$B202:G235,6,TRUE)),"--")</f>
        <v>--</v>
      </c>
      <c r="M201" s="38">
        <f>IF(AND(1+$Q$6&gt;H201,1-$Q$6&lt;H201,1+$Q$6&gt;I201,1-$Q$6&lt;I201,1+$Q$6&gt;J201,1-$Q$6&lt;J201,1+$Q$6&gt;K201,1-$Q$6&lt;K201,1+$Q$6&gt;L201,1-$Q$6&lt;L201),IF(SUM($M$2:M200)=0,1,0),0)</f>
        <v>0</v>
      </c>
      <c r="N201" s="38">
        <f>IF(AND(1+$Q$7&gt;H201,1-$Q$7&lt;H201,1+$Q$7&gt;I201,1-$Q$7&lt;I201,1+$Q$7&gt;J201,1-$Q$7&lt;J201,1+$Q$7&gt;K201,1-$Q$7&lt;K201,1+$Q$7&gt;L201,1-$Q$7&lt;L201),IF(SUM($N$2:N200)=0,1,0),0)</f>
        <v>0</v>
      </c>
      <c r="O201" s="34">
        <f t="shared" si="3"/>
        <v>0</v>
      </c>
    </row>
    <row r="202" spans="8:15" ht="20.100000000000001" customHeight="1" x14ac:dyDescent="0.25">
      <c r="H202" s="43" t="str">
        <f>IFERROR(ABS(C202/VLOOKUP(2*$B202,$B203:C236,2,TRUE)),"--")</f>
        <v>--</v>
      </c>
      <c r="I202" s="43" t="str">
        <f>IFERROR(ABS(D202/VLOOKUP(2*$B202,$B203:D236,3,TRUE)),"--")</f>
        <v>--</v>
      </c>
      <c r="J202" s="43" t="str">
        <f>IFERROR(ABS(E202/VLOOKUP(2*$B202,$B203:E236,4,TRUE)),"--")</f>
        <v>--</v>
      </c>
      <c r="K202" s="43" t="str">
        <f>IFERROR(ABS(F202/VLOOKUP(2*$B202,$B203:F236,5,TRUE)),"--")</f>
        <v>--</v>
      </c>
      <c r="L202" s="43" t="str">
        <f>IFERROR(ABS(G202/VLOOKUP(2*$B202,$B203:G236,6,TRUE)),"--")</f>
        <v>--</v>
      </c>
      <c r="M202" s="38">
        <f>IF(AND(1+$Q$6&gt;H202,1-$Q$6&lt;H202,1+$Q$6&gt;I202,1-$Q$6&lt;I202,1+$Q$6&gt;J202,1-$Q$6&lt;J202,1+$Q$6&gt;K202,1-$Q$6&lt;K202,1+$Q$6&gt;L202,1-$Q$6&lt;L202),IF(SUM($M$2:M201)=0,1,0),0)</f>
        <v>0</v>
      </c>
      <c r="N202" s="38">
        <f>IF(AND(1+$Q$7&gt;H202,1-$Q$7&lt;H202,1+$Q$7&gt;I202,1-$Q$7&lt;I202,1+$Q$7&gt;J202,1-$Q$7&lt;J202,1+$Q$7&gt;K202,1-$Q$7&lt;K202,1+$Q$7&gt;L202,1-$Q$7&lt;L202),IF(SUM($N$2:N201)=0,1,0),0)</f>
        <v>0</v>
      </c>
      <c r="O202" s="34">
        <f t="shared" si="3"/>
        <v>0</v>
      </c>
    </row>
    <row r="203" spans="8:15" ht="20.100000000000001" customHeight="1" x14ac:dyDescent="0.25">
      <c r="H203" s="43" t="str">
        <f>IFERROR(ABS(C203/VLOOKUP(2*$B203,$B204:C237,2,TRUE)),"--")</f>
        <v>--</v>
      </c>
      <c r="I203" s="43" t="str">
        <f>IFERROR(ABS(D203/VLOOKUP(2*$B203,$B204:D237,3,TRUE)),"--")</f>
        <v>--</v>
      </c>
      <c r="J203" s="43" t="str">
        <f>IFERROR(ABS(E203/VLOOKUP(2*$B203,$B204:E237,4,TRUE)),"--")</f>
        <v>--</v>
      </c>
      <c r="K203" s="43" t="str">
        <f>IFERROR(ABS(F203/VLOOKUP(2*$B203,$B204:F237,5,TRUE)),"--")</f>
        <v>--</v>
      </c>
      <c r="L203" s="43" t="str">
        <f>IFERROR(ABS(G203/VLOOKUP(2*$B203,$B204:G237,6,TRUE)),"--")</f>
        <v>--</v>
      </c>
      <c r="M203" s="38">
        <f>IF(AND(1+$Q$6&gt;H203,1-$Q$6&lt;H203,1+$Q$6&gt;I203,1-$Q$6&lt;I203,1+$Q$6&gt;J203,1-$Q$6&lt;J203,1+$Q$6&gt;K203,1-$Q$6&lt;K203,1+$Q$6&gt;L203,1-$Q$6&lt;L203),IF(SUM($M$2:M202)=0,1,0),0)</f>
        <v>0</v>
      </c>
      <c r="N203" s="38">
        <f>IF(AND(1+$Q$7&gt;H203,1-$Q$7&lt;H203,1+$Q$7&gt;I203,1-$Q$7&lt;I203,1+$Q$7&gt;J203,1-$Q$7&lt;J203,1+$Q$7&gt;K203,1-$Q$7&lt;K203,1+$Q$7&gt;L203,1-$Q$7&lt;L203),IF(SUM($N$2:N202)=0,1,0),0)</f>
        <v>0</v>
      </c>
      <c r="O203" s="34">
        <f t="shared" si="3"/>
        <v>0</v>
      </c>
    </row>
    <row r="204" spans="8:15" ht="20.100000000000001" customHeight="1" x14ac:dyDescent="0.25">
      <c r="H204" s="43" t="str">
        <f>IFERROR(ABS(C204/VLOOKUP(2*$B204,$B205:C238,2,TRUE)),"--")</f>
        <v>--</v>
      </c>
      <c r="I204" s="43" t="str">
        <f>IFERROR(ABS(D204/VLOOKUP(2*$B204,$B205:D238,3,TRUE)),"--")</f>
        <v>--</v>
      </c>
      <c r="J204" s="43" t="str">
        <f>IFERROR(ABS(E204/VLOOKUP(2*$B204,$B205:E238,4,TRUE)),"--")</f>
        <v>--</v>
      </c>
      <c r="K204" s="43" t="str">
        <f>IFERROR(ABS(F204/VLOOKUP(2*$B204,$B205:F238,5,TRUE)),"--")</f>
        <v>--</v>
      </c>
      <c r="L204" s="43" t="str">
        <f>IFERROR(ABS(G204/VLOOKUP(2*$B204,$B205:G238,6,TRUE)),"--")</f>
        <v>--</v>
      </c>
      <c r="M204" s="38">
        <f>IF(AND(1+$Q$6&gt;H204,1-$Q$6&lt;H204,1+$Q$6&gt;I204,1-$Q$6&lt;I204,1+$Q$6&gt;J204,1-$Q$6&lt;J204,1+$Q$6&gt;K204,1-$Q$6&lt;K204,1+$Q$6&gt;L204,1-$Q$6&lt;L204),IF(SUM($M$2:M203)=0,1,0),0)</f>
        <v>0</v>
      </c>
      <c r="N204" s="38">
        <f>IF(AND(1+$Q$7&gt;H204,1-$Q$7&lt;H204,1+$Q$7&gt;I204,1-$Q$7&lt;I204,1+$Q$7&gt;J204,1-$Q$7&lt;J204,1+$Q$7&gt;K204,1-$Q$7&lt;K204,1+$Q$7&gt;L204,1-$Q$7&lt;L204),IF(SUM($N$2:N203)=0,1,0),0)</f>
        <v>0</v>
      </c>
      <c r="O204" s="34">
        <f t="shared" si="3"/>
        <v>0</v>
      </c>
    </row>
    <row r="205" spans="8:15" ht="20.100000000000001" customHeight="1" x14ac:dyDescent="0.25">
      <c r="H205" s="43" t="str">
        <f>IFERROR(ABS(C205/VLOOKUP(2*$B205,$B206:C239,2,TRUE)),"--")</f>
        <v>--</v>
      </c>
      <c r="I205" s="43" t="str">
        <f>IFERROR(ABS(D205/VLOOKUP(2*$B205,$B206:D239,3,TRUE)),"--")</f>
        <v>--</v>
      </c>
      <c r="J205" s="43" t="str">
        <f>IFERROR(ABS(E205/VLOOKUP(2*$B205,$B206:E239,4,TRUE)),"--")</f>
        <v>--</v>
      </c>
      <c r="K205" s="43" t="str">
        <f>IFERROR(ABS(F205/VLOOKUP(2*$B205,$B206:F239,5,TRUE)),"--")</f>
        <v>--</v>
      </c>
      <c r="L205" s="43" t="str">
        <f>IFERROR(ABS(G205/VLOOKUP(2*$B205,$B206:G239,6,TRUE)),"--")</f>
        <v>--</v>
      </c>
      <c r="M205" s="38">
        <f>IF(AND(1+$Q$6&gt;H205,1-$Q$6&lt;H205,1+$Q$6&gt;I205,1-$Q$6&lt;I205,1+$Q$6&gt;J205,1-$Q$6&lt;J205,1+$Q$6&gt;K205,1-$Q$6&lt;K205,1+$Q$6&gt;L205,1-$Q$6&lt;L205),IF(SUM($M$2:M204)=0,1,0),0)</f>
        <v>0</v>
      </c>
      <c r="N205" s="38">
        <f>IF(AND(1+$Q$7&gt;H205,1-$Q$7&lt;H205,1+$Q$7&gt;I205,1-$Q$7&lt;I205,1+$Q$7&gt;J205,1-$Q$7&lt;J205,1+$Q$7&gt;K205,1-$Q$7&lt;K205,1+$Q$7&gt;L205,1-$Q$7&lt;L205),IF(SUM($N$2:N204)=0,1,0),0)</f>
        <v>0</v>
      </c>
      <c r="O205" s="34">
        <f t="shared" si="3"/>
        <v>0</v>
      </c>
    </row>
    <row r="206" spans="8:15" ht="20.100000000000001" customHeight="1" x14ac:dyDescent="0.25">
      <c r="H206" s="43" t="str">
        <f>IFERROR(ABS(C206/VLOOKUP(2*$B206,$B207:C240,2,TRUE)),"--")</f>
        <v>--</v>
      </c>
      <c r="I206" s="43" t="str">
        <f>IFERROR(ABS(D206/VLOOKUP(2*$B206,$B207:D240,3,TRUE)),"--")</f>
        <v>--</v>
      </c>
      <c r="J206" s="43" t="str">
        <f>IFERROR(ABS(E206/VLOOKUP(2*$B206,$B207:E240,4,TRUE)),"--")</f>
        <v>--</v>
      </c>
      <c r="K206" s="43" t="str">
        <f>IFERROR(ABS(F206/VLOOKUP(2*$B206,$B207:F240,5,TRUE)),"--")</f>
        <v>--</v>
      </c>
      <c r="L206" s="43" t="str">
        <f>IFERROR(ABS(G206/VLOOKUP(2*$B206,$B207:G240,6,TRUE)),"--")</f>
        <v>--</v>
      </c>
      <c r="M206" s="38">
        <f>IF(AND(1+$Q$6&gt;H206,1-$Q$6&lt;H206,1+$Q$6&gt;I206,1-$Q$6&lt;I206,1+$Q$6&gt;J206,1-$Q$6&lt;J206,1+$Q$6&gt;K206,1-$Q$6&lt;K206,1+$Q$6&gt;L206,1-$Q$6&lt;L206),IF(SUM($M$2:M205)=0,1,0),0)</f>
        <v>0</v>
      </c>
      <c r="N206" s="38">
        <f>IF(AND(1+$Q$7&gt;H206,1-$Q$7&lt;H206,1+$Q$7&gt;I206,1-$Q$7&lt;I206,1+$Q$7&gt;J206,1-$Q$7&lt;J206,1+$Q$7&gt;K206,1-$Q$7&lt;K206,1+$Q$7&gt;L206,1-$Q$7&lt;L206),IF(SUM($N$2:N205)=0,1,0),0)</f>
        <v>0</v>
      </c>
      <c r="O206" s="34">
        <f t="shared" si="3"/>
        <v>0</v>
      </c>
    </row>
    <row r="207" spans="8:15" ht="20.100000000000001" customHeight="1" x14ac:dyDescent="0.25">
      <c r="H207" s="43" t="str">
        <f>IFERROR(ABS(C207/VLOOKUP(2*$B207,$B208:C241,2,TRUE)),"--")</f>
        <v>--</v>
      </c>
      <c r="I207" s="43" t="str">
        <f>IFERROR(ABS(D207/VLOOKUP(2*$B207,$B208:D241,3,TRUE)),"--")</f>
        <v>--</v>
      </c>
      <c r="J207" s="43" t="str">
        <f>IFERROR(ABS(E207/VLOOKUP(2*$B207,$B208:E241,4,TRUE)),"--")</f>
        <v>--</v>
      </c>
      <c r="K207" s="43" t="str">
        <f>IFERROR(ABS(F207/VLOOKUP(2*$B207,$B208:F241,5,TRUE)),"--")</f>
        <v>--</v>
      </c>
      <c r="L207" s="43" t="str">
        <f>IFERROR(ABS(G207/VLOOKUP(2*$B207,$B208:G241,6,TRUE)),"--")</f>
        <v>--</v>
      </c>
      <c r="M207" s="38">
        <f>IF(AND(1+$Q$6&gt;H207,1-$Q$6&lt;H207,1+$Q$6&gt;I207,1-$Q$6&lt;I207,1+$Q$6&gt;J207,1-$Q$6&lt;J207,1+$Q$6&gt;K207,1-$Q$6&lt;K207,1+$Q$6&gt;L207,1-$Q$6&lt;L207),IF(SUM($M$2:M206)=0,1,0),0)</f>
        <v>0</v>
      </c>
      <c r="N207" s="38">
        <f>IF(AND(1+$Q$7&gt;H207,1-$Q$7&lt;H207,1+$Q$7&gt;I207,1-$Q$7&lt;I207,1+$Q$7&gt;J207,1-$Q$7&lt;J207,1+$Q$7&gt;K207,1-$Q$7&lt;K207,1+$Q$7&gt;L207,1-$Q$7&lt;L207),IF(SUM($N$2:N206)=0,1,0),0)</f>
        <v>0</v>
      </c>
      <c r="O207" s="34">
        <f t="shared" si="3"/>
        <v>0</v>
      </c>
    </row>
    <row r="208" spans="8:15" ht="20.100000000000001" customHeight="1" x14ac:dyDescent="0.25">
      <c r="H208" s="43" t="str">
        <f>IFERROR(ABS(C208/VLOOKUP(2*$B208,$B209:C242,2,TRUE)),"--")</f>
        <v>--</v>
      </c>
      <c r="I208" s="43" t="str">
        <f>IFERROR(ABS(D208/VLOOKUP(2*$B208,$B209:D242,3,TRUE)),"--")</f>
        <v>--</v>
      </c>
      <c r="J208" s="43" t="str">
        <f>IFERROR(ABS(E208/VLOOKUP(2*$B208,$B209:E242,4,TRUE)),"--")</f>
        <v>--</v>
      </c>
      <c r="K208" s="43" t="str">
        <f>IFERROR(ABS(F208/VLOOKUP(2*$B208,$B209:F242,5,TRUE)),"--")</f>
        <v>--</v>
      </c>
      <c r="L208" s="43" t="str">
        <f>IFERROR(ABS(G208/VLOOKUP(2*$B208,$B209:G242,6,TRUE)),"--")</f>
        <v>--</v>
      </c>
      <c r="M208" s="38">
        <f>IF(AND(1+$Q$6&gt;H208,1-$Q$6&lt;H208,1+$Q$6&gt;I208,1-$Q$6&lt;I208,1+$Q$6&gt;J208,1-$Q$6&lt;J208,1+$Q$6&gt;K208,1-$Q$6&lt;K208,1+$Q$6&gt;L208,1-$Q$6&lt;L208),IF(SUM($M$2:M207)=0,1,0),0)</f>
        <v>0</v>
      </c>
      <c r="N208" s="38">
        <f>IF(AND(1+$Q$7&gt;H208,1-$Q$7&lt;H208,1+$Q$7&gt;I208,1-$Q$7&lt;I208,1+$Q$7&gt;J208,1-$Q$7&lt;J208,1+$Q$7&gt;K208,1-$Q$7&lt;K208,1+$Q$7&gt;L208,1-$Q$7&lt;L208),IF(SUM($N$2:N207)=0,1,0),0)</f>
        <v>0</v>
      </c>
      <c r="O208" s="34">
        <f t="shared" si="3"/>
        <v>0</v>
      </c>
    </row>
    <row r="209" spans="8:15" ht="20.100000000000001" customHeight="1" x14ac:dyDescent="0.25">
      <c r="H209" s="43" t="str">
        <f>IFERROR(ABS(C209/VLOOKUP(2*$B209,$B210:C243,2,TRUE)),"--")</f>
        <v>--</v>
      </c>
      <c r="I209" s="43" t="str">
        <f>IFERROR(ABS(D209/VLOOKUP(2*$B209,$B210:D243,3,TRUE)),"--")</f>
        <v>--</v>
      </c>
      <c r="J209" s="43" t="str">
        <f>IFERROR(ABS(E209/VLOOKUP(2*$B209,$B210:E243,4,TRUE)),"--")</f>
        <v>--</v>
      </c>
      <c r="K209" s="43" t="str">
        <f>IFERROR(ABS(F209/VLOOKUP(2*$B209,$B210:F243,5,TRUE)),"--")</f>
        <v>--</v>
      </c>
      <c r="L209" s="43" t="str">
        <f>IFERROR(ABS(G209/VLOOKUP(2*$B209,$B210:G243,6,TRUE)),"--")</f>
        <v>--</v>
      </c>
      <c r="M209" s="38">
        <f>IF(AND(1+$Q$6&gt;H209,1-$Q$6&lt;H209,1+$Q$6&gt;I209,1-$Q$6&lt;I209,1+$Q$6&gt;J209,1-$Q$6&lt;J209,1+$Q$6&gt;K209,1-$Q$6&lt;K209,1+$Q$6&gt;L209,1-$Q$6&lt;L209),IF(SUM($M$2:M208)=0,1,0),0)</f>
        <v>0</v>
      </c>
      <c r="N209" s="38">
        <f>IF(AND(1+$Q$7&gt;H209,1-$Q$7&lt;H209,1+$Q$7&gt;I209,1-$Q$7&lt;I209,1+$Q$7&gt;J209,1-$Q$7&lt;J209,1+$Q$7&gt;K209,1-$Q$7&lt;K209,1+$Q$7&gt;L209,1-$Q$7&lt;L209),IF(SUM($N$2:N208)=0,1,0),0)</f>
        <v>0</v>
      </c>
      <c r="O209" s="34">
        <f t="shared" si="3"/>
        <v>0</v>
      </c>
    </row>
    <row r="210" spans="8:15" ht="20.100000000000001" customHeight="1" x14ac:dyDescent="0.25">
      <c r="H210" s="43" t="str">
        <f>IFERROR(ABS(C210/VLOOKUP(2*$B210,$B211:C244,2,TRUE)),"--")</f>
        <v>--</v>
      </c>
      <c r="I210" s="43" t="str">
        <f>IFERROR(ABS(D210/VLOOKUP(2*$B210,$B211:D244,3,TRUE)),"--")</f>
        <v>--</v>
      </c>
      <c r="J210" s="43" t="str">
        <f>IFERROR(ABS(E210/VLOOKUP(2*$B210,$B211:E244,4,TRUE)),"--")</f>
        <v>--</v>
      </c>
      <c r="K210" s="43" t="str">
        <f>IFERROR(ABS(F210/VLOOKUP(2*$B210,$B211:F244,5,TRUE)),"--")</f>
        <v>--</v>
      </c>
      <c r="L210" s="43" t="str">
        <f>IFERROR(ABS(G210/VLOOKUP(2*$B210,$B211:G244,6,TRUE)),"--")</f>
        <v>--</v>
      </c>
      <c r="M210" s="38">
        <f>IF(AND(1+$Q$6&gt;H210,1-$Q$6&lt;H210,1+$Q$6&gt;I210,1-$Q$6&lt;I210,1+$Q$6&gt;J210,1-$Q$6&lt;J210,1+$Q$6&gt;K210,1-$Q$6&lt;K210,1+$Q$6&gt;L210,1-$Q$6&lt;L210),IF(SUM($M$2:M209)=0,1,0),0)</f>
        <v>0</v>
      </c>
      <c r="N210" s="38">
        <f>IF(AND(1+$Q$7&gt;H210,1-$Q$7&lt;H210,1+$Q$7&gt;I210,1-$Q$7&lt;I210,1+$Q$7&gt;J210,1-$Q$7&lt;J210,1+$Q$7&gt;K210,1-$Q$7&lt;K210,1+$Q$7&gt;L210,1-$Q$7&lt;L210),IF(SUM($N$2:N209)=0,1,0),0)</f>
        <v>0</v>
      </c>
      <c r="O210" s="34">
        <f t="shared" si="3"/>
        <v>0</v>
      </c>
    </row>
    <row r="211" spans="8:15" ht="20.100000000000001" customHeight="1" x14ac:dyDescent="0.25">
      <c r="H211" s="43" t="str">
        <f>IFERROR(ABS(C211/VLOOKUP(2*$B211,$B212:C245,2,TRUE)),"--")</f>
        <v>--</v>
      </c>
      <c r="I211" s="43" t="str">
        <f>IFERROR(ABS(D211/VLOOKUP(2*$B211,$B212:D245,3,TRUE)),"--")</f>
        <v>--</v>
      </c>
      <c r="J211" s="43" t="str">
        <f>IFERROR(ABS(E211/VLOOKUP(2*$B211,$B212:E245,4,TRUE)),"--")</f>
        <v>--</v>
      </c>
      <c r="K211" s="43" t="str">
        <f>IFERROR(ABS(F211/VLOOKUP(2*$B211,$B212:F245,5,TRUE)),"--")</f>
        <v>--</v>
      </c>
      <c r="L211" s="43" t="str">
        <f>IFERROR(ABS(G211/VLOOKUP(2*$B211,$B212:G245,6,TRUE)),"--")</f>
        <v>--</v>
      </c>
      <c r="M211" s="38">
        <f>IF(AND(1+$Q$6&gt;H211,1-$Q$6&lt;H211,1+$Q$6&gt;I211,1-$Q$6&lt;I211,1+$Q$6&gt;J211,1-$Q$6&lt;J211,1+$Q$6&gt;K211,1-$Q$6&lt;K211,1+$Q$6&gt;L211,1-$Q$6&lt;L211),IF(SUM($M$2:M210)=0,1,0),0)</f>
        <v>0</v>
      </c>
      <c r="N211" s="38">
        <f>IF(AND(1+$Q$7&gt;H211,1-$Q$7&lt;H211,1+$Q$7&gt;I211,1-$Q$7&lt;I211,1+$Q$7&gt;J211,1-$Q$7&lt;J211,1+$Q$7&gt;K211,1-$Q$7&lt;K211,1+$Q$7&gt;L211,1-$Q$7&lt;L211),IF(SUM($N$2:N210)=0,1,0),0)</f>
        <v>0</v>
      </c>
      <c r="O211" s="34">
        <f t="shared" si="3"/>
        <v>0</v>
      </c>
    </row>
    <row r="212" spans="8:15" ht="20.100000000000001" customHeight="1" x14ac:dyDescent="0.25">
      <c r="H212" s="43" t="str">
        <f>IFERROR(ABS(C212/VLOOKUP(2*$B212,$B213:C246,2,TRUE)),"--")</f>
        <v>--</v>
      </c>
      <c r="I212" s="43" t="str">
        <f>IFERROR(ABS(D212/VLOOKUP(2*$B212,$B213:D246,3,TRUE)),"--")</f>
        <v>--</v>
      </c>
      <c r="J212" s="43" t="str">
        <f>IFERROR(ABS(E212/VLOOKUP(2*$B212,$B213:E246,4,TRUE)),"--")</f>
        <v>--</v>
      </c>
      <c r="K212" s="43" t="str">
        <f>IFERROR(ABS(F212/VLOOKUP(2*$B212,$B213:F246,5,TRUE)),"--")</f>
        <v>--</v>
      </c>
      <c r="L212" s="43" t="str">
        <f>IFERROR(ABS(G212/VLOOKUP(2*$B212,$B213:G246,6,TRUE)),"--")</f>
        <v>--</v>
      </c>
      <c r="M212" s="38">
        <f>IF(AND(1+$Q$6&gt;H212,1-$Q$6&lt;H212,1+$Q$6&gt;I212,1-$Q$6&lt;I212,1+$Q$6&gt;J212,1-$Q$6&lt;J212,1+$Q$6&gt;K212,1-$Q$6&lt;K212,1+$Q$6&gt;L212,1-$Q$6&lt;L212),IF(SUM($M$2:M211)=0,1,0),0)</f>
        <v>0</v>
      </c>
      <c r="N212" s="38">
        <f>IF(AND(1+$Q$7&gt;H212,1-$Q$7&lt;H212,1+$Q$7&gt;I212,1-$Q$7&lt;I212,1+$Q$7&gt;J212,1-$Q$7&lt;J212,1+$Q$7&gt;K212,1-$Q$7&lt;K212,1+$Q$7&gt;L212,1-$Q$7&lt;L212),IF(SUM($N$2:N211)=0,1,0),0)</f>
        <v>0</v>
      </c>
      <c r="O212" s="34">
        <f t="shared" si="3"/>
        <v>0</v>
      </c>
    </row>
    <row r="213" spans="8:15" ht="20.100000000000001" customHeight="1" x14ac:dyDescent="0.25">
      <c r="H213" s="43" t="str">
        <f>IFERROR(ABS(C213/VLOOKUP(2*$B213,$B214:C247,2,TRUE)),"--")</f>
        <v>--</v>
      </c>
      <c r="I213" s="43" t="str">
        <f>IFERROR(ABS(D213/VLOOKUP(2*$B213,$B214:D247,3,TRUE)),"--")</f>
        <v>--</v>
      </c>
      <c r="J213" s="43" t="str">
        <f>IFERROR(ABS(E213/VLOOKUP(2*$B213,$B214:E247,4,TRUE)),"--")</f>
        <v>--</v>
      </c>
      <c r="K213" s="43" t="str">
        <f>IFERROR(ABS(F213/VLOOKUP(2*$B213,$B214:F247,5,TRUE)),"--")</f>
        <v>--</v>
      </c>
      <c r="L213" s="43" t="str">
        <f>IFERROR(ABS(G213/VLOOKUP(2*$B213,$B214:G247,6,TRUE)),"--")</f>
        <v>--</v>
      </c>
      <c r="M213" s="38">
        <f>IF(AND(1+$Q$6&gt;H213,1-$Q$6&lt;H213,1+$Q$6&gt;I213,1-$Q$6&lt;I213,1+$Q$6&gt;J213,1-$Q$6&lt;J213,1+$Q$6&gt;K213,1-$Q$6&lt;K213,1+$Q$6&gt;L213,1-$Q$6&lt;L213),IF(SUM($M$2:M212)=0,1,0),0)</f>
        <v>0</v>
      </c>
      <c r="N213" s="38">
        <f>IF(AND(1+$Q$7&gt;H213,1-$Q$7&lt;H213,1+$Q$7&gt;I213,1-$Q$7&lt;I213,1+$Q$7&gt;J213,1-$Q$7&lt;J213,1+$Q$7&gt;K213,1-$Q$7&lt;K213,1+$Q$7&gt;L213,1-$Q$7&lt;L213),IF(SUM($N$2:N212)=0,1,0),0)</f>
        <v>0</v>
      </c>
      <c r="O213" s="34">
        <f t="shared" si="3"/>
        <v>0</v>
      </c>
    </row>
    <row r="214" spans="8:15" ht="20.100000000000001" customHeight="1" x14ac:dyDescent="0.25">
      <c r="H214" s="43" t="str">
        <f>IFERROR(ABS(C214/VLOOKUP(2*$B214,$B215:C248,2,TRUE)),"--")</f>
        <v>--</v>
      </c>
      <c r="I214" s="43" t="str">
        <f>IFERROR(ABS(D214/VLOOKUP(2*$B214,$B215:D248,3,TRUE)),"--")</f>
        <v>--</v>
      </c>
      <c r="J214" s="43" t="str">
        <f>IFERROR(ABS(E214/VLOOKUP(2*$B214,$B215:E248,4,TRUE)),"--")</f>
        <v>--</v>
      </c>
      <c r="K214" s="43" t="str">
        <f>IFERROR(ABS(F214/VLOOKUP(2*$B214,$B215:F248,5,TRUE)),"--")</f>
        <v>--</v>
      </c>
      <c r="L214" s="43" t="str">
        <f>IFERROR(ABS(G214/VLOOKUP(2*$B214,$B215:G248,6,TRUE)),"--")</f>
        <v>--</v>
      </c>
      <c r="M214" s="38">
        <f>IF(AND(1+$Q$6&gt;H214,1-$Q$6&lt;H214,1+$Q$6&gt;I214,1-$Q$6&lt;I214,1+$Q$6&gt;J214,1-$Q$6&lt;J214,1+$Q$6&gt;K214,1-$Q$6&lt;K214,1+$Q$6&gt;L214,1-$Q$6&lt;L214),IF(SUM($M$2:M213)=0,1,0),0)</f>
        <v>0</v>
      </c>
      <c r="N214" s="38">
        <f>IF(AND(1+$Q$7&gt;H214,1-$Q$7&lt;H214,1+$Q$7&gt;I214,1-$Q$7&lt;I214,1+$Q$7&gt;J214,1-$Q$7&lt;J214,1+$Q$7&gt;K214,1-$Q$7&lt;K214,1+$Q$7&gt;L214,1-$Q$7&lt;L214),IF(SUM($N$2:N213)=0,1,0),0)</f>
        <v>0</v>
      </c>
      <c r="O214" s="34">
        <f t="shared" si="3"/>
        <v>0</v>
      </c>
    </row>
    <row r="215" spans="8:15" ht="20.100000000000001" customHeight="1" x14ac:dyDescent="0.25">
      <c r="H215" s="43" t="str">
        <f>IFERROR(ABS(C215/VLOOKUP(2*$B215,$B216:C249,2,TRUE)),"--")</f>
        <v>--</v>
      </c>
      <c r="I215" s="43" t="str">
        <f>IFERROR(ABS(D215/VLOOKUP(2*$B215,$B216:D249,3,TRUE)),"--")</f>
        <v>--</v>
      </c>
      <c r="J215" s="43" t="str">
        <f>IFERROR(ABS(E215/VLOOKUP(2*$B215,$B216:E249,4,TRUE)),"--")</f>
        <v>--</v>
      </c>
      <c r="K215" s="43" t="str">
        <f>IFERROR(ABS(F215/VLOOKUP(2*$B215,$B216:F249,5,TRUE)),"--")</f>
        <v>--</v>
      </c>
      <c r="L215" s="43" t="str">
        <f>IFERROR(ABS(G215/VLOOKUP(2*$B215,$B216:G249,6,TRUE)),"--")</f>
        <v>--</v>
      </c>
      <c r="M215" s="38">
        <f>IF(AND(1+$Q$6&gt;H215,1-$Q$6&lt;H215,1+$Q$6&gt;I215,1-$Q$6&lt;I215,1+$Q$6&gt;J215,1-$Q$6&lt;J215,1+$Q$6&gt;K215,1-$Q$6&lt;K215,1+$Q$6&gt;L215,1-$Q$6&lt;L215),IF(SUM($M$2:M214)=0,1,0),0)</f>
        <v>0</v>
      </c>
      <c r="N215" s="38">
        <f>IF(AND(1+$Q$7&gt;H215,1-$Q$7&lt;H215,1+$Q$7&gt;I215,1-$Q$7&lt;I215,1+$Q$7&gt;J215,1-$Q$7&lt;J215,1+$Q$7&gt;K215,1-$Q$7&lt;K215,1+$Q$7&gt;L215,1-$Q$7&lt;L215),IF(SUM($N$2:N214)=0,1,0),0)</f>
        <v>0</v>
      </c>
      <c r="O215" s="34">
        <f t="shared" si="3"/>
        <v>0</v>
      </c>
    </row>
    <row r="216" spans="8:15" ht="20.100000000000001" customHeight="1" x14ac:dyDescent="0.25">
      <c r="H216" s="43" t="str">
        <f>IFERROR(ABS(C216/VLOOKUP(2*$B216,$B217:C250,2,TRUE)),"--")</f>
        <v>--</v>
      </c>
      <c r="I216" s="43" t="str">
        <f>IFERROR(ABS(D216/VLOOKUP(2*$B216,$B217:D250,3,TRUE)),"--")</f>
        <v>--</v>
      </c>
      <c r="J216" s="43" t="str">
        <f>IFERROR(ABS(E216/VLOOKUP(2*$B216,$B217:E250,4,TRUE)),"--")</f>
        <v>--</v>
      </c>
      <c r="K216" s="43" t="str">
        <f>IFERROR(ABS(F216/VLOOKUP(2*$B216,$B217:F250,5,TRUE)),"--")</f>
        <v>--</v>
      </c>
      <c r="L216" s="43" t="str">
        <f>IFERROR(ABS(G216/VLOOKUP(2*$B216,$B217:G250,6,TRUE)),"--")</f>
        <v>--</v>
      </c>
      <c r="M216" s="38">
        <f>IF(AND(1+$Q$6&gt;H216,1-$Q$6&lt;H216,1+$Q$6&gt;I216,1-$Q$6&lt;I216,1+$Q$6&gt;J216,1-$Q$6&lt;J216,1+$Q$6&gt;K216,1-$Q$6&lt;K216,1+$Q$6&gt;L216,1-$Q$6&lt;L216),IF(SUM($M$2:M215)=0,1,0),0)</f>
        <v>0</v>
      </c>
      <c r="N216" s="38">
        <f>IF(AND(1+$Q$7&gt;H216,1-$Q$7&lt;H216,1+$Q$7&gt;I216,1-$Q$7&lt;I216,1+$Q$7&gt;J216,1-$Q$7&lt;J216,1+$Q$7&gt;K216,1-$Q$7&lt;K216,1+$Q$7&gt;L216,1-$Q$7&lt;L216),IF(SUM($N$2:N215)=0,1,0),0)</f>
        <v>0</v>
      </c>
      <c r="O216" s="34">
        <f t="shared" si="3"/>
        <v>0</v>
      </c>
    </row>
    <row r="217" spans="8:15" ht="20.100000000000001" customHeight="1" x14ac:dyDescent="0.25">
      <c r="H217" s="43" t="str">
        <f>IFERROR(ABS(C217/VLOOKUP(2*$B217,$B218:C251,2,TRUE)),"--")</f>
        <v>--</v>
      </c>
      <c r="I217" s="43" t="str">
        <f>IFERROR(ABS(D217/VLOOKUP(2*$B217,$B218:D251,3,TRUE)),"--")</f>
        <v>--</v>
      </c>
      <c r="J217" s="43" t="str">
        <f>IFERROR(ABS(E217/VLOOKUP(2*$B217,$B218:E251,4,TRUE)),"--")</f>
        <v>--</v>
      </c>
      <c r="K217" s="43" t="str">
        <f>IFERROR(ABS(F217/VLOOKUP(2*$B217,$B218:F251,5,TRUE)),"--")</f>
        <v>--</v>
      </c>
      <c r="L217" s="43" t="str">
        <f>IFERROR(ABS(G217/VLOOKUP(2*$B217,$B218:G251,6,TRUE)),"--")</f>
        <v>--</v>
      </c>
      <c r="M217" s="38">
        <f>IF(AND(1+$Q$6&gt;H217,1-$Q$6&lt;H217,1+$Q$6&gt;I217,1-$Q$6&lt;I217,1+$Q$6&gt;J217,1-$Q$6&lt;J217,1+$Q$6&gt;K217,1-$Q$6&lt;K217,1+$Q$6&gt;L217,1-$Q$6&lt;L217),IF(SUM($M$2:M216)=0,1,0),0)</f>
        <v>0</v>
      </c>
      <c r="N217" s="38">
        <f>IF(AND(1+$Q$7&gt;H217,1-$Q$7&lt;H217,1+$Q$7&gt;I217,1-$Q$7&lt;I217,1+$Q$7&gt;J217,1-$Q$7&lt;J217,1+$Q$7&gt;K217,1-$Q$7&lt;K217,1+$Q$7&gt;L217,1-$Q$7&lt;L217),IF(SUM($N$2:N216)=0,1,0),0)</f>
        <v>0</v>
      </c>
      <c r="O217" s="34">
        <f t="shared" si="3"/>
        <v>0</v>
      </c>
    </row>
    <row r="218" spans="8:15" ht="20.100000000000001" customHeight="1" x14ac:dyDescent="0.25">
      <c r="H218" s="43" t="str">
        <f>IFERROR(ABS(C218/VLOOKUP(2*$B218,$B219:C252,2,TRUE)),"--")</f>
        <v>--</v>
      </c>
      <c r="I218" s="43" t="str">
        <f>IFERROR(ABS(D218/VLOOKUP(2*$B218,$B219:D252,3,TRUE)),"--")</f>
        <v>--</v>
      </c>
      <c r="J218" s="43" t="str">
        <f>IFERROR(ABS(E218/VLOOKUP(2*$B218,$B219:E252,4,TRUE)),"--")</f>
        <v>--</v>
      </c>
      <c r="K218" s="43" t="str">
        <f>IFERROR(ABS(F218/VLOOKUP(2*$B218,$B219:F252,5,TRUE)),"--")</f>
        <v>--</v>
      </c>
      <c r="L218" s="43" t="str">
        <f>IFERROR(ABS(G218/VLOOKUP(2*$B218,$B219:G252,6,TRUE)),"--")</f>
        <v>--</v>
      </c>
      <c r="M218" s="38">
        <f>IF(AND(1+$Q$6&gt;H218,1-$Q$6&lt;H218,1+$Q$6&gt;I218,1-$Q$6&lt;I218,1+$Q$6&gt;J218,1-$Q$6&lt;J218,1+$Q$6&gt;K218,1-$Q$6&lt;K218,1+$Q$6&gt;L218,1-$Q$6&lt;L218),IF(SUM($M$2:M217)=0,1,0),0)</f>
        <v>0</v>
      </c>
      <c r="N218" s="38">
        <f>IF(AND(1+$Q$7&gt;H218,1-$Q$7&lt;H218,1+$Q$7&gt;I218,1-$Q$7&lt;I218,1+$Q$7&gt;J218,1-$Q$7&lt;J218,1+$Q$7&gt;K218,1-$Q$7&lt;K218,1+$Q$7&gt;L218,1-$Q$7&lt;L218),IF(SUM($N$2:N217)=0,1,0),0)</f>
        <v>0</v>
      </c>
      <c r="O218" s="34">
        <f t="shared" si="3"/>
        <v>0</v>
      </c>
    </row>
    <row r="219" spans="8:15" ht="20.100000000000001" customHeight="1" x14ac:dyDescent="0.25">
      <c r="H219" s="43" t="str">
        <f>IFERROR(ABS(C219/VLOOKUP(2*$B219,$B220:C253,2,TRUE)),"--")</f>
        <v>--</v>
      </c>
      <c r="I219" s="43" t="str">
        <f>IFERROR(ABS(D219/VLOOKUP(2*$B219,$B220:D253,3,TRUE)),"--")</f>
        <v>--</v>
      </c>
      <c r="J219" s="43" t="str">
        <f>IFERROR(ABS(E219/VLOOKUP(2*$B219,$B220:E253,4,TRUE)),"--")</f>
        <v>--</v>
      </c>
      <c r="K219" s="43" t="str">
        <f>IFERROR(ABS(F219/VLOOKUP(2*$B219,$B220:F253,5,TRUE)),"--")</f>
        <v>--</v>
      </c>
      <c r="L219" s="43" t="str">
        <f>IFERROR(ABS(G219/VLOOKUP(2*$B219,$B220:G253,6,TRUE)),"--")</f>
        <v>--</v>
      </c>
      <c r="M219" s="38">
        <f>IF(AND(1+$Q$6&gt;H219,1-$Q$6&lt;H219,1+$Q$6&gt;I219,1-$Q$6&lt;I219,1+$Q$6&gt;J219,1-$Q$6&lt;J219,1+$Q$6&gt;K219,1-$Q$6&lt;K219,1+$Q$6&gt;L219,1-$Q$6&lt;L219),IF(SUM($M$2:M218)=0,1,0),0)</f>
        <v>0</v>
      </c>
      <c r="N219" s="38">
        <f>IF(AND(1+$Q$7&gt;H219,1-$Q$7&lt;H219,1+$Q$7&gt;I219,1-$Q$7&lt;I219,1+$Q$7&gt;J219,1-$Q$7&lt;J219,1+$Q$7&gt;K219,1-$Q$7&lt;K219,1+$Q$7&gt;L219,1-$Q$7&lt;L219),IF(SUM($N$2:N218)=0,1,0),0)</f>
        <v>0</v>
      </c>
      <c r="O219" s="34">
        <f t="shared" si="3"/>
        <v>0</v>
      </c>
    </row>
    <row r="220" spans="8:15" ht="20.100000000000001" customHeight="1" x14ac:dyDescent="0.25">
      <c r="H220" s="43" t="str">
        <f>IFERROR(ABS(C220/VLOOKUP(2*$B220,$B221:C254,2,TRUE)),"--")</f>
        <v>--</v>
      </c>
      <c r="I220" s="43" t="str">
        <f>IFERROR(ABS(D220/VLOOKUP(2*$B220,$B221:D254,3,TRUE)),"--")</f>
        <v>--</v>
      </c>
      <c r="J220" s="43" t="str">
        <f>IFERROR(ABS(E220/VLOOKUP(2*$B220,$B221:E254,4,TRUE)),"--")</f>
        <v>--</v>
      </c>
      <c r="K220" s="43" t="str">
        <f>IFERROR(ABS(F220/VLOOKUP(2*$B220,$B221:F254,5,TRUE)),"--")</f>
        <v>--</v>
      </c>
      <c r="L220" s="43" t="str">
        <f>IFERROR(ABS(G220/VLOOKUP(2*$B220,$B221:G254,6,TRUE)),"--")</f>
        <v>--</v>
      </c>
      <c r="M220" s="38">
        <f>IF(AND(1+$Q$6&gt;H220,1-$Q$6&lt;H220,1+$Q$6&gt;I220,1-$Q$6&lt;I220,1+$Q$6&gt;J220,1-$Q$6&lt;J220,1+$Q$6&gt;K220,1-$Q$6&lt;K220,1+$Q$6&gt;L220,1-$Q$6&lt;L220),IF(SUM($M$2:M219)=0,1,0),0)</f>
        <v>0</v>
      </c>
      <c r="N220" s="38">
        <f>IF(AND(1+$Q$7&gt;H220,1-$Q$7&lt;H220,1+$Q$7&gt;I220,1-$Q$7&lt;I220,1+$Q$7&gt;J220,1-$Q$7&lt;J220,1+$Q$7&gt;K220,1-$Q$7&lt;K220,1+$Q$7&gt;L220,1-$Q$7&lt;L220),IF(SUM($N$2:N219)=0,1,0),0)</f>
        <v>0</v>
      </c>
      <c r="O220" s="34">
        <f t="shared" si="3"/>
        <v>0</v>
      </c>
    </row>
    <row r="221" spans="8:15" ht="20.100000000000001" customHeight="1" x14ac:dyDescent="0.25">
      <c r="H221" s="43" t="str">
        <f>IFERROR(ABS(C221/VLOOKUP(2*$B221,$B222:C255,2,TRUE)),"--")</f>
        <v>--</v>
      </c>
      <c r="I221" s="43" t="str">
        <f>IFERROR(ABS(D221/VLOOKUP(2*$B221,$B222:D255,3,TRUE)),"--")</f>
        <v>--</v>
      </c>
      <c r="J221" s="43" t="str">
        <f>IFERROR(ABS(E221/VLOOKUP(2*$B221,$B222:E255,4,TRUE)),"--")</f>
        <v>--</v>
      </c>
      <c r="K221" s="43" t="str">
        <f>IFERROR(ABS(F221/VLOOKUP(2*$B221,$B222:F255,5,TRUE)),"--")</f>
        <v>--</v>
      </c>
      <c r="L221" s="43" t="str">
        <f>IFERROR(ABS(G221/VLOOKUP(2*$B221,$B222:G255,6,TRUE)),"--")</f>
        <v>--</v>
      </c>
      <c r="M221" s="38">
        <f>IF(AND(1+$Q$6&gt;H221,1-$Q$6&lt;H221,1+$Q$6&gt;I221,1-$Q$6&lt;I221,1+$Q$6&gt;J221,1-$Q$6&lt;J221,1+$Q$6&gt;K221,1-$Q$6&lt;K221,1+$Q$6&gt;L221,1-$Q$6&lt;L221),IF(SUM($M$2:M220)=0,1,0),0)</f>
        <v>0</v>
      </c>
      <c r="N221" s="38">
        <f>IF(AND(1+$Q$7&gt;H221,1-$Q$7&lt;H221,1+$Q$7&gt;I221,1-$Q$7&lt;I221,1+$Q$7&gt;J221,1-$Q$7&lt;J221,1+$Q$7&gt;K221,1-$Q$7&lt;K221,1+$Q$7&gt;L221,1-$Q$7&lt;L221),IF(SUM($N$2:N220)=0,1,0),0)</f>
        <v>0</v>
      </c>
      <c r="O221" s="34">
        <f t="shared" si="3"/>
        <v>0</v>
      </c>
    </row>
    <row r="222" spans="8:15" ht="20.100000000000001" customHeight="1" x14ac:dyDescent="0.25">
      <c r="H222" s="43" t="str">
        <f>IFERROR(ABS(C222/VLOOKUP(2*$B222,$B223:C256,2,TRUE)),"--")</f>
        <v>--</v>
      </c>
      <c r="I222" s="43" t="str">
        <f>IFERROR(ABS(D222/VLOOKUP(2*$B222,$B223:D256,3,TRUE)),"--")</f>
        <v>--</v>
      </c>
      <c r="J222" s="43" t="str">
        <f>IFERROR(ABS(E222/VLOOKUP(2*$B222,$B223:E256,4,TRUE)),"--")</f>
        <v>--</v>
      </c>
      <c r="K222" s="43" t="str">
        <f>IFERROR(ABS(F222/VLOOKUP(2*$B222,$B223:F256,5,TRUE)),"--")</f>
        <v>--</v>
      </c>
      <c r="L222" s="43" t="str">
        <f>IFERROR(ABS(G222/VLOOKUP(2*$B222,$B223:G256,6,TRUE)),"--")</f>
        <v>--</v>
      </c>
      <c r="M222" s="38">
        <f>IF(AND(1+$Q$6&gt;H222,1-$Q$6&lt;H222,1+$Q$6&gt;I222,1-$Q$6&lt;I222,1+$Q$6&gt;J222,1-$Q$6&lt;J222,1+$Q$6&gt;K222,1-$Q$6&lt;K222,1+$Q$6&gt;L222,1-$Q$6&lt;L222),IF(SUM($M$2:M221)=0,1,0),0)</f>
        <v>0</v>
      </c>
      <c r="N222" s="38">
        <f>IF(AND(1+$Q$7&gt;H222,1-$Q$7&lt;H222,1+$Q$7&gt;I222,1-$Q$7&lt;I222,1+$Q$7&gt;J222,1-$Q$7&lt;J222,1+$Q$7&gt;K222,1-$Q$7&lt;K222,1+$Q$7&gt;L222,1-$Q$7&lt;L222),IF(SUM($N$2:N221)=0,1,0),0)</f>
        <v>0</v>
      </c>
      <c r="O222" s="34">
        <f t="shared" si="3"/>
        <v>0</v>
      </c>
    </row>
    <row r="223" spans="8:15" ht="20.100000000000001" customHeight="1" x14ac:dyDescent="0.25">
      <c r="H223" s="43" t="str">
        <f>IFERROR(ABS(C223/VLOOKUP(2*$B223,$B224:C257,2,TRUE)),"--")</f>
        <v>--</v>
      </c>
      <c r="I223" s="43" t="str">
        <f>IFERROR(ABS(D223/VLOOKUP(2*$B223,$B224:D257,3,TRUE)),"--")</f>
        <v>--</v>
      </c>
      <c r="J223" s="43" t="str">
        <f>IFERROR(ABS(E223/VLOOKUP(2*$B223,$B224:E257,4,TRUE)),"--")</f>
        <v>--</v>
      </c>
      <c r="K223" s="43" t="str">
        <f>IFERROR(ABS(F223/VLOOKUP(2*$B223,$B224:F257,5,TRUE)),"--")</f>
        <v>--</v>
      </c>
      <c r="L223" s="43" t="str">
        <f>IFERROR(ABS(G223/VLOOKUP(2*$B223,$B224:G257,6,TRUE)),"--")</f>
        <v>--</v>
      </c>
      <c r="M223" s="38">
        <f>IF(AND(1+$Q$6&gt;H223,1-$Q$6&lt;H223,1+$Q$6&gt;I223,1-$Q$6&lt;I223,1+$Q$6&gt;J223,1-$Q$6&lt;J223,1+$Q$6&gt;K223,1-$Q$6&lt;K223,1+$Q$6&gt;L223,1-$Q$6&lt;L223),IF(SUM($M$2:M222)=0,1,0),0)</f>
        <v>0</v>
      </c>
      <c r="N223" s="38">
        <f>IF(AND(1+$Q$7&gt;H223,1-$Q$7&lt;H223,1+$Q$7&gt;I223,1-$Q$7&lt;I223,1+$Q$7&gt;J223,1-$Q$7&lt;J223,1+$Q$7&gt;K223,1-$Q$7&lt;K223,1+$Q$7&gt;L223,1-$Q$7&lt;L223),IF(SUM($N$2:N222)=0,1,0),0)</f>
        <v>0</v>
      </c>
      <c r="O223" s="34">
        <f t="shared" si="3"/>
        <v>0</v>
      </c>
    </row>
    <row r="224" spans="8:15" ht="20.100000000000001" customHeight="1" x14ac:dyDescent="0.25">
      <c r="H224" s="43" t="str">
        <f>IFERROR(ABS(C224/VLOOKUP(2*$B224,$B225:C258,2,TRUE)),"--")</f>
        <v>--</v>
      </c>
      <c r="I224" s="43" t="str">
        <f>IFERROR(ABS(D224/VLOOKUP(2*$B224,$B225:D258,3,TRUE)),"--")</f>
        <v>--</v>
      </c>
      <c r="J224" s="43" t="str">
        <f>IFERROR(ABS(E224/VLOOKUP(2*$B224,$B225:E258,4,TRUE)),"--")</f>
        <v>--</v>
      </c>
      <c r="K224" s="43" t="str">
        <f>IFERROR(ABS(F224/VLOOKUP(2*$B224,$B225:F258,5,TRUE)),"--")</f>
        <v>--</v>
      </c>
      <c r="L224" s="43" t="str">
        <f>IFERROR(ABS(G224/VLOOKUP(2*$B224,$B225:G258,6,TRUE)),"--")</f>
        <v>--</v>
      </c>
      <c r="M224" s="38">
        <f>IF(AND(1+$Q$6&gt;H224,1-$Q$6&lt;H224,1+$Q$6&gt;I224,1-$Q$6&lt;I224,1+$Q$6&gt;J224,1-$Q$6&lt;J224,1+$Q$6&gt;K224,1-$Q$6&lt;K224,1+$Q$6&gt;L224,1-$Q$6&lt;L224),IF(SUM($M$2:M223)=0,1,0),0)</f>
        <v>0</v>
      </c>
      <c r="N224" s="38">
        <f>IF(AND(1+$Q$7&gt;H224,1-$Q$7&lt;H224,1+$Q$7&gt;I224,1-$Q$7&lt;I224,1+$Q$7&gt;J224,1-$Q$7&lt;J224,1+$Q$7&gt;K224,1-$Q$7&lt;K224,1+$Q$7&gt;L224,1-$Q$7&lt;L224),IF(SUM($N$2:N223)=0,1,0),0)</f>
        <v>0</v>
      </c>
      <c r="O224" s="34">
        <f t="shared" si="3"/>
        <v>0</v>
      </c>
    </row>
    <row r="225" spans="8:15" ht="20.100000000000001" customHeight="1" x14ac:dyDescent="0.25">
      <c r="H225" s="43" t="str">
        <f>IFERROR(ABS(C225/VLOOKUP(2*$B225,$B226:C259,2,TRUE)),"--")</f>
        <v>--</v>
      </c>
      <c r="I225" s="43" t="str">
        <f>IFERROR(ABS(D225/VLOOKUP(2*$B225,$B226:D259,3,TRUE)),"--")</f>
        <v>--</v>
      </c>
      <c r="J225" s="43" t="str">
        <f>IFERROR(ABS(E225/VLOOKUP(2*$B225,$B226:E259,4,TRUE)),"--")</f>
        <v>--</v>
      </c>
      <c r="K225" s="43" t="str">
        <f>IFERROR(ABS(F225/VLOOKUP(2*$B225,$B226:F259,5,TRUE)),"--")</f>
        <v>--</v>
      </c>
      <c r="L225" s="43" t="str">
        <f>IFERROR(ABS(G225/VLOOKUP(2*$B225,$B226:G259,6,TRUE)),"--")</f>
        <v>--</v>
      </c>
      <c r="M225" s="38">
        <f>IF(AND(1+$Q$6&gt;H225,1-$Q$6&lt;H225,1+$Q$6&gt;I225,1-$Q$6&lt;I225,1+$Q$6&gt;J225,1-$Q$6&lt;J225,1+$Q$6&gt;K225,1-$Q$6&lt;K225,1+$Q$6&gt;L225,1-$Q$6&lt;L225),IF(SUM($M$2:M224)=0,1,0),0)</f>
        <v>0</v>
      </c>
      <c r="N225" s="38">
        <f>IF(AND(1+$Q$7&gt;H225,1-$Q$7&lt;H225,1+$Q$7&gt;I225,1-$Q$7&lt;I225,1+$Q$7&gt;J225,1-$Q$7&lt;J225,1+$Q$7&gt;K225,1-$Q$7&lt;K225,1+$Q$7&gt;L225,1-$Q$7&lt;L225),IF(SUM($N$2:N224)=0,1,0),0)</f>
        <v>0</v>
      </c>
      <c r="O225" s="34">
        <f t="shared" si="3"/>
        <v>0</v>
      </c>
    </row>
    <row r="226" spans="8:15" ht="20.100000000000001" customHeight="1" x14ac:dyDescent="0.25">
      <c r="H226" s="43" t="str">
        <f>IFERROR(ABS(C226/VLOOKUP(2*$B226,$B227:C260,2,TRUE)),"--")</f>
        <v>--</v>
      </c>
      <c r="I226" s="43" t="str">
        <f>IFERROR(ABS(D226/VLOOKUP(2*$B226,$B227:D260,3,TRUE)),"--")</f>
        <v>--</v>
      </c>
      <c r="J226" s="43" t="str">
        <f>IFERROR(ABS(E226/VLOOKUP(2*$B226,$B227:E260,4,TRUE)),"--")</f>
        <v>--</v>
      </c>
      <c r="K226" s="43" t="str">
        <f>IFERROR(ABS(F226/VLOOKUP(2*$B226,$B227:F260,5,TRUE)),"--")</f>
        <v>--</v>
      </c>
      <c r="L226" s="43" t="str">
        <f>IFERROR(ABS(G226/VLOOKUP(2*$B226,$B227:G260,6,TRUE)),"--")</f>
        <v>--</v>
      </c>
      <c r="M226" s="38">
        <f>IF(AND(1+$Q$6&gt;H226,1-$Q$6&lt;H226,1+$Q$6&gt;I226,1-$Q$6&lt;I226,1+$Q$6&gt;J226,1-$Q$6&lt;J226,1+$Q$6&gt;K226,1-$Q$6&lt;K226,1+$Q$6&gt;L226,1-$Q$6&lt;L226),IF(SUM($M$2:M225)=0,1,0),0)</f>
        <v>0</v>
      </c>
      <c r="N226" s="38">
        <f>IF(AND(1+$Q$7&gt;H226,1-$Q$7&lt;H226,1+$Q$7&gt;I226,1-$Q$7&lt;I226,1+$Q$7&gt;J226,1-$Q$7&lt;J226,1+$Q$7&gt;K226,1-$Q$7&lt;K226,1+$Q$7&gt;L226,1-$Q$7&lt;L226),IF(SUM($N$2:N225)=0,1,0),0)</f>
        <v>0</v>
      </c>
      <c r="O226" s="34">
        <f t="shared" si="3"/>
        <v>0</v>
      </c>
    </row>
    <row r="227" spans="8:15" ht="20.100000000000001" customHeight="1" x14ac:dyDescent="0.25">
      <c r="H227" s="43" t="str">
        <f>IFERROR(ABS(C227/VLOOKUP(2*$B227,$B228:C261,2,TRUE)),"--")</f>
        <v>--</v>
      </c>
      <c r="I227" s="43" t="str">
        <f>IFERROR(ABS(D227/VLOOKUP(2*$B227,$B228:D261,3,TRUE)),"--")</f>
        <v>--</v>
      </c>
      <c r="J227" s="43" t="str">
        <f>IFERROR(ABS(E227/VLOOKUP(2*$B227,$B228:E261,4,TRUE)),"--")</f>
        <v>--</v>
      </c>
      <c r="K227" s="43" t="str">
        <f>IFERROR(ABS(F227/VLOOKUP(2*$B227,$B228:F261,5,TRUE)),"--")</f>
        <v>--</v>
      </c>
      <c r="L227" s="43" t="str">
        <f>IFERROR(ABS(G227/VLOOKUP(2*$B227,$B228:G261,6,TRUE)),"--")</f>
        <v>--</v>
      </c>
      <c r="M227" s="38">
        <f>IF(AND(1+$Q$6&gt;H227,1-$Q$6&lt;H227,1+$Q$6&gt;I227,1-$Q$6&lt;I227,1+$Q$6&gt;J227,1-$Q$6&lt;J227,1+$Q$6&gt;K227,1-$Q$6&lt;K227,1+$Q$6&gt;L227,1-$Q$6&lt;L227),IF(SUM($M$2:M226)=0,1,0),0)</f>
        <v>0</v>
      </c>
      <c r="N227" s="38">
        <f>IF(AND(1+$Q$7&gt;H227,1-$Q$7&lt;H227,1+$Q$7&gt;I227,1-$Q$7&lt;I227,1+$Q$7&gt;J227,1-$Q$7&lt;J227,1+$Q$7&gt;K227,1-$Q$7&lt;K227,1+$Q$7&gt;L227,1-$Q$7&lt;L227),IF(SUM($N$2:N226)=0,1,0),0)</f>
        <v>0</v>
      </c>
      <c r="O227" s="34">
        <f t="shared" si="3"/>
        <v>0</v>
      </c>
    </row>
    <row r="228" spans="8:15" ht="20.100000000000001" customHeight="1" x14ac:dyDescent="0.25">
      <c r="H228" s="43" t="str">
        <f>IFERROR(ABS(C228/VLOOKUP(2*$B228,$B229:C262,2,TRUE)),"--")</f>
        <v>--</v>
      </c>
      <c r="I228" s="43" t="str">
        <f>IFERROR(ABS(D228/VLOOKUP(2*$B228,$B229:D262,3,TRUE)),"--")</f>
        <v>--</v>
      </c>
      <c r="J228" s="43" t="str">
        <f>IFERROR(ABS(E228/VLOOKUP(2*$B228,$B229:E262,4,TRUE)),"--")</f>
        <v>--</v>
      </c>
      <c r="K228" s="43" t="str">
        <f>IFERROR(ABS(F228/VLOOKUP(2*$B228,$B229:F262,5,TRUE)),"--")</f>
        <v>--</v>
      </c>
      <c r="L228" s="43" t="str">
        <f>IFERROR(ABS(G228/VLOOKUP(2*$B228,$B229:G262,6,TRUE)),"--")</f>
        <v>--</v>
      </c>
      <c r="M228" s="38">
        <f>IF(AND(1+$Q$6&gt;H228,1-$Q$6&lt;H228,1+$Q$6&gt;I228,1-$Q$6&lt;I228,1+$Q$6&gt;J228,1-$Q$6&lt;J228,1+$Q$6&gt;K228,1-$Q$6&lt;K228,1+$Q$6&gt;L228,1-$Q$6&lt;L228),IF(SUM($M$2:M227)=0,1,0),0)</f>
        <v>0</v>
      </c>
      <c r="N228" s="38">
        <f>IF(AND(1+$Q$7&gt;H228,1-$Q$7&lt;H228,1+$Q$7&gt;I228,1-$Q$7&lt;I228,1+$Q$7&gt;J228,1-$Q$7&lt;J228,1+$Q$7&gt;K228,1-$Q$7&lt;K228,1+$Q$7&gt;L228,1-$Q$7&lt;L228),IF(SUM($N$2:N227)=0,1,0),0)</f>
        <v>0</v>
      </c>
      <c r="O228" s="34">
        <f t="shared" si="3"/>
        <v>0</v>
      </c>
    </row>
    <row r="229" spans="8:15" ht="20.100000000000001" customHeight="1" x14ac:dyDescent="0.25">
      <c r="H229" s="43" t="str">
        <f>IFERROR(ABS(C229/VLOOKUP(2*$B229,$B230:C263,2,TRUE)),"--")</f>
        <v>--</v>
      </c>
      <c r="I229" s="43" t="str">
        <f>IFERROR(ABS(D229/VLOOKUP(2*$B229,$B230:D263,3,TRUE)),"--")</f>
        <v>--</v>
      </c>
      <c r="J229" s="43" t="str">
        <f>IFERROR(ABS(E229/VLOOKUP(2*$B229,$B230:E263,4,TRUE)),"--")</f>
        <v>--</v>
      </c>
      <c r="K229" s="43" t="str">
        <f>IFERROR(ABS(F229/VLOOKUP(2*$B229,$B230:F263,5,TRUE)),"--")</f>
        <v>--</v>
      </c>
      <c r="L229" s="43" t="str">
        <f>IFERROR(ABS(G229/VLOOKUP(2*$B229,$B230:G263,6,TRUE)),"--")</f>
        <v>--</v>
      </c>
      <c r="M229" s="38">
        <f>IF(AND(1+$Q$6&gt;H229,1-$Q$6&lt;H229,1+$Q$6&gt;I229,1-$Q$6&lt;I229,1+$Q$6&gt;J229,1-$Q$6&lt;J229,1+$Q$6&gt;K229,1-$Q$6&lt;K229,1+$Q$6&gt;L229,1-$Q$6&lt;L229),IF(SUM($M$2:M228)=0,1,0),0)</f>
        <v>0</v>
      </c>
      <c r="N229" s="38">
        <f>IF(AND(1+$Q$7&gt;H229,1-$Q$7&lt;H229,1+$Q$7&gt;I229,1-$Q$7&lt;I229,1+$Q$7&gt;J229,1-$Q$7&lt;J229,1+$Q$7&gt;K229,1-$Q$7&lt;K229,1+$Q$7&gt;L229,1-$Q$7&lt;L229),IF(SUM($N$2:N228)=0,1,0),0)</f>
        <v>0</v>
      </c>
      <c r="O229" s="34">
        <f t="shared" si="3"/>
        <v>0</v>
      </c>
    </row>
    <row r="230" spans="8:15" ht="20.100000000000001" customHeight="1" x14ac:dyDescent="0.25">
      <c r="H230" s="43" t="str">
        <f>IFERROR(ABS(C230/VLOOKUP(2*$B230,$B231:C264,2,TRUE)),"--")</f>
        <v>--</v>
      </c>
      <c r="I230" s="43" t="str">
        <f>IFERROR(ABS(D230/VLOOKUP(2*$B230,$B231:D264,3,TRUE)),"--")</f>
        <v>--</v>
      </c>
      <c r="J230" s="43" t="str">
        <f>IFERROR(ABS(E230/VLOOKUP(2*$B230,$B231:E264,4,TRUE)),"--")</f>
        <v>--</v>
      </c>
      <c r="K230" s="43" t="str">
        <f>IFERROR(ABS(F230/VLOOKUP(2*$B230,$B231:F264,5,TRUE)),"--")</f>
        <v>--</v>
      </c>
      <c r="L230" s="43" t="str">
        <f>IFERROR(ABS(G230/VLOOKUP(2*$B230,$B231:G264,6,TRUE)),"--")</f>
        <v>--</v>
      </c>
      <c r="M230" s="38">
        <f>IF(AND(1+$Q$6&gt;H230,1-$Q$6&lt;H230,1+$Q$6&gt;I230,1-$Q$6&lt;I230,1+$Q$6&gt;J230,1-$Q$6&lt;J230,1+$Q$6&gt;K230,1-$Q$6&lt;K230,1+$Q$6&gt;L230,1-$Q$6&lt;L230),IF(SUM($M$2:M229)=0,1,0),0)</f>
        <v>0</v>
      </c>
      <c r="N230" s="38">
        <f>IF(AND(1+$Q$7&gt;H230,1-$Q$7&lt;H230,1+$Q$7&gt;I230,1-$Q$7&lt;I230,1+$Q$7&gt;J230,1-$Q$7&lt;J230,1+$Q$7&gt;K230,1-$Q$7&lt;K230,1+$Q$7&gt;L230,1-$Q$7&lt;L230),IF(SUM($N$2:N229)=0,1,0),0)</f>
        <v>0</v>
      </c>
      <c r="O230" s="34">
        <f t="shared" si="3"/>
        <v>0</v>
      </c>
    </row>
    <row r="231" spans="8:15" ht="20.100000000000001" customHeight="1" x14ac:dyDescent="0.25">
      <c r="H231" s="43" t="str">
        <f>IFERROR(ABS(C231/VLOOKUP(2*$B231,$B232:C265,2,TRUE)),"--")</f>
        <v>--</v>
      </c>
      <c r="I231" s="43" t="str">
        <f>IFERROR(ABS(D231/VLOOKUP(2*$B231,$B232:D265,3,TRUE)),"--")</f>
        <v>--</v>
      </c>
      <c r="J231" s="43" t="str">
        <f>IFERROR(ABS(E231/VLOOKUP(2*$B231,$B232:E265,4,TRUE)),"--")</f>
        <v>--</v>
      </c>
      <c r="K231" s="43" t="str">
        <f>IFERROR(ABS(F231/VLOOKUP(2*$B231,$B232:F265,5,TRUE)),"--")</f>
        <v>--</v>
      </c>
      <c r="L231" s="43" t="str">
        <f>IFERROR(ABS(G231/VLOOKUP(2*$B231,$B232:G265,6,TRUE)),"--")</f>
        <v>--</v>
      </c>
      <c r="M231" s="38">
        <f>IF(AND(1+$Q$6&gt;H231,1-$Q$6&lt;H231,1+$Q$6&gt;I231,1-$Q$6&lt;I231,1+$Q$6&gt;J231,1-$Q$6&lt;J231,1+$Q$6&gt;K231,1-$Q$6&lt;K231,1+$Q$6&gt;L231,1-$Q$6&lt;L231),IF(SUM($M$2:M230)=0,1,0),0)</f>
        <v>0</v>
      </c>
      <c r="N231" s="38">
        <f>IF(AND(1+$Q$7&gt;H231,1-$Q$7&lt;H231,1+$Q$7&gt;I231,1-$Q$7&lt;I231,1+$Q$7&gt;J231,1-$Q$7&lt;J231,1+$Q$7&gt;K231,1-$Q$7&lt;K231,1+$Q$7&gt;L231,1-$Q$7&lt;L231),IF(SUM($N$2:N230)=0,1,0),0)</f>
        <v>0</v>
      </c>
      <c r="O231" s="34">
        <f t="shared" si="3"/>
        <v>0</v>
      </c>
    </row>
    <row r="232" spans="8:15" ht="20.100000000000001" customHeight="1" x14ac:dyDescent="0.25">
      <c r="H232" s="43" t="str">
        <f>IFERROR(ABS(C232/VLOOKUP(2*$B232,$B233:C266,2,TRUE)),"--")</f>
        <v>--</v>
      </c>
      <c r="I232" s="43" t="str">
        <f>IFERROR(ABS(D232/VLOOKUP(2*$B232,$B233:D266,3,TRUE)),"--")</f>
        <v>--</v>
      </c>
      <c r="J232" s="43" t="str">
        <f>IFERROR(ABS(E232/VLOOKUP(2*$B232,$B233:E266,4,TRUE)),"--")</f>
        <v>--</v>
      </c>
      <c r="K232" s="43" t="str">
        <f>IFERROR(ABS(F232/VLOOKUP(2*$B232,$B233:F266,5,TRUE)),"--")</f>
        <v>--</v>
      </c>
      <c r="L232" s="43" t="str">
        <f>IFERROR(ABS(G232/VLOOKUP(2*$B232,$B233:G266,6,TRUE)),"--")</f>
        <v>--</v>
      </c>
      <c r="M232" s="38">
        <f>IF(AND(1+$Q$6&gt;H232,1-$Q$6&lt;H232,1+$Q$6&gt;I232,1-$Q$6&lt;I232,1+$Q$6&gt;J232,1-$Q$6&lt;J232,1+$Q$6&gt;K232,1-$Q$6&lt;K232,1+$Q$6&gt;L232,1-$Q$6&lt;L232),IF(SUM($M$2:M231)=0,1,0),0)</f>
        <v>0</v>
      </c>
      <c r="N232" s="38">
        <f>IF(AND(1+$Q$7&gt;H232,1-$Q$7&lt;H232,1+$Q$7&gt;I232,1-$Q$7&lt;I232,1+$Q$7&gt;J232,1-$Q$7&lt;J232,1+$Q$7&gt;K232,1-$Q$7&lt;K232,1+$Q$7&gt;L232,1-$Q$7&lt;L232),IF(SUM($N$2:N231)=0,1,0),0)</f>
        <v>0</v>
      </c>
      <c r="O232" s="34">
        <f t="shared" si="3"/>
        <v>0</v>
      </c>
    </row>
    <row r="233" spans="8:15" ht="20.100000000000001" customHeight="1" x14ac:dyDescent="0.25">
      <c r="H233" s="43" t="str">
        <f>IFERROR(ABS(C233/VLOOKUP(2*$B233,$B234:C267,2,TRUE)),"--")</f>
        <v>--</v>
      </c>
      <c r="I233" s="43" t="str">
        <f>IFERROR(ABS(D233/VLOOKUP(2*$B233,$B234:D267,3,TRUE)),"--")</f>
        <v>--</v>
      </c>
      <c r="J233" s="43" t="str">
        <f>IFERROR(ABS(E233/VLOOKUP(2*$B233,$B234:E267,4,TRUE)),"--")</f>
        <v>--</v>
      </c>
      <c r="K233" s="43" t="str">
        <f>IFERROR(ABS(F233/VLOOKUP(2*$B233,$B234:F267,5,TRUE)),"--")</f>
        <v>--</v>
      </c>
      <c r="L233" s="43" t="str">
        <f>IFERROR(ABS(G233/VLOOKUP(2*$B233,$B234:G267,6,TRUE)),"--")</f>
        <v>--</v>
      </c>
      <c r="M233" s="38">
        <f>IF(AND(1+$Q$6&gt;H233,1-$Q$6&lt;H233,1+$Q$6&gt;I233,1-$Q$6&lt;I233,1+$Q$6&gt;J233,1-$Q$6&lt;J233,1+$Q$6&gt;K233,1-$Q$6&lt;K233,1+$Q$6&gt;L233,1-$Q$6&lt;L233),IF(SUM($M$2:M232)=0,1,0),0)</f>
        <v>0</v>
      </c>
      <c r="N233" s="38">
        <f>IF(AND(1+$Q$7&gt;H233,1-$Q$7&lt;H233,1+$Q$7&gt;I233,1-$Q$7&lt;I233,1+$Q$7&gt;J233,1-$Q$7&lt;J233,1+$Q$7&gt;K233,1-$Q$7&lt;K233,1+$Q$7&gt;L233,1-$Q$7&lt;L233),IF(SUM($N$2:N232)=0,1,0),0)</f>
        <v>0</v>
      </c>
      <c r="O233" s="34">
        <f t="shared" si="3"/>
        <v>0</v>
      </c>
    </row>
    <row r="234" spans="8:15" ht="20.100000000000001" customHeight="1" x14ac:dyDescent="0.25">
      <c r="H234" s="43" t="str">
        <f>IFERROR(ABS(C234/VLOOKUP(2*$B234,$B235:C268,2,TRUE)),"--")</f>
        <v>--</v>
      </c>
      <c r="I234" s="43" t="str">
        <f>IFERROR(ABS(D234/VLOOKUP(2*$B234,$B235:D268,3,TRUE)),"--")</f>
        <v>--</v>
      </c>
      <c r="J234" s="43" t="str">
        <f>IFERROR(ABS(E234/VLOOKUP(2*$B234,$B235:E268,4,TRUE)),"--")</f>
        <v>--</v>
      </c>
      <c r="K234" s="43" t="str">
        <f>IFERROR(ABS(F234/VLOOKUP(2*$B234,$B235:F268,5,TRUE)),"--")</f>
        <v>--</v>
      </c>
      <c r="L234" s="43" t="str">
        <f>IFERROR(ABS(G234/VLOOKUP(2*$B234,$B235:G268,6,TRUE)),"--")</f>
        <v>--</v>
      </c>
      <c r="M234" s="38">
        <f>IF(AND(1+$Q$6&gt;H234,1-$Q$6&lt;H234,1+$Q$6&gt;I234,1-$Q$6&lt;I234,1+$Q$6&gt;J234,1-$Q$6&lt;J234,1+$Q$6&gt;K234,1-$Q$6&lt;K234,1+$Q$6&gt;L234,1-$Q$6&lt;L234),IF(SUM($M$2:M233)=0,1,0),0)</f>
        <v>0</v>
      </c>
      <c r="N234" s="38">
        <f>IF(AND(1+$Q$7&gt;H234,1-$Q$7&lt;H234,1+$Q$7&gt;I234,1-$Q$7&lt;I234,1+$Q$7&gt;J234,1-$Q$7&lt;J234,1+$Q$7&gt;K234,1-$Q$7&lt;K234,1+$Q$7&gt;L234,1-$Q$7&lt;L234),IF(SUM($N$2:N233)=0,1,0),0)</f>
        <v>0</v>
      </c>
      <c r="O234" s="34">
        <f t="shared" si="3"/>
        <v>0</v>
      </c>
    </row>
    <row r="235" spans="8:15" ht="20.100000000000001" customHeight="1" x14ac:dyDescent="0.25">
      <c r="H235" s="43" t="str">
        <f>IFERROR(ABS(C235/VLOOKUP(2*$B235,$B236:C269,2,TRUE)),"--")</f>
        <v>--</v>
      </c>
      <c r="I235" s="43" t="str">
        <f>IFERROR(ABS(D235/VLOOKUP(2*$B235,$B236:D269,3,TRUE)),"--")</f>
        <v>--</v>
      </c>
      <c r="J235" s="43" t="str">
        <f>IFERROR(ABS(E235/VLOOKUP(2*$B235,$B236:E269,4,TRUE)),"--")</f>
        <v>--</v>
      </c>
      <c r="K235" s="43" t="str">
        <f>IFERROR(ABS(F235/VLOOKUP(2*$B235,$B236:F269,5,TRUE)),"--")</f>
        <v>--</v>
      </c>
      <c r="L235" s="43" t="str">
        <f>IFERROR(ABS(G235/VLOOKUP(2*$B235,$B236:G269,6,TRUE)),"--")</f>
        <v>--</v>
      </c>
      <c r="M235" s="38">
        <f>IF(AND(1+$Q$6&gt;H235,1-$Q$6&lt;H235,1+$Q$6&gt;I235,1-$Q$6&lt;I235,1+$Q$6&gt;J235,1-$Q$6&lt;J235,1+$Q$6&gt;K235,1-$Q$6&lt;K235,1+$Q$6&gt;L235,1-$Q$6&lt;L235),IF(SUM($M$2:M234)=0,1,0),0)</f>
        <v>0</v>
      </c>
      <c r="N235" s="38">
        <f>IF(AND(1+$Q$7&gt;H235,1-$Q$7&lt;H235,1+$Q$7&gt;I235,1-$Q$7&lt;I235,1+$Q$7&gt;J235,1-$Q$7&lt;J235,1+$Q$7&gt;K235,1-$Q$7&lt;K235,1+$Q$7&gt;L235,1-$Q$7&lt;L235),IF(SUM($N$2:N234)=0,1,0),0)</f>
        <v>0</v>
      </c>
      <c r="O235" s="34">
        <f t="shared" si="3"/>
        <v>0</v>
      </c>
    </row>
    <row r="236" spans="8:15" ht="20.100000000000001" customHeight="1" x14ac:dyDescent="0.25">
      <c r="H236" s="43" t="str">
        <f>IFERROR(ABS(C236/VLOOKUP(2*$B236,$B237:C270,2,TRUE)),"--")</f>
        <v>--</v>
      </c>
      <c r="I236" s="43" t="str">
        <f>IFERROR(ABS(D236/VLOOKUP(2*$B236,$B237:D270,3,TRUE)),"--")</f>
        <v>--</v>
      </c>
      <c r="J236" s="43" t="str">
        <f>IFERROR(ABS(E236/VLOOKUP(2*$B236,$B237:E270,4,TRUE)),"--")</f>
        <v>--</v>
      </c>
      <c r="K236" s="43" t="str">
        <f>IFERROR(ABS(F236/VLOOKUP(2*$B236,$B237:F270,5,TRUE)),"--")</f>
        <v>--</v>
      </c>
      <c r="L236" s="43" t="str">
        <f>IFERROR(ABS(G236/VLOOKUP(2*$B236,$B237:G270,6,TRUE)),"--")</f>
        <v>--</v>
      </c>
      <c r="M236" s="38">
        <f>IF(AND(1+$Q$6&gt;H236,1-$Q$6&lt;H236,1+$Q$6&gt;I236,1-$Q$6&lt;I236,1+$Q$6&gt;J236,1-$Q$6&lt;J236,1+$Q$6&gt;K236,1-$Q$6&lt;K236,1+$Q$6&gt;L236,1-$Q$6&lt;L236),IF(SUM($M$2:M235)=0,1,0),0)</f>
        <v>0</v>
      </c>
      <c r="N236" s="38">
        <f>IF(AND(1+$Q$7&gt;H236,1-$Q$7&lt;H236,1+$Q$7&gt;I236,1-$Q$7&lt;I236,1+$Q$7&gt;J236,1-$Q$7&lt;J236,1+$Q$7&gt;K236,1-$Q$7&lt;K236,1+$Q$7&gt;L236,1-$Q$7&lt;L236),IF(SUM($N$2:N235)=0,1,0),0)</f>
        <v>0</v>
      </c>
      <c r="O236" s="34">
        <f t="shared" si="3"/>
        <v>0</v>
      </c>
    </row>
    <row r="237" spans="8:15" ht="20.100000000000001" customHeight="1" x14ac:dyDescent="0.25">
      <c r="H237" s="43" t="str">
        <f>IFERROR(ABS(C237/VLOOKUP(2*$B237,$B238:C271,2,TRUE)),"--")</f>
        <v>--</v>
      </c>
      <c r="I237" s="43" t="str">
        <f>IFERROR(ABS(D237/VLOOKUP(2*$B237,$B238:D271,3,TRUE)),"--")</f>
        <v>--</v>
      </c>
      <c r="J237" s="43" t="str">
        <f>IFERROR(ABS(E237/VLOOKUP(2*$B237,$B238:E271,4,TRUE)),"--")</f>
        <v>--</v>
      </c>
      <c r="K237" s="43" t="str">
        <f>IFERROR(ABS(F237/VLOOKUP(2*$B237,$B238:F271,5,TRUE)),"--")</f>
        <v>--</v>
      </c>
      <c r="L237" s="43" t="str">
        <f>IFERROR(ABS(G237/VLOOKUP(2*$B237,$B238:G271,6,TRUE)),"--")</f>
        <v>--</v>
      </c>
      <c r="M237" s="38">
        <f>IF(AND(1+$Q$6&gt;H237,1-$Q$6&lt;H237,1+$Q$6&gt;I237,1-$Q$6&lt;I237,1+$Q$6&gt;J237,1-$Q$6&lt;J237,1+$Q$6&gt;K237,1-$Q$6&lt;K237,1+$Q$6&gt;L237,1-$Q$6&lt;L237),IF(SUM($M$2:M236)=0,1,0),0)</f>
        <v>0</v>
      </c>
      <c r="N237" s="38">
        <f>IF(AND(1+$Q$7&gt;H237,1-$Q$7&lt;H237,1+$Q$7&gt;I237,1-$Q$7&lt;I237,1+$Q$7&gt;J237,1-$Q$7&lt;J237,1+$Q$7&gt;K237,1-$Q$7&lt;K237,1+$Q$7&gt;L237,1-$Q$7&lt;L237),IF(SUM($N$2:N236)=0,1,0),0)</f>
        <v>0</v>
      </c>
      <c r="O237" s="34">
        <f t="shared" si="3"/>
        <v>0</v>
      </c>
    </row>
    <row r="238" spans="8:15" ht="20.100000000000001" customHeight="1" x14ac:dyDescent="0.25">
      <c r="H238" s="43" t="str">
        <f>IFERROR(ABS(C238/VLOOKUP(2*$B238,$B239:C272,2,TRUE)),"--")</f>
        <v>--</v>
      </c>
      <c r="I238" s="43" t="str">
        <f>IFERROR(ABS(D238/VLOOKUP(2*$B238,$B239:D272,3,TRUE)),"--")</f>
        <v>--</v>
      </c>
      <c r="J238" s="43" t="str">
        <f>IFERROR(ABS(E238/VLOOKUP(2*$B238,$B239:E272,4,TRUE)),"--")</f>
        <v>--</v>
      </c>
      <c r="K238" s="43" t="str">
        <f>IFERROR(ABS(F238/VLOOKUP(2*$B238,$B239:F272,5,TRUE)),"--")</f>
        <v>--</v>
      </c>
      <c r="L238" s="43" t="str">
        <f>IFERROR(ABS(G238/VLOOKUP(2*$B238,$B239:G272,6,TRUE)),"--")</f>
        <v>--</v>
      </c>
      <c r="M238" s="38">
        <f>IF(AND(1+$Q$6&gt;H238,1-$Q$6&lt;H238,1+$Q$6&gt;I238,1-$Q$6&lt;I238,1+$Q$6&gt;J238,1-$Q$6&lt;J238,1+$Q$6&gt;K238,1-$Q$6&lt;K238,1+$Q$6&gt;L238,1-$Q$6&lt;L238),IF(SUM($M$2:M237)=0,1,0),0)</f>
        <v>0</v>
      </c>
      <c r="N238" s="38">
        <f>IF(AND(1+$Q$7&gt;H238,1-$Q$7&lt;H238,1+$Q$7&gt;I238,1-$Q$7&lt;I238,1+$Q$7&gt;J238,1-$Q$7&lt;J238,1+$Q$7&gt;K238,1-$Q$7&lt;K238,1+$Q$7&gt;L238,1-$Q$7&lt;L238),IF(SUM($N$2:N237)=0,1,0),0)</f>
        <v>0</v>
      </c>
      <c r="O238" s="34">
        <f t="shared" si="3"/>
        <v>0</v>
      </c>
    </row>
    <row r="239" spans="8:15" ht="20.100000000000001" customHeight="1" x14ac:dyDescent="0.25">
      <c r="H239" s="43" t="str">
        <f>IFERROR(ABS(C239/VLOOKUP(2*$B239,$B240:C273,2,TRUE)),"--")</f>
        <v>--</v>
      </c>
      <c r="I239" s="43" t="str">
        <f>IFERROR(ABS(D239/VLOOKUP(2*$B239,$B240:D273,3,TRUE)),"--")</f>
        <v>--</v>
      </c>
      <c r="J239" s="43" t="str">
        <f>IFERROR(ABS(E239/VLOOKUP(2*$B239,$B240:E273,4,TRUE)),"--")</f>
        <v>--</v>
      </c>
      <c r="K239" s="43" t="str">
        <f>IFERROR(ABS(F239/VLOOKUP(2*$B239,$B240:F273,5,TRUE)),"--")</f>
        <v>--</v>
      </c>
      <c r="L239" s="43" t="str">
        <f>IFERROR(ABS(G239/VLOOKUP(2*$B239,$B240:G273,6,TRUE)),"--")</f>
        <v>--</v>
      </c>
      <c r="M239" s="38">
        <f>IF(AND(1+$Q$6&gt;H239,1-$Q$6&lt;H239,1+$Q$6&gt;I239,1-$Q$6&lt;I239,1+$Q$6&gt;J239,1-$Q$6&lt;J239,1+$Q$6&gt;K239,1-$Q$6&lt;K239,1+$Q$6&gt;L239,1-$Q$6&lt;L239),IF(SUM($M$2:M238)=0,1,0),0)</f>
        <v>0</v>
      </c>
      <c r="N239" s="38">
        <f>IF(AND(1+$Q$7&gt;H239,1-$Q$7&lt;H239,1+$Q$7&gt;I239,1-$Q$7&lt;I239,1+$Q$7&gt;J239,1-$Q$7&lt;J239,1+$Q$7&gt;K239,1-$Q$7&lt;K239,1+$Q$7&gt;L239,1-$Q$7&lt;L239),IF(SUM($N$2:N238)=0,1,0),0)</f>
        <v>0</v>
      </c>
      <c r="O239" s="34">
        <f t="shared" si="3"/>
        <v>0</v>
      </c>
    </row>
    <row r="240" spans="8:15" ht="20.100000000000001" customHeight="1" x14ac:dyDescent="0.25">
      <c r="H240" s="43" t="str">
        <f>IFERROR(ABS(C240/VLOOKUP(2*$B240,$B241:C274,2,TRUE)),"--")</f>
        <v>--</v>
      </c>
      <c r="I240" s="43" t="str">
        <f>IFERROR(ABS(D240/VLOOKUP(2*$B240,$B241:D274,3,TRUE)),"--")</f>
        <v>--</v>
      </c>
      <c r="J240" s="43" t="str">
        <f>IFERROR(ABS(E240/VLOOKUP(2*$B240,$B241:E274,4,TRUE)),"--")</f>
        <v>--</v>
      </c>
      <c r="K240" s="43" t="str">
        <f>IFERROR(ABS(F240/VLOOKUP(2*$B240,$B241:F274,5,TRUE)),"--")</f>
        <v>--</v>
      </c>
      <c r="L240" s="43" t="str">
        <f>IFERROR(ABS(G240/VLOOKUP(2*$B240,$B241:G274,6,TRUE)),"--")</f>
        <v>--</v>
      </c>
      <c r="M240" s="38">
        <f>IF(AND(1+$Q$6&gt;H240,1-$Q$6&lt;H240,1+$Q$6&gt;I240,1-$Q$6&lt;I240,1+$Q$6&gt;J240,1-$Q$6&lt;J240,1+$Q$6&gt;K240,1-$Q$6&lt;K240,1+$Q$6&gt;L240,1-$Q$6&lt;L240),IF(SUM($M$2:M239)=0,1,0),0)</f>
        <v>0</v>
      </c>
      <c r="N240" s="38">
        <f>IF(AND(1+$Q$7&gt;H240,1-$Q$7&lt;H240,1+$Q$7&gt;I240,1-$Q$7&lt;I240,1+$Q$7&gt;J240,1-$Q$7&lt;J240,1+$Q$7&gt;K240,1-$Q$7&lt;K240,1+$Q$7&gt;L240,1-$Q$7&lt;L240),IF(SUM($N$2:N239)=0,1,0),0)</f>
        <v>0</v>
      </c>
      <c r="O240" s="34">
        <f t="shared" si="3"/>
        <v>0</v>
      </c>
    </row>
    <row r="241" spans="8:15" ht="20.100000000000001" customHeight="1" x14ac:dyDescent="0.25">
      <c r="H241" s="43" t="str">
        <f>IFERROR(ABS(C241/VLOOKUP(2*$B241,$B242:C275,2,TRUE)),"--")</f>
        <v>--</v>
      </c>
      <c r="I241" s="43" t="str">
        <f>IFERROR(ABS(D241/VLOOKUP(2*$B241,$B242:D275,3,TRUE)),"--")</f>
        <v>--</v>
      </c>
      <c r="J241" s="43" t="str">
        <f>IFERROR(ABS(E241/VLOOKUP(2*$B241,$B242:E275,4,TRUE)),"--")</f>
        <v>--</v>
      </c>
      <c r="K241" s="43" t="str">
        <f>IFERROR(ABS(F241/VLOOKUP(2*$B241,$B242:F275,5,TRUE)),"--")</f>
        <v>--</v>
      </c>
      <c r="L241" s="43" t="str">
        <f>IFERROR(ABS(G241/VLOOKUP(2*$B241,$B242:G275,6,TRUE)),"--")</f>
        <v>--</v>
      </c>
      <c r="M241" s="38">
        <f>IF(AND(1+$Q$6&gt;H241,1-$Q$6&lt;H241,1+$Q$6&gt;I241,1-$Q$6&lt;I241,1+$Q$6&gt;J241,1-$Q$6&lt;J241,1+$Q$6&gt;K241,1-$Q$6&lt;K241,1+$Q$6&gt;L241,1-$Q$6&lt;L241),IF(SUM($M$2:M240)=0,1,0),0)</f>
        <v>0</v>
      </c>
      <c r="N241" s="38">
        <f>IF(AND(1+$Q$7&gt;H241,1-$Q$7&lt;H241,1+$Q$7&gt;I241,1-$Q$7&lt;I241,1+$Q$7&gt;J241,1-$Q$7&lt;J241,1+$Q$7&gt;K241,1-$Q$7&lt;K241,1+$Q$7&gt;L241,1-$Q$7&lt;L241),IF(SUM($N$2:N240)=0,1,0),0)</f>
        <v>0</v>
      </c>
      <c r="O241" s="34">
        <f t="shared" si="3"/>
        <v>0</v>
      </c>
    </row>
    <row r="242" spans="8:15" ht="20.100000000000001" customHeight="1" x14ac:dyDescent="0.25">
      <c r="H242" s="43" t="str">
        <f>IFERROR(ABS(C242/VLOOKUP(2*$B242,$B243:C276,2,TRUE)),"--")</f>
        <v>--</v>
      </c>
      <c r="I242" s="43" t="str">
        <f>IFERROR(ABS(D242/VLOOKUP(2*$B242,$B243:D276,3,TRUE)),"--")</f>
        <v>--</v>
      </c>
      <c r="J242" s="43" t="str">
        <f>IFERROR(ABS(E242/VLOOKUP(2*$B242,$B243:E276,4,TRUE)),"--")</f>
        <v>--</v>
      </c>
      <c r="K242" s="43" t="str">
        <f>IFERROR(ABS(F242/VLOOKUP(2*$B242,$B243:F276,5,TRUE)),"--")</f>
        <v>--</v>
      </c>
      <c r="L242" s="43" t="str">
        <f>IFERROR(ABS(G242/VLOOKUP(2*$B242,$B243:G276,6,TRUE)),"--")</f>
        <v>--</v>
      </c>
      <c r="M242" s="38">
        <f>IF(AND(1+$Q$6&gt;H242,1-$Q$6&lt;H242,1+$Q$6&gt;I242,1-$Q$6&lt;I242,1+$Q$6&gt;J242,1-$Q$6&lt;J242,1+$Q$6&gt;K242,1-$Q$6&lt;K242,1+$Q$6&gt;L242,1-$Q$6&lt;L242),IF(SUM($M$2:M241)=0,1,0),0)</f>
        <v>0</v>
      </c>
      <c r="N242" s="38">
        <f>IF(AND(1+$Q$7&gt;H242,1-$Q$7&lt;H242,1+$Q$7&gt;I242,1-$Q$7&lt;I242,1+$Q$7&gt;J242,1-$Q$7&lt;J242,1+$Q$7&gt;K242,1-$Q$7&lt;K242,1+$Q$7&gt;L242,1-$Q$7&lt;L242),IF(SUM($N$2:N241)=0,1,0),0)</f>
        <v>0</v>
      </c>
      <c r="O242" s="34">
        <f t="shared" si="3"/>
        <v>0</v>
      </c>
    </row>
    <row r="243" spans="8:15" ht="20.100000000000001" customHeight="1" x14ac:dyDescent="0.25">
      <c r="H243" s="43" t="str">
        <f>IFERROR(ABS(C243/VLOOKUP(2*$B243,$B244:C277,2,TRUE)),"--")</f>
        <v>--</v>
      </c>
      <c r="I243" s="43" t="str">
        <f>IFERROR(ABS(D243/VLOOKUP(2*$B243,$B244:D277,3,TRUE)),"--")</f>
        <v>--</v>
      </c>
      <c r="J243" s="43" t="str">
        <f>IFERROR(ABS(E243/VLOOKUP(2*$B243,$B244:E277,4,TRUE)),"--")</f>
        <v>--</v>
      </c>
      <c r="K243" s="43" t="str">
        <f>IFERROR(ABS(F243/VLOOKUP(2*$B243,$B244:F277,5,TRUE)),"--")</f>
        <v>--</v>
      </c>
      <c r="L243" s="43" t="str">
        <f>IFERROR(ABS(G243/VLOOKUP(2*$B243,$B244:G277,6,TRUE)),"--")</f>
        <v>--</v>
      </c>
      <c r="M243" s="38">
        <f>IF(AND(1+$Q$6&gt;H243,1-$Q$6&lt;H243,1+$Q$6&gt;I243,1-$Q$6&lt;I243,1+$Q$6&gt;J243,1-$Q$6&lt;J243,1+$Q$6&gt;K243,1-$Q$6&lt;K243,1+$Q$6&gt;L243,1-$Q$6&lt;L243),IF(SUM($M$2:M242)=0,1,0),0)</f>
        <v>0</v>
      </c>
      <c r="N243" s="38">
        <f>IF(AND(1+$Q$7&gt;H243,1-$Q$7&lt;H243,1+$Q$7&gt;I243,1-$Q$7&lt;I243,1+$Q$7&gt;J243,1-$Q$7&lt;J243,1+$Q$7&gt;K243,1-$Q$7&lt;K243,1+$Q$7&gt;L243,1-$Q$7&lt;L243),IF(SUM($N$2:N242)=0,1,0),0)</f>
        <v>0</v>
      </c>
      <c r="O243" s="34">
        <f t="shared" si="3"/>
        <v>0</v>
      </c>
    </row>
    <row r="244" spans="8:15" ht="20.100000000000001" customHeight="1" x14ac:dyDescent="0.25">
      <c r="H244" s="43" t="str">
        <f>IFERROR(ABS(C244/VLOOKUP(2*$B244,$B245:C278,2,TRUE)),"--")</f>
        <v>--</v>
      </c>
      <c r="I244" s="43" t="str">
        <f>IFERROR(ABS(D244/VLOOKUP(2*$B244,$B245:D278,3,TRUE)),"--")</f>
        <v>--</v>
      </c>
      <c r="J244" s="43" t="str">
        <f>IFERROR(ABS(E244/VLOOKUP(2*$B244,$B245:E278,4,TRUE)),"--")</f>
        <v>--</v>
      </c>
      <c r="K244" s="43" t="str">
        <f>IFERROR(ABS(F244/VLOOKUP(2*$B244,$B245:F278,5,TRUE)),"--")</f>
        <v>--</v>
      </c>
      <c r="L244" s="43" t="str">
        <f>IFERROR(ABS(G244/VLOOKUP(2*$B244,$B245:G278,6,TRUE)),"--")</f>
        <v>--</v>
      </c>
      <c r="M244" s="38">
        <f>IF(AND(1+$Q$6&gt;H244,1-$Q$6&lt;H244,1+$Q$6&gt;I244,1-$Q$6&lt;I244,1+$Q$6&gt;J244,1-$Q$6&lt;J244,1+$Q$6&gt;K244,1-$Q$6&lt;K244,1+$Q$6&gt;L244,1-$Q$6&lt;L244),IF(SUM($M$2:M243)=0,1,0),0)</f>
        <v>0</v>
      </c>
      <c r="N244" s="38">
        <f>IF(AND(1+$Q$7&gt;H244,1-$Q$7&lt;H244,1+$Q$7&gt;I244,1-$Q$7&lt;I244,1+$Q$7&gt;J244,1-$Q$7&lt;J244,1+$Q$7&gt;K244,1-$Q$7&lt;K244,1+$Q$7&gt;L244,1-$Q$7&lt;L244),IF(SUM($N$2:N243)=0,1,0),0)</f>
        <v>0</v>
      </c>
      <c r="O244" s="34">
        <f t="shared" si="3"/>
        <v>0</v>
      </c>
    </row>
    <row r="245" spans="8:15" ht="20.100000000000001" customHeight="1" x14ac:dyDescent="0.25">
      <c r="H245" s="43" t="str">
        <f>IFERROR(ABS(C245/VLOOKUP(2*$B245,$B246:C279,2,TRUE)),"--")</f>
        <v>--</v>
      </c>
      <c r="I245" s="43" t="str">
        <f>IFERROR(ABS(D245/VLOOKUP(2*$B245,$B246:D279,3,TRUE)),"--")</f>
        <v>--</v>
      </c>
      <c r="J245" s="43" t="str">
        <f>IFERROR(ABS(E245/VLOOKUP(2*$B245,$B246:E279,4,TRUE)),"--")</f>
        <v>--</v>
      </c>
      <c r="K245" s="43" t="str">
        <f>IFERROR(ABS(F245/VLOOKUP(2*$B245,$B246:F279,5,TRUE)),"--")</f>
        <v>--</v>
      </c>
      <c r="L245" s="43" t="str">
        <f>IFERROR(ABS(G245/VLOOKUP(2*$B245,$B246:G279,6,TRUE)),"--")</f>
        <v>--</v>
      </c>
      <c r="M245" s="38">
        <f>IF(AND(1+$Q$6&gt;H245,1-$Q$6&lt;H245,1+$Q$6&gt;I245,1-$Q$6&lt;I245,1+$Q$6&gt;J245,1-$Q$6&lt;J245,1+$Q$6&gt;K245,1-$Q$6&lt;K245,1+$Q$6&gt;L245,1-$Q$6&lt;L245),IF(SUM($M$2:M244)=0,1,0),0)</f>
        <v>0</v>
      </c>
      <c r="N245" s="38">
        <f>IF(AND(1+$Q$7&gt;H245,1-$Q$7&lt;H245,1+$Q$7&gt;I245,1-$Q$7&lt;I245,1+$Q$7&gt;J245,1-$Q$7&lt;J245,1+$Q$7&gt;K245,1-$Q$7&lt;K245,1+$Q$7&gt;L245,1-$Q$7&lt;L245),IF(SUM($N$2:N244)=0,1,0),0)</f>
        <v>0</v>
      </c>
      <c r="O245" s="34">
        <f t="shared" si="3"/>
        <v>0</v>
      </c>
    </row>
    <row r="246" spans="8:15" ht="20.100000000000001" customHeight="1" x14ac:dyDescent="0.25">
      <c r="H246" s="43" t="str">
        <f>IFERROR(ABS(C246/VLOOKUP(2*$B246,$B247:C280,2,TRUE)),"--")</f>
        <v>--</v>
      </c>
      <c r="I246" s="43" t="str">
        <f>IFERROR(ABS(D246/VLOOKUP(2*$B246,$B247:D280,3,TRUE)),"--")</f>
        <v>--</v>
      </c>
      <c r="J246" s="43" t="str">
        <f>IFERROR(ABS(E246/VLOOKUP(2*$B246,$B247:E280,4,TRUE)),"--")</f>
        <v>--</v>
      </c>
      <c r="K246" s="43" t="str">
        <f>IFERROR(ABS(F246/VLOOKUP(2*$B246,$B247:F280,5,TRUE)),"--")</f>
        <v>--</v>
      </c>
      <c r="L246" s="43" t="str">
        <f>IFERROR(ABS(G246/VLOOKUP(2*$B246,$B247:G280,6,TRUE)),"--")</f>
        <v>--</v>
      </c>
      <c r="M246" s="38">
        <f>IF(AND(1+$Q$6&gt;H246,1-$Q$6&lt;H246,1+$Q$6&gt;I246,1-$Q$6&lt;I246,1+$Q$6&gt;J246,1-$Q$6&lt;J246,1+$Q$6&gt;K246,1-$Q$6&lt;K246,1+$Q$6&gt;L246,1-$Q$6&lt;L246),IF(SUM($M$2:M245)=0,1,0),0)</f>
        <v>0</v>
      </c>
      <c r="N246" s="38">
        <f>IF(AND(1+$Q$7&gt;H246,1-$Q$7&lt;H246,1+$Q$7&gt;I246,1-$Q$7&lt;I246,1+$Q$7&gt;J246,1-$Q$7&lt;J246,1+$Q$7&gt;K246,1-$Q$7&lt;K246,1+$Q$7&gt;L246,1-$Q$7&lt;L246),IF(SUM($N$2:N245)=0,1,0),0)</f>
        <v>0</v>
      </c>
      <c r="O246" s="34">
        <f t="shared" si="3"/>
        <v>0</v>
      </c>
    </row>
    <row r="247" spans="8:15" ht="20.100000000000001" customHeight="1" x14ac:dyDescent="0.25">
      <c r="H247" s="43" t="str">
        <f>IFERROR(ABS(C247/VLOOKUP(2*$B247,$B248:C281,2,TRUE)),"--")</f>
        <v>--</v>
      </c>
      <c r="I247" s="43" t="str">
        <f>IFERROR(ABS(D247/VLOOKUP(2*$B247,$B248:D281,3,TRUE)),"--")</f>
        <v>--</v>
      </c>
      <c r="J247" s="43" t="str">
        <f>IFERROR(ABS(E247/VLOOKUP(2*$B247,$B248:E281,4,TRUE)),"--")</f>
        <v>--</v>
      </c>
      <c r="K247" s="43" t="str">
        <f>IFERROR(ABS(F247/VLOOKUP(2*$B247,$B248:F281,5,TRUE)),"--")</f>
        <v>--</v>
      </c>
      <c r="L247" s="43" t="str">
        <f>IFERROR(ABS(G247/VLOOKUP(2*$B247,$B248:G281,6,TRUE)),"--")</f>
        <v>--</v>
      </c>
      <c r="M247" s="38">
        <f>IF(AND(1+$Q$6&gt;H247,1-$Q$6&lt;H247,1+$Q$6&gt;I247,1-$Q$6&lt;I247,1+$Q$6&gt;J247,1-$Q$6&lt;J247,1+$Q$6&gt;K247,1-$Q$6&lt;K247,1+$Q$6&gt;L247,1-$Q$6&lt;L247),IF(SUM($M$2:M246)=0,1,0),0)</f>
        <v>0</v>
      </c>
      <c r="N247" s="38">
        <f>IF(AND(1+$Q$7&gt;H247,1-$Q$7&lt;H247,1+$Q$7&gt;I247,1-$Q$7&lt;I247,1+$Q$7&gt;J247,1-$Q$7&lt;J247,1+$Q$7&gt;K247,1-$Q$7&lt;K247,1+$Q$7&gt;L247,1-$Q$7&lt;L247),IF(SUM($N$2:N246)=0,1,0),0)</f>
        <v>0</v>
      </c>
      <c r="O247" s="34">
        <f t="shared" si="3"/>
        <v>0</v>
      </c>
    </row>
    <row r="248" spans="8:15" ht="20.100000000000001" customHeight="1" x14ac:dyDescent="0.25">
      <c r="H248" s="43" t="str">
        <f>IFERROR(ABS(C248/VLOOKUP(2*$B248,$B249:C282,2,TRUE)),"--")</f>
        <v>--</v>
      </c>
      <c r="I248" s="43" t="str">
        <f>IFERROR(ABS(D248/VLOOKUP(2*$B248,$B249:D282,3,TRUE)),"--")</f>
        <v>--</v>
      </c>
      <c r="J248" s="43" t="str">
        <f>IFERROR(ABS(E248/VLOOKUP(2*$B248,$B249:E282,4,TRUE)),"--")</f>
        <v>--</v>
      </c>
      <c r="K248" s="43" t="str">
        <f>IFERROR(ABS(F248/VLOOKUP(2*$B248,$B249:F282,5,TRUE)),"--")</f>
        <v>--</v>
      </c>
      <c r="L248" s="43" t="str">
        <f>IFERROR(ABS(G248/VLOOKUP(2*$B248,$B249:G282,6,TRUE)),"--")</f>
        <v>--</v>
      </c>
      <c r="M248" s="38">
        <f>IF(AND(1+$Q$6&gt;H248,1-$Q$6&lt;H248,1+$Q$6&gt;I248,1-$Q$6&lt;I248,1+$Q$6&gt;J248,1-$Q$6&lt;J248,1+$Q$6&gt;K248,1-$Q$6&lt;K248,1+$Q$6&gt;L248,1-$Q$6&lt;L248),IF(SUM($M$2:M247)=0,1,0),0)</f>
        <v>0</v>
      </c>
      <c r="N248" s="38">
        <f>IF(AND(1+$Q$7&gt;H248,1-$Q$7&lt;H248,1+$Q$7&gt;I248,1-$Q$7&lt;I248,1+$Q$7&gt;J248,1-$Q$7&lt;J248,1+$Q$7&gt;K248,1-$Q$7&lt;K248,1+$Q$7&gt;L248,1-$Q$7&lt;L248),IF(SUM($N$2:N247)=0,1,0),0)</f>
        <v>0</v>
      </c>
      <c r="O248" s="34">
        <f t="shared" si="3"/>
        <v>0</v>
      </c>
    </row>
    <row r="249" spans="8:15" ht="20.100000000000001" customHeight="1" x14ac:dyDescent="0.25">
      <c r="H249" s="43" t="str">
        <f>IFERROR(ABS(C249/VLOOKUP(2*$B249,$B250:C283,2,TRUE)),"--")</f>
        <v>--</v>
      </c>
      <c r="I249" s="43" t="str">
        <f>IFERROR(ABS(D249/VLOOKUP(2*$B249,$B250:D283,3,TRUE)),"--")</f>
        <v>--</v>
      </c>
      <c r="J249" s="43" t="str">
        <f>IFERROR(ABS(E249/VLOOKUP(2*$B249,$B250:E283,4,TRUE)),"--")</f>
        <v>--</v>
      </c>
      <c r="K249" s="43" t="str">
        <f>IFERROR(ABS(F249/VLOOKUP(2*$B249,$B250:F283,5,TRUE)),"--")</f>
        <v>--</v>
      </c>
      <c r="L249" s="43" t="str">
        <f>IFERROR(ABS(G249/VLOOKUP(2*$B249,$B250:G283,6,TRUE)),"--")</f>
        <v>--</v>
      </c>
      <c r="M249" s="38">
        <f>IF(AND(1+$Q$6&gt;H249,1-$Q$6&lt;H249,1+$Q$6&gt;I249,1-$Q$6&lt;I249,1+$Q$6&gt;J249,1-$Q$6&lt;J249,1+$Q$6&gt;K249,1-$Q$6&lt;K249,1+$Q$6&gt;L249,1-$Q$6&lt;L249),IF(SUM($M$2:M248)=0,1,0),0)</f>
        <v>0</v>
      </c>
      <c r="N249" s="38">
        <f>IF(AND(1+$Q$7&gt;H249,1-$Q$7&lt;H249,1+$Q$7&gt;I249,1-$Q$7&lt;I249,1+$Q$7&gt;J249,1-$Q$7&lt;J249,1+$Q$7&gt;K249,1-$Q$7&lt;K249,1+$Q$7&gt;L249,1-$Q$7&lt;L249),IF(SUM($N$2:N248)=0,1,0),0)</f>
        <v>0</v>
      </c>
      <c r="O249" s="34">
        <f t="shared" si="3"/>
        <v>0</v>
      </c>
    </row>
    <row r="250" spans="8:15" ht="20.100000000000001" customHeight="1" x14ac:dyDescent="0.25">
      <c r="H250" s="43" t="str">
        <f>IFERROR(ABS(C250/VLOOKUP(2*$B250,$B251:C284,2,TRUE)),"--")</f>
        <v>--</v>
      </c>
      <c r="I250" s="43" t="str">
        <f>IFERROR(ABS(D250/VLOOKUP(2*$B250,$B251:D284,3,TRUE)),"--")</f>
        <v>--</v>
      </c>
      <c r="J250" s="43" t="str">
        <f>IFERROR(ABS(E250/VLOOKUP(2*$B250,$B251:E284,4,TRUE)),"--")</f>
        <v>--</v>
      </c>
      <c r="K250" s="43" t="str">
        <f>IFERROR(ABS(F250/VLOOKUP(2*$B250,$B251:F284,5,TRUE)),"--")</f>
        <v>--</v>
      </c>
      <c r="L250" s="43" t="str">
        <f>IFERROR(ABS(G250/VLOOKUP(2*$B250,$B251:G284,6,TRUE)),"--")</f>
        <v>--</v>
      </c>
      <c r="M250" s="38">
        <f>IF(AND(1+$Q$6&gt;H250,1-$Q$6&lt;H250,1+$Q$6&gt;I250,1-$Q$6&lt;I250,1+$Q$6&gt;J250,1-$Q$6&lt;J250,1+$Q$6&gt;K250,1-$Q$6&lt;K250,1+$Q$6&gt;L250,1-$Q$6&lt;L250),IF(SUM($M$2:M249)=0,1,0),0)</f>
        <v>0</v>
      </c>
      <c r="N250" s="38">
        <f>IF(AND(1+$Q$7&gt;H250,1-$Q$7&lt;H250,1+$Q$7&gt;I250,1-$Q$7&lt;I250,1+$Q$7&gt;J250,1-$Q$7&lt;J250,1+$Q$7&gt;K250,1-$Q$7&lt;K250,1+$Q$7&gt;L250,1-$Q$7&lt;L250),IF(SUM($N$2:N249)=0,1,0),0)</f>
        <v>0</v>
      </c>
      <c r="O250" s="34">
        <f t="shared" si="3"/>
        <v>0</v>
      </c>
    </row>
    <row r="251" spans="8:15" ht="20.100000000000001" customHeight="1" x14ac:dyDescent="0.25">
      <c r="H251" s="43" t="str">
        <f>IFERROR(ABS(C251/VLOOKUP(2*$B251,$B252:C285,2,TRUE)),"--")</f>
        <v>--</v>
      </c>
      <c r="I251" s="43" t="str">
        <f>IFERROR(ABS(D251/VLOOKUP(2*$B251,$B252:D285,3,TRUE)),"--")</f>
        <v>--</v>
      </c>
      <c r="J251" s="43" t="str">
        <f>IFERROR(ABS(E251/VLOOKUP(2*$B251,$B252:E285,4,TRUE)),"--")</f>
        <v>--</v>
      </c>
      <c r="K251" s="43" t="str">
        <f>IFERROR(ABS(F251/VLOOKUP(2*$B251,$B252:F285,5,TRUE)),"--")</f>
        <v>--</v>
      </c>
      <c r="L251" s="43" t="str">
        <f>IFERROR(ABS(G251/VLOOKUP(2*$B251,$B252:G285,6,TRUE)),"--")</f>
        <v>--</v>
      </c>
      <c r="M251" s="38">
        <f>IF(AND(1+$Q$6&gt;H251,1-$Q$6&lt;H251,1+$Q$6&gt;I251,1-$Q$6&lt;I251,1+$Q$6&gt;J251,1-$Q$6&lt;J251,1+$Q$6&gt;K251,1-$Q$6&lt;K251,1+$Q$6&gt;L251,1-$Q$6&lt;L251),IF(SUM($M$2:M250)=0,1,0),0)</f>
        <v>0</v>
      </c>
      <c r="N251" s="38">
        <f>IF(AND(1+$Q$7&gt;H251,1-$Q$7&lt;H251,1+$Q$7&gt;I251,1-$Q$7&lt;I251,1+$Q$7&gt;J251,1-$Q$7&lt;J251,1+$Q$7&gt;K251,1-$Q$7&lt;K251,1+$Q$7&gt;L251,1-$Q$7&lt;L251),IF(SUM($N$2:N250)=0,1,0),0)</f>
        <v>0</v>
      </c>
      <c r="O251" s="34">
        <f t="shared" si="3"/>
        <v>0</v>
      </c>
    </row>
    <row r="252" spans="8:15" ht="20.100000000000001" customHeight="1" x14ac:dyDescent="0.25">
      <c r="H252" s="43" t="str">
        <f>IFERROR(ABS(C252/VLOOKUP(2*$B252,$B253:C286,2,TRUE)),"--")</f>
        <v>--</v>
      </c>
      <c r="I252" s="43" t="str">
        <f>IFERROR(ABS(D252/VLOOKUP(2*$B252,$B253:D286,3,TRUE)),"--")</f>
        <v>--</v>
      </c>
      <c r="J252" s="43" t="str">
        <f>IFERROR(ABS(E252/VLOOKUP(2*$B252,$B253:E286,4,TRUE)),"--")</f>
        <v>--</v>
      </c>
      <c r="K252" s="43" t="str">
        <f>IFERROR(ABS(F252/VLOOKUP(2*$B252,$B253:F286,5,TRUE)),"--")</f>
        <v>--</v>
      </c>
      <c r="L252" s="43" t="str">
        <f>IFERROR(ABS(G252/VLOOKUP(2*$B252,$B253:G286,6,TRUE)),"--")</f>
        <v>--</v>
      </c>
      <c r="M252" s="38">
        <f>IF(AND(1+$Q$6&gt;H252,1-$Q$6&lt;H252,1+$Q$6&gt;I252,1-$Q$6&lt;I252,1+$Q$6&gt;J252,1-$Q$6&lt;J252,1+$Q$6&gt;K252,1-$Q$6&lt;K252,1+$Q$6&gt;L252,1-$Q$6&lt;L252),IF(SUM($M$2:M251)=0,1,0),0)</f>
        <v>0</v>
      </c>
      <c r="N252" s="38">
        <f>IF(AND(1+$Q$7&gt;H252,1-$Q$7&lt;H252,1+$Q$7&gt;I252,1-$Q$7&lt;I252,1+$Q$7&gt;J252,1-$Q$7&lt;J252,1+$Q$7&gt;K252,1-$Q$7&lt;K252,1+$Q$7&gt;L252,1-$Q$7&lt;L252),IF(SUM($N$2:N251)=0,1,0),0)</f>
        <v>0</v>
      </c>
      <c r="O252" s="34">
        <f t="shared" si="3"/>
        <v>0</v>
      </c>
    </row>
    <row r="253" spans="8:15" ht="20.100000000000001" customHeight="1" x14ac:dyDescent="0.25">
      <c r="H253" s="43" t="str">
        <f>IFERROR(ABS(C253/VLOOKUP(2*$B253,$B254:C287,2,TRUE)),"--")</f>
        <v>--</v>
      </c>
      <c r="I253" s="43" t="str">
        <f>IFERROR(ABS(D253/VLOOKUP(2*$B253,$B254:D287,3,TRUE)),"--")</f>
        <v>--</v>
      </c>
      <c r="J253" s="43" t="str">
        <f>IFERROR(ABS(E253/VLOOKUP(2*$B253,$B254:E287,4,TRUE)),"--")</f>
        <v>--</v>
      </c>
      <c r="K253" s="43" t="str">
        <f>IFERROR(ABS(F253/VLOOKUP(2*$B253,$B254:F287,5,TRUE)),"--")</f>
        <v>--</v>
      </c>
      <c r="L253" s="43" t="str">
        <f>IFERROR(ABS(G253/VLOOKUP(2*$B253,$B254:G287,6,TRUE)),"--")</f>
        <v>--</v>
      </c>
      <c r="M253" s="38">
        <f>IF(AND(1+$Q$6&gt;H253,1-$Q$6&lt;H253,1+$Q$6&gt;I253,1-$Q$6&lt;I253,1+$Q$6&gt;J253,1-$Q$6&lt;J253,1+$Q$6&gt;K253,1-$Q$6&lt;K253,1+$Q$6&gt;L253,1-$Q$6&lt;L253),IF(SUM($M$2:M252)=0,1,0),0)</f>
        <v>0</v>
      </c>
      <c r="N253" s="38">
        <f>IF(AND(1+$Q$7&gt;H253,1-$Q$7&lt;H253,1+$Q$7&gt;I253,1-$Q$7&lt;I253,1+$Q$7&gt;J253,1-$Q$7&lt;J253,1+$Q$7&gt;K253,1-$Q$7&lt;K253,1+$Q$7&gt;L253,1-$Q$7&lt;L253),IF(SUM($N$2:N252)=0,1,0),0)</f>
        <v>0</v>
      </c>
      <c r="O253" s="34">
        <f t="shared" si="3"/>
        <v>0</v>
      </c>
    </row>
    <row r="254" spans="8:15" ht="20.100000000000001" customHeight="1" x14ac:dyDescent="0.25">
      <c r="H254" s="43" t="str">
        <f>IFERROR(ABS(C254/VLOOKUP(2*$B254,$B255:C288,2,TRUE)),"--")</f>
        <v>--</v>
      </c>
      <c r="I254" s="43" t="str">
        <f>IFERROR(ABS(D254/VLOOKUP(2*$B254,$B255:D288,3,TRUE)),"--")</f>
        <v>--</v>
      </c>
      <c r="J254" s="43" t="str">
        <f>IFERROR(ABS(E254/VLOOKUP(2*$B254,$B255:E288,4,TRUE)),"--")</f>
        <v>--</v>
      </c>
      <c r="K254" s="43" t="str">
        <f>IFERROR(ABS(F254/VLOOKUP(2*$B254,$B255:F288,5,TRUE)),"--")</f>
        <v>--</v>
      </c>
      <c r="L254" s="43" t="str">
        <f>IFERROR(ABS(G254/VLOOKUP(2*$B254,$B255:G288,6,TRUE)),"--")</f>
        <v>--</v>
      </c>
      <c r="M254" s="38">
        <f>IF(AND(1+$Q$6&gt;H254,1-$Q$6&lt;H254,1+$Q$6&gt;I254,1-$Q$6&lt;I254,1+$Q$6&gt;J254,1-$Q$6&lt;J254,1+$Q$6&gt;K254,1-$Q$6&lt;K254,1+$Q$6&gt;L254,1-$Q$6&lt;L254),IF(SUM($M$2:M253)=0,1,0),0)</f>
        <v>0</v>
      </c>
      <c r="N254" s="38">
        <f>IF(AND(1+$Q$7&gt;H254,1-$Q$7&lt;H254,1+$Q$7&gt;I254,1-$Q$7&lt;I254,1+$Q$7&gt;J254,1-$Q$7&lt;J254,1+$Q$7&gt;K254,1-$Q$7&lt;K254,1+$Q$7&gt;L254,1-$Q$7&lt;L254),IF(SUM($N$2:N253)=0,1,0),0)</f>
        <v>0</v>
      </c>
      <c r="O254" s="34">
        <f t="shared" si="3"/>
        <v>0</v>
      </c>
    </row>
    <row r="255" spans="8:15" ht="20.100000000000001" customHeight="1" x14ac:dyDescent="0.25">
      <c r="H255" s="43" t="str">
        <f>IFERROR(ABS(C255/VLOOKUP(2*$B255,$B256:C289,2,TRUE)),"--")</f>
        <v>--</v>
      </c>
      <c r="I255" s="43" t="str">
        <f>IFERROR(ABS(D255/VLOOKUP(2*$B255,$B256:D289,3,TRUE)),"--")</f>
        <v>--</v>
      </c>
      <c r="J255" s="43" t="str">
        <f>IFERROR(ABS(E255/VLOOKUP(2*$B255,$B256:E289,4,TRUE)),"--")</f>
        <v>--</v>
      </c>
      <c r="K255" s="43" t="str">
        <f>IFERROR(ABS(F255/VLOOKUP(2*$B255,$B256:F289,5,TRUE)),"--")</f>
        <v>--</v>
      </c>
      <c r="L255" s="43" t="str">
        <f>IFERROR(ABS(G255/VLOOKUP(2*$B255,$B256:G289,6,TRUE)),"--")</f>
        <v>--</v>
      </c>
      <c r="M255" s="38">
        <f>IF(AND(1+$Q$6&gt;H255,1-$Q$6&lt;H255,1+$Q$6&gt;I255,1-$Q$6&lt;I255,1+$Q$6&gt;J255,1-$Q$6&lt;J255,1+$Q$6&gt;K255,1-$Q$6&lt;K255,1+$Q$6&gt;L255,1-$Q$6&lt;L255),IF(SUM($M$2:M254)=0,1,0),0)</f>
        <v>0</v>
      </c>
      <c r="N255" s="38">
        <f>IF(AND(1+$Q$7&gt;H255,1-$Q$7&lt;H255,1+$Q$7&gt;I255,1-$Q$7&lt;I255,1+$Q$7&gt;J255,1-$Q$7&lt;J255,1+$Q$7&gt;K255,1-$Q$7&lt;K255,1+$Q$7&gt;L255,1-$Q$7&lt;L255),IF(SUM($N$2:N254)=0,1,0),0)</f>
        <v>0</v>
      </c>
      <c r="O255" s="34">
        <f t="shared" si="3"/>
        <v>0</v>
      </c>
    </row>
    <row r="256" spans="8:15" ht="20.100000000000001" customHeight="1" x14ac:dyDescent="0.25">
      <c r="H256" s="43" t="str">
        <f>IFERROR(ABS(C256/VLOOKUP(2*$B256,$B257:C290,2,TRUE)),"--")</f>
        <v>--</v>
      </c>
      <c r="I256" s="43" t="str">
        <f>IFERROR(ABS(D256/VLOOKUP(2*$B256,$B257:D290,3,TRUE)),"--")</f>
        <v>--</v>
      </c>
      <c r="J256" s="43" t="str">
        <f>IFERROR(ABS(E256/VLOOKUP(2*$B256,$B257:E290,4,TRUE)),"--")</f>
        <v>--</v>
      </c>
      <c r="K256" s="43" t="str">
        <f>IFERROR(ABS(F256/VLOOKUP(2*$B256,$B257:F290,5,TRUE)),"--")</f>
        <v>--</v>
      </c>
      <c r="L256" s="43" t="str">
        <f>IFERROR(ABS(G256/VLOOKUP(2*$B256,$B257:G290,6,TRUE)),"--")</f>
        <v>--</v>
      </c>
      <c r="M256" s="38">
        <f>IF(AND(1+$Q$6&gt;H256,1-$Q$6&lt;H256,1+$Q$6&gt;I256,1-$Q$6&lt;I256,1+$Q$6&gt;J256,1-$Q$6&lt;J256,1+$Q$6&gt;K256,1-$Q$6&lt;K256,1+$Q$6&gt;L256,1-$Q$6&lt;L256),IF(SUM($M$2:M255)=0,1,0),0)</f>
        <v>0</v>
      </c>
      <c r="N256" s="38">
        <f>IF(AND(1+$Q$7&gt;H256,1-$Q$7&lt;H256,1+$Q$7&gt;I256,1-$Q$7&lt;I256,1+$Q$7&gt;J256,1-$Q$7&lt;J256,1+$Q$7&gt;K256,1-$Q$7&lt;K256,1+$Q$7&gt;L256,1-$Q$7&lt;L256),IF(SUM($N$2:N255)=0,1,0),0)</f>
        <v>0</v>
      </c>
      <c r="O256" s="34">
        <f t="shared" si="3"/>
        <v>0</v>
      </c>
    </row>
    <row r="257" spans="8:15" ht="20.100000000000001" customHeight="1" x14ac:dyDescent="0.25">
      <c r="H257" s="43" t="str">
        <f>IFERROR(ABS(C257/VLOOKUP(2*$B257,$B258:C291,2,TRUE)),"--")</f>
        <v>--</v>
      </c>
      <c r="I257" s="43" t="str">
        <f>IFERROR(ABS(D257/VLOOKUP(2*$B257,$B258:D291,3,TRUE)),"--")</f>
        <v>--</v>
      </c>
      <c r="J257" s="43" t="str">
        <f>IFERROR(ABS(E257/VLOOKUP(2*$B257,$B258:E291,4,TRUE)),"--")</f>
        <v>--</v>
      </c>
      <c r="K257" s="43" t="str">
        <f>IFERROR(ABS(F257/VLOOKUP(2*$B257,$B258:F291,5,TRUE)),"--")</f>
        <v>--</v>
      </c>
      <c r="L257" s="43" t="str">
        <f>IFERROR(ABS(G257/VLOOKUP(2*$B257,$B258:G291,6,TRUE)),"--")</f>
        <v>--</v>
      </c>
      <c r="M257" s="38">
        <f>IF(AND(1+$Q$6&gt;H257,1-$Q$6&lt;H257,1+$Q$6&gt;I257,1-$Q$6&lt;I257,1+$Q$6&gt;J257,1-$Q$6&lt;J257,1+$Q$6&gt;K257,1-$Q$6&lt;K257,1+$Q$6&gt;L257,1-$Q$6&lt;L257),IF(SUM($M$2:M256)=0,1,0),0)</f>
        <v>0</v>
      </c>
      <c r="N257" s="38">
        <f>IF(AND(1+$Q$7&gt;H257,1-$Q$7&lt;H257,1+$Q$7&gt;I257,1-$Q$7&lt;I257,1+$Q$7&gt;J257,1-$Q$7&lt;J257,1+$Q$7&gt;K257,1-$Q$7&lt;K257,1+$Q$7&gt;L257,1-$Q$7&lt;L257),IF(SUM($N$2:N256)=0,1,0),0)</f>
        <v>0</v>
      </c>
      <c r="O257" s="34">
        <f t="shared" si="3"/>
        <v>0</v>
      </c>
    </row>
    <row r="258" spans="8:15" ht="20.100000000000001" customHeight="1" x14ac:dyDescent="0.25">
      <c r="H258" s="43" t="str">
        <f>IFERROR(ABS(C258/VLOOKUP(2*$B258,$B259:C292,2,TRUE)),"--")</f>
        <v>--</v>
      </c>
      <c r="I258" s="43" t="str">
        <f>IFERROR(ABS(D258/VLOOKUP(2*$B258,$B259:D292,3,TRUE)),"--")</f>
        <v>--</v>
      </c>
      <c r="J258" s="43" t="str">
        <f>IFERROR(ABS(E258/VLOOKUP(2*$B258,$B259:E292,4,TRUE)),"--")</f>
        <v>--</v>
      </c>
      <c r="K258" s="43" t="str">
        <f>IFERROR(ABS(F258/VLOOKUP(2*$B258,$B259:F292,5,TRUE)),"--")</f>
        <v>--</v>
      </c>
      <c r="L258" s="43" t="str">
        <f>IFERROR(ABS(G258/VLOOKUP(2*$B258,$B259:G292,6,TRUE)),"--")</f>
        <v>--</v>
      </c>
      <c r="M258" s="38">
        <f>IF(AND(1+$Q$6&gt;H258,1-$Q$6&lt;H258,1+$Q$6&gt;I258,1-$Q$6&lt;I258,1+$Q$6&gt;J258,1-$Q$6&lt;J258,1+$Q$6&gt;K258,1-$Q$6&lt;K258,1+$Q$6&gt;L258,1-$Q$6&lt;L258),IF(SUM($M$2:M257)=0,1,0),0)</f>
        <v>0</v>
      </c>
      <c r="N258" s="38">
        <f>IF(AND(1+$Q$7&gt;H258,1-$Q$7&lt;H258,1+$Q$7&gt;I258,1-$Q$7&lt;I258,1+$Q$7&gt;J258,1-$Q$7&lt;J258,1+$Q$7&gt;K258,1-$Q$7&lt;K258,1+$Q$7&gt;L258,1-$Q$7&lt;L258),IF(SUM($N$2:N257)=0,1,0),0)</f>
        <v>0</v>
      </c>
      <c r="O258" s="34">
        <f t="shared" si="3"/>
        <v>0</v>
      </c>
    </row>
    <row r="259" spans="8:15" ht="20.100000000000001" customHeight="1" x14ac:dyDescent="0.25">
      <c r="H259" s="43" t="str">
        <f>IFERROR(ABS(C259/VLOOKUP(2*$B259,$B260:C293,2,TRUE)),"--")</f>
        <v>--</v>
      </c>
      <c r="I259" s="43" t="str">
        <f>IFERROR(ABS(D259/VLOOKUP(2*$B259,$B260:D293,3,TRUE)),"--")</f>
        <v>--</v>
      </c>
      <c r="J259" s="43" t="str">
        <f>IFERROR(ABS(E259/VLOOKUP(2*$B259,$B260:E293,4,TRUE)),"--")</f>
        <v>--</v>
      </c>
      <c r="K259" s="43" t="str">
        <f>IFERROR(ABS(F259/VLOOKUP(2*$B259,$B260:F293,5,TRUE)),"--")</f>
        <v>--</v>
      </c>
      <c r="L259" s="43" t="str">
        <f>IFERROR(ABS(G259/VLOOKUP(2*$B259,$B260:G293,6,TRUE)),"--")</f>
        <v>--</v>
      </c>
      <c r="M259" s="38">
        <f>IF(AND(1+$Q$6&gt;H259,1-$Q$6&lt;H259,1+$Q$6&gt;I259,1-$Q$6&lt;I259,1+$Q$6&gt;J259,1-$Q$6&lt;J259,1+$Q$6&gt;K259,1-$Q$6&lt;K259,1+$Q$6&gt;L259,1-$Q$6&lt;L259),IF(SUM($M$2:M258)=0,1,0),0)</f>
        <v>0</v>
      </c>
      <c r="N259" s="38">
        <f>IF(AND(1+$Q$7&gt;H259,1-$Q$7&lt;H259,1+$Q$7&gt;I259,1-$Q$7&lt;I259,1+$Q$7&gt;J259,1-$Q$7&lt;J259,1+$Q$7&gt;K259,1-$Q$7&lt;K259,1+$Q$7&gt;L259,1-$Q$7&lt;L259),IF(SUM($N$2:N258)=0,1,0),0)</f>
        <v>0</v>
      </c>
      <c r="O259" s="34">
        <f t="shared" ref="O259:O322" si="4">A259</f>
        <v>0</v>
      </c>
    </row>
    <row r="260" spans="8:15" ht="20.100000000000001" customHeight="1" x14ac:dyDescent="0.25">
      <c r="H260" s="43" t="str">
        <f>IFERROR(ABS(C260/VLOOKUP(2*$B260,$B261:C294,2,TRUE)),"--")</f>
        <v>--</v>
      </c>
      <c r="I260" s="43" t="str">
        <f>IFERROR(ABS(D260/VLOOKUP(2*$B260,$B261:D294,3,TRUE)),"--")</f>
        <v>--</v>
      </c>
      <c r="J260" s="43" t="str">
        <f>IFERROR(ABS(E260/VLOOKUP(2*$B260,$B261:E294,4,TRUE)),"--")</f>
        <v>--</v>
      </c>
      <c r="K260" s="43" t="str">
        <f>IFERROR(ABS(F260/VLOOKUP(2*$B260,$B261:F294,5,TRUE)),"--")</f>
        <v>--</v>
      </c>
      <c r="L260" s="43" t="str">
        <f>IFERROR(ABS(G260/VLOOKUP(2*$B260,$B261:G294,6,TRUE)),"--")</f>
        <v>--</v>
      </c>
      <c r="M260" s="38">
        <f>IF(AND(1+$Q$6&gt;H260,1-$Q$6&lt;H260,1+$Q$6&gt;I260,1-$Q$6&lt;I260,1+$Q$6&gt;J260,1-$Q$6&lt;J260,1+$Q$6&gt;K260,1-$Q$6&lt;K260,1+$Q$6&gt;L260,1-$Q$6&lt;L260),IF(SUM($M$2:M259)=0,1,0),0)</f>
        <v>0</v>
      </c>
      <c r="N260" s="38">
        <f>IF(AND(1+$Q$7&gt;H260,1-$Q$7&lt;H260,1+$Q$7&gt;I260,1-$Q$7&lt;I260,1+$Q$7&gt;J260,1-$Q$7&lt;J260,1+$Q$7&gt;K260,1-$Q$7&lt;K260,1+$Q$7&gt;L260,1-$Q$7&lt;L260),IF(SUM($N$2:N259)=0,1,0),0)</f>
        <v>0</v>
      </c>
      <c r="O260" s="34">
        <f t="shared" si="4"/>
        <v>0</v>
      </c>
    </row>
    <row r="261" spans="8:15" ht="20.100000000000001" customHeight="1" x14ac:dyDescent="0.25">
      <c r="H261" s="43" t="str">
        <f>IFERROR(ABS(C261/VLOOKUP(2*$B261,$B262:C295,2,TRUE)),"--")</f>
        <v>--</v>
      </c>
      <c r="I261" s="43" t="str">
        <f>IFERROR(ABS(D261/VLOOKUP(2*$B261,$B262:D295,3,TRUE)),"--")</f>
        <v>--</v>
      </c>
      <c r="J261" s="43" t="str">
        <f>IFERROR(ABS(E261/VLOOKUP(2*$B261,$B262:E295,4,TRUE)),"--")</f>
        <v>--</v>
      </c>
      <c r="K261" s="43" t="str">
        <f>IFERROR(ABS(F261/VLOOKUP(2*$B261,$B262:F295,5,TRUE)),"--")</f>
        <v>--</v>
      </c>
      <c r="L261" s="43" t="str">
        <f>IFERROR(ABS(G261/VLOOKUP(2*$B261,$B262:G295,6,TRUE)),"--")</f>
        <v>--</v>
      </c>
      <c r="M261" s="38">
        <f>IF(AND(1+$Q$6&gt;H261,1-$Q$6&lt;H261,1+$Q$6&gt;I261,1-$Q$6&lt;I261,1+$Q$6&gt;J261,1-$Q$6&lt;J261,1+$Q$6&gt;K261,1-$Q$6&lt;K261,1+$Q$6&gt;L261,1-$Q$6&lt;L261),IF(SUM($M$2:M260)=0,1,0),0)</f>
        <v>0</v>
      </c>
      <c r="N261" s="38">
        <f>IF(AND(1+$Q$7&gt;H261,1-$Q$7&lt;H261,1+$Q$7&gt;I261,1-$Q$7&lt;I261,1+$Q$7&gt;J261,1-$Q$7&lt;J261,1+$Q$7&gt;K261,1-$Q$7&lt;K261,1+$Q$7&gt;L261,1-$Q$7&lt;L261),IF(SUM($N$2:N260)=0,1,0),0)</f>
        <v>0</v>
      </c>
      <c r="O261" s="34">
        <f t="shared" si="4"/>
        <v>0</v>
      </c>
    </row>
    <row r="262" spans="8:15" ht="20.100000000000001" customHeight="1" x14ac:dyDescent="0.25">
      <c r="H262" s="43" t="str">
        <f>IFERROR(ABS(C262/VLOOKUP(2*$B262,$B263:C296,2,TRUE)),"--")</f>
        <v>--</v>
      </c>
      <c r="I262" s="43" t="str">
        <f>IFERROR(ABS(D262/VLOOKUP(2*$B262,$B263:D296,3,TRUE)),"--")</f>
        <v>--</v>
      </c>
      <c r="J262" s="43" t="str">
        <f>IFERROR(ABS(E262/VLOOKUP(2*$B262,$B263:E296,4,TRUE)),"--")</f>
        <v>--</v>
      </c>
      <c r="K262" s="43" t="str">
        <f>IFERROR(ABS(F262/VLOOKUP(2*$B262,$B263:F296,5,TRUE)),"--")</f>
        <v>--</v>
      </c>
      <c r="L262" s="43" t="str">
        <f>IFERROR(ABS(G262/VLOOKUP(2*$B262,$B263:G296,6,TRUE)),"--")</f>
        <v>--</v>
      </c>
      <c r="M262" s="38">
        <f>IF(AND(1+$Q$6&gt;H262,1-$Q$6&lt;H262,1+$Q$6&gt;I262,1-$Q$6&lt;I262,1+$Q$6&gt;J262,1-$Q$6&lt;J262,1+$Q$6&gt;K262,1-$Q$6&lt;K262,1+$Q$6&gt;L262,1-$Q$6&lt;L262),IF(SUM($M$2:M261)=0,1,0),0)</f>
        <v>0</v>
      </c>
      <c r="N262" s="38">
        <f>IF(AND(1+$Q$7&gt;H262,1-$Q$7&lt;H262,1+$Q$7&gt;I262,1-$Q$7&lt;I262,1+$Q$7&gt;J262,1-$Q$7&lt;J262,1+$Q$7&gt;K262,1-$Q$7&lt;K262,1+$Q$7&gt;L262,1-$Q$7&lt;L262),IF(SUM($N$2:N261)=0,1,0),0)</f>
        <v>0</v>
      </c>
      <c r="O262" s="34">
        <f t="shared" si="4"/>
        <v>0</v>
      </c>
    </row>
    <row r="263" spans="8:15" ht="20.100000000000001" customHeight="1" x14ac:dyDescent="0.25">
      <c r="H263" s="43" t="str">
        <f>IFERROR(ABS(C263/VLOOKUP(2*$B263,$B264:C297,2,TRUE)),"--")</f>
        <v>--</v>
      </c>
      <c r="I263" s="43" t="str">
        <f>IFERROR(ABS(D263/VLOOKUP(2*$B263,$B264:D297,3,TRUE)),"--")</f>
        <v>--</v>
      </c>
      <c r="J263" s="43" t="str">
        <f>IFERROR(ABS(E263/VLOOKUP(2*$B263,$B264:E297,4,TRUE)),"--")</f>
        <v>--</v>
      </c>
      <c r="K263" s="43" t="str">
        <f>IFERROR(ABS(F263/VLOOKUP(2*$B263,$B264:F297,5,TRUE)),"--")</f>
        <v>--</v>
      </c>
      <c r="L263" s="43" t="str">
        <f>IFERROR(ABS(G263/VLOOKUP(2*$B263,$B264:G297,6,TRUE)),"--")</f>
        <v>--</v>
      </c>
      <c r="M263" s="38">
        <f>IF(AND(1+$Q$6&gt;H263,1-$Q$6&lt;H263,1+$Q$6&gt;I263,1-$Q$6&lt;I263,1+$Q$6&gt;J263,1-$Q$6&lt;J263,1+$Q$6&gt;K263,1-$Q$6&lt;K263,1+$Q$6&gt;L263,1-$Q$6&lt;L263),IF(SUM($M$2:M262)=0,1,0),0)</f>
        <v>0</v>
      </c>
      <c r="N263" s="38">
        <f>IF(AND(1+$Q$7&gt;H263,1-$Q$7&lt;H263,1+$Q$7&gt;I263,1-$Q$7&lt;I263,1+$Q$7&gt;J263,1-$Q$7&lt;J263,1+$Q$7&gt;K263,1-$Q$7&lt;K263,1+$Q$7&gt;L263,1-$Q$7&lt;L263),IF(SUM($N$2:N262)=0,1,0),0)</f>
        <v>0</v>
      </c>
      <c r="O263" s="34">
        <f t="shared" si="4"/>
        <v>0</v>
      </c>
    </row>
    <row r="264" spans="8:15" ht="20.100000000000001" customHeight="1" x14ac:dyDescent="0.25">
      <c r="H264" s="43" t="str">
        <f>IFERROR(ABS(C264/VLOOKUP(2*$B264,$B265:C298,2,TRUE)),"--")</f>
        <v>--</v>
      </c>
      <c r="I264" s="43" t="str">
        <f>IFERROR(ABS(D264/VLOOKUP(2*$B264,$B265:D298,3,TRUE)),"--")</f>
        <v>--</v>
      </c>
      <c r="J264" s="43" t="str">
        <f>IFERROR(ABS(E264/VLOOKUP(2*$B264,$B265:E298,4,TRUE)),"--")</f>
        <v>--</v>
      </c>
      <c r="K264" s="43" t="str">
        <f>IFERROR(ABS(F264/VLOOKUP(2*$B264,$B265:F298,5,TRUE)),"--")</f>
        <v>--</v>
      </c>
      <c r="L264" s="43" t="str">
        <f>IFERROR(ABS(G264/VLOOKUP(2*$B264,$B265:G298,6,TRUE)),"--")</f>
        <v>--</v>
      </c>
      <c r="M264" s="38">
        <f>IF(AND(1+$Q$6&gt;H264,1-$Q$6&lt;H264,1+$Q$6&gt;I264,1-$Q$6&lt;I264,1+$Q$6&gt;J264,1-$Q$6&lt;J264,1+$Q$6&gt;K264,1-$Q$6&lt;K264,1+$Q$6&gt;L264,1-$Q$6&lt;L264),IF(SUM($M$2:M263)=0,1,0),0)</f>
        <v>0</v>
      </c>
      <c r="N264" s="38">
        <f>IF(AND(1+$Q$7&gt;H264,1-$Q$7&lt;H264,1+$Q$7&gt;I264,1-$Q$7&lt;I264,1+$Q$7&gt;J264,1-$Q$7&lt;J264,1+$Q$7&gt;K264,1-$Q$7&lt;K264,1+$Q$7&gt;L264,1-$Q$7&lt;L264),IF(SUM($N$2:N263)=0,1,0),0)</f>
        <v>0</v>
      </c>
      <c r="O264" s="34">
        <f t="shared" si="4"/>
        <v>0</v>
      </c>
    </row>
    <row r="265" spans="8:15" ht="20.100000000000001" customHeight="1" x14ac:dyDescent="0.25">
      <c r="H265" s="43" t="str">
        <f>IFERROR(ABS(C265/VLOOKUP(2*$B265,$B266:C299,2,TRUE)),"--")</f>
        <v>--</v>
      </c>
      <c r="I265" s="43" t="str">
        <f>IFERROR(ABS(D265/VLOOKUP(2*$B265,$B266:D299,3,TRUE)),"--")</f>
        <v>--</v>
      </c>
      <c r="J265" s="43" t="str">
        <f>IFERROR(ABS(E265/VLOOKUP(2*$B265,$B266:E299,4,TRUE)),"--")</f>
        <v>--</v>
      </c>
      <c r="K265" s="43" t="str">
        <f>IFERROR(ABS(F265/VLOOKUP(2*$B265,$B266:F299,5,TRUE)),"--")</f>
        <v>--</v>
      </c>
      <c r="L265" s="43" t="str">
        <f>IFERROR(ABS(G265/VLOOKUP(2*$B265,$B266:G299,6,TRUE)),"--")</f>
        <v>--</v>
      </c>
      <c r="M265" s="38">
        <f>IF(AND(1+$Q$6&gt;H265,1-$Q$6&lt;H265,1+$Q$6&gt;I265,1-$Q$6&lt;I265,1+$Q$6&gt;J265,1-$Q$6&lt;J265,1+$Q$6&gt;K265,1-$Q$6&lt;K265,1+$Q$6&gt;L265,1-$Q$6&lt;L265),IF(SUM($M$2:M264)=0,1,0),0)</f>
        <v>0</v>
      </c>
      <c r="N265" s="38">
        <f>IF(AND(1+$Q$7&gt;H265,1-$Q$7&lt;H265,1+$Q$7&gt;I265,1-$Q$7&lt;I265,1+$Q$7&gt;J265,1-$Q$7&lt;J265,1+$Q$7&gt;K265,1-$Q$7&lt;K265,1+$Q$7&gt;L265,1-$Q$7&lt;L265),IF(SUM($N$2:N264)=0,1,0),0)</f>
        <v>0</v>
      </c>
      <c r="O265" s="34">
        <f t="shared" si="4"/>
        <v>0</v>
      </c>
    </row>
    <row r="266" spans="8:15" ht="20.100000000000001" customHeight="1" x14ac:dyDescent="0.25">
      <c r="H266" s="43" t="str">
        <f>IFERROR(ABS(C266/VLOOKUP(2*$B266,$B267:C300,2,TRUE)),"--")</f>
        <v>--</v>
      </c>
      <c r="I266" s="43" t="str">
        <f>IFERROR(ABS(D266/VLOOKUP(2*$B266,$B267:D300,3,TRUE)),"--")</f>
        <v>--</v>
      </c>
      <c r="J266" s="43" t="str">
        <f>IFERROR(ABS(E266/VLOOKUP(2*$B266,$B267:E300,4,TRUE)),"--")</f>
        <v>--</v>
      </c>
      <c r="K266" s="43" t="str">
        <f>IFERROR(ABS(F266/VLOOKUP(2*$B266,$B267:F300,5,TRUE)),"--")</f>
        <v>--</v>
      </c>
      <c r="L266" s="43" t="str">
        <f>IFERROR(ABS(G266/VLOOKUP(2*$B266,$B267:G300,6,TRUE)),"--")</f>
        <v>--</v>
      </c>
      <c r="M266" s="38">
        <f>IF(AND(1+$Q$6&gt;H266,1-$Q$6&lt;H266,1+$Q$6&gt;I266,1-$Q$6&lt;I266,1+$Q$6&gt;J266,1-$Q$6&lt;J266,1+$Q$6&gt;K266,1-$Q$6&lt;K266,1+$Q$6&gt;L266,1-$Q$6&lt;L266),IF(SUM($M$2:M265)=0,1,0),0)</f>
        <v>0</v>
      </c>
      <c r="N266" s="38">
        <f>IF(AND(1+$Q$7&gt;H266,1-$Q$7&lt;H266,1+$Q$7&gt;I266,1-$Q$7&lt;I266,1+$Q$7&gt;J266,1-$Q$7&lt;J266,1+$Q$7&gt;K266,1-$Q$7&lt;K266,1+$Q$7&gt;L266,1-$Q$7&lt;L266),IF(SUM($N$2:N265)=0,1,0),0)</f>
        <v>0</v>
      </c>
      <c r="O266" s="34">
        <f t="shared" si="4"/>
        <v>0</v>
      </c>
    </row>
    <row r="267" spans="8:15" ht="20.100000000000001" customHeight="1" x14ac:dyDescent="0.25">
      <c r="H267" s="43" t="str">
        <f>IFERROR(ABS(C267/VLOOKUP(2*$B267,$B268:C301,2,TRUE)),"--")</f>
        <v>--</v>
      </c>
      <c r="I267" s="43" t="str">
        <f>IFERROR(ABS(D267/VLOOKUP(2*$B267,$B268:D301,3,TRUE)),"--")</f>
        <v>--</v>
      </c>
      <c r="J267" s="43" t="str">
        <f>IFERROR(ABS(E267/VLOOKUP(2*$B267,$B268:E301,4,TRUE)),"--")</f>
        <v>--</v>
      </c>
      <c r="K267" s="43" t="str">
        <f>IFERROR(ABS(F267/VLOOKUP(2*$B267,$B268:F301,5,TRUE)),"--")</f>
        <v>--</v>
      </c>
      <c r="L267" s="43" t="str">
        <f>IFERROR(ABS(G267/VLOOKUP(2*$B267,$B268:G301,6,TRUE)),"--")</f>
        <v>--</v>
      </c>
      <c r="M267" s="38">
        <f>IF(AND(1+$Q$6&gt;H267,1-$Q$6&lt;H267,1+$Q$6&gt;I267,1-$Q$6&lt;I267,1+$Q$6&gt;J267,1-$Q$6&lt;J267,1+$Q$6&gt;K267,1-$Q$6&lt;K267,1+$Q$6&gt;L267,1-$Q$6&lt;L267),IF(SUM($M$2:M266)=0,1,0),0)</f>
        <v>0</v>
      </c>
      <c r="N267" s="38">
        <f>IF(AND(1+$Q$7&gt;H267,1-$Q$7&lt;H267,1+$Q$7&gt;I267,1-$Q$7&lt;I267,1+$Q$7&gt;J267,1-$Q$7&lt;J267,1+$Q$7&gt;K267,1-$Q$7&lt;K267,1+$Q$7&gt;L267,1-$Q$7&lt;L267),IF(SUM($N$2:N266)=0,1,0),0)</f>
        <v>0</v>
      </c>
      <c r="O267" s="34">
        <f t="shared" si="4"/>
        <v>0</v>
      </c>
    </row>
    <row r="268" spans="8:15" ht="20.100000000000001" customHeight="1" x14ac:dyDescent="0.25">
      <c r="H268" s="43" t="str">
        <f>IFERROR(ABS(C268/VLOOKUP(2*$B268,$B269:C302,2,TRUE)),"--")</f>
        <v>--</v>
      </c>
      <c r="I268" s="43" t="str">
        <f>IFERROR(ABS(D268/VLOOKUP(2*$B268,$B269:D302,3,TRUE)),"--")</f>
        <v>--</v>
      </c>
      <c r="J268" s="43" t="str">
        <f>IFERROR(ABS(E268/VLOOKUP(2*$B268,$B269:E302,4,TRUE)),"--")</f>
        <v>--</v>
      </c>
      <c r="K268" s="43" t="str">
        <f>IFERROR(ABS(F268/VLOOKUP(2*$B268,$B269:F302,5,TRUE)),"--")</f>
        <v>--</v>
      </c>
      <c r="L268" s="43" t="str">
        <f>IFERROR(ABS(G268/VLOOKUP(2*$B268,$B269:G302,6,TRUE)),"--")</f>
        <v>--</v>
      </c>
      <c r="M268" s="38">
        <f>IF(AND(1+$Q$6&gt;H268,1-$Q$6&lt;H268,1+$Q$6&gt;I268,1-$Q$6&lt;I268,1+$Q$6&gt;J268,1-$Q$6&lt;J268,1+$Q$6&gt;K268,1-$Q$6&lt;K268,1+$Q$6&gt;L268,1-$Q$6&lt;L268),IF(SUM($M$2:M267)=0,1,0),0)</f>
        <v>0</v>
      </c>
      <c r="N268" s="38">
        <f>IF(AND(1+$Q$7&gt;H268,1-$Q$7&lt;H268,1+$Q$7&gt;I268,1-$Q$7&lt;I268,1+$Q$7&gt;J268,1-$Q$7&lt;J268,1+$Q$7&gt;K268,1-$Q$7&lt;K268,1+$Q$7&gt;L268,1-$Q$7&lt;L268),IF(SUM($N$2:N267)=0,1,0),0)</f>
        <v>0</v>
      </c>
      <c r="O268" s="34">
        <f t="shared" si="4"/>
        <v>0</v>
      </c>
    </row>
    <row r="269" spans="8:15" ht="20.100000000000001" customHeight="1" x14ac:dyDescent="0.25">
      <c r="H269" s="43" t="str">
        <f>IFERROR(ABS(C269/VLOOKUP(2*$B269,$B270:C303,2,TRUE)),"--")</f>
        <v>--</v>
      </c>
      <c r="I269" s="43" t="str">
        <f>IFERROR(ABS(D269/VLOOKUP(2*$B269,$B270:D303,3,TRUE)),"--")</f>
        <v>--</v>
      </c>
      <c r="J269" s="43" t="str">
        <f>IFERROR(ABS(E269/VLOOKUP(2*$B269,$B270:E303,4,TRUE)),"--")</f>
        <v>--</v>
      </c>
      <c r="K269" s="43" t="str">
        <f>IFERROR(ABS(F269/VLOOKUP(2*$B269,$B270:F303,5,TRUE)),"--")</f>
        <v>--</v>
      </c>
      <c r="L269" s="43" t="str">
        <f>IFERROR(ABS(G269/VLOOKUP(2*$B269,$B270:G303,6,TRUE)),"--")</f>
        <v>--</v>
      </c>
      <c r="M269" s="38">
        <f>IF(AND(1+$Q$6&gt;H269,1-$Q$6&lt;H269,1+$Q$6&gt;I269,1-$Q$6&lt;I269,1+$Q$6&gt;J269,1-$Q$6&lt;J269,1+$Q$6&gt;K269,1-$Q$6&lt;K269,1+$Q$6&gt;L269,1-$Q$6&lt;L269),IF(SUM($M$2:M268)=0,1,0),0)</f>
        <v>0</v>
      </c>
      <c r="N269" s="38">
        <f>IF(AND(1+$Q$7&gt;H269,1-$Q$7&lt;H269,1+$Q$7&gt;I269,1-$Q$7&lt;I269,1+$Q$7&gt;J269,1-$Q$7&lt;J269,1+$Q$7&gt;K269,1-$Q$7&lt;K269,1+$Q$7&gt;L269,1-$Q$7&lt;L269),IF(SUM($N$2:N268)=0,1,0),0)</f>
        <v>0</v>
      </c>
      <c r="O269" s="34">
        <f t="shared" si="4"/>
        <v>0</v>
      </c>
    </row>
    <row r="270" spans="8:15" ht="20.100000000000001" customHeight="1" x14ac:dyDescent="0.25">
      <c r="H270" s="43" t="str">
        <f>IFERROR(ABS(C270/VLOOKUP(2*$B270,$B271:C304,2,TRUE)),"--")</f>
        <v>--</v>
      </c>
      <c r="I270" s="43" t="str">
        <f>IFERROR(ABS(D270/VLOOKUP(2*$B270,$B271:D304,3,TRUE)),"--")</f>
        <v>--</v>
      </c>
      <c r="J270" s="43" t="str">
        <f>IFERROR(ABS(E270/VLOOKUP(2*$B270,$B271:E304,4,TRUE)),"--")</f>
        <v>--</v>
      </c>
      <c r="K270" s="43" t="str">
        <f>IFERROR(ABS(F270/VLOOKUP(2*$B270,$B271:F304,5,TRUE)),"--")</f>
        <v>--</v>
      </c>
      <c r="L270" s="43" t="str">
        <f>IFERROR(ABS(G270/VLOOKUP(2*$B270,$B271:G304,6,TRUE)),"--")</f>
        <v>--</v>
      </c>
      <c r="M270" s="38">
        <f>IF(AND(1+$Q$6&gt;H270,1-$Q$6&lt;H270,1+$Q$6&gt;I270,1-$Q$6&lt;I270,1+$Q$6&gt;J270,1-$Q$6&lt;J270,1+$Q$6&gt;K270,1-$Q$6&lt;K270,1+$Q$6&gt;L270,1-$Q$6&lt;L270),IF(SUM($M$2:M269)=0,1,0),0)</f>
        <v>0</v>
      </c>
      <c r="N270" s="38">
        <f>IF(AND(1+$Q$7&gt;H270,1-$Q$7&lt;H270,1+$Q$7&gt;I270,1-$Q$7&lt;I270,1+$Q$7&gt;J270,1-$Q$7&lt;J270,1+$Q$7&gt;K270,1-$Q$7&lt;K270,1+$Q$7&gt;L270,1-$Q$7&lt;L270),IF(SUM($N$2:N269)=0,1,0),0)</f>
        <v>0</v>
      </c>
      <c r="O270" s="34">
        <f t="shared" si="4"/>
        <v>0</v>
      </c>
    </row>
    <row r="271" spans="8:15" ht="20.100000000000001" customHeight="1" x14ac:dyDescent="0.25">
      <c r="H271" s="43" t="str">
        <f>IFERROR(ABS(C271/VLOOKUP(2*$B271,$B272:C305,2,TRUE)),"--")</f>
        <v>--</v>
      </c>
      <c r="I271" s="43" t="str">
        <f>IFERROR(ABS(D271/VLOOKUP(2*$B271,$B272:D305,3,TRUE)),"--")</f>
        <v>--</v>
      </c>
      <c r="J271" s="43" t="str">
        <f>IFERROR(ABS(E271/VLOOKUP(2*$B271,$B272:E305,4,TRUE)),"--")</f>
        <v>--</v>
      </c>
      <c r="K271" s="43" t="str">
        <f>IFERROR(ABS(F271/VLOOKUP(2*$B271,$B272:F305,5,TRUE)),"--")</f>
        <v>--</v>
      </c>
      <c r="L271" s="43" t="str">
        <f>IFERROR(ABS(G271/VLOOKUP(2*$B271,$B272:G305,6,TRUE)),"--")</f>
        <v>--</v>
      </c>
      <c r="M271" s="38">
        <f>IF(AND(1+$Q$6&gt;H271,1-$Q$6&lt;H271,1+$Q$6&gt;I271,1-$Q$6&lt;I271,1+$Q$6&gt;J271,1-$Q$6&lt;J271,1+$Q$6&gt;K271,1-$Q$6&lt;K271,1+$Q$6&gt;L271,1-$Q$6&lt;L271),IF(SUM($M$2:M270)=0,1,0),0)</f>
        <v>0</v>
      </c>
      <c r="N271" s="38">
        <f>IF(AND(1+$Q$7&gt;H271,1-$Q$7&lt;H271,1+$Q$7&gt;I271,1-$Q$7&lt;I271,1+$Q$7&gt;J271,1-$Q$7&lt;J271,1+$Q$7&gt;K271,1-$Q$7&lt;K271,1+$Q$7&gt;L271,1-$Q$7&lt;L271),IF(SUM($N$2:N270)=0,1,0),0)</f>
        <v>0</v>
      </c>
      <c r="O271" s="34">
        <f t="shared" si="4"/>
        <v>0</v>
      </c>
    </row>
    <row r="272" spans="8:15" ht="20.100000000000001" customHeight="1" x14ac:dyDescent="0.25">
      <c r="H272" s="43" t="str">
        <f>IFERROR(ABS(C272/VLOOKUP(2*$B272,$B273:C306,2,TRUE)),"--")</f>
        <v>--</v>
      </c>
      <c r="I272" s="43" t="str">
        <f>IFERROR(ABS(D272/VLOOKUP(2*$B272,$B273:D306,3,TRUE)),"--")</f>
        <v>--</v>
      </c>
      <c r="J272" s="43" t="str">
        <f>IFERROR(ABS(E272/VLOOKUP(2*$B272,$B273:E306,4,TRUE)),"--")</f>
        <v>--</v>
      </c>
      <c r="K272" s="43" t="str">
        <f>IFERROR(ABS(F272/VLOOKUP(2*$B272,$B273:F306,5,TRUE)),"--")</f>
        <v>--</v>
      </c>
      <c r="L272" s="43" t="str">
        <f>IFERROR(ABS(G272/VLOOKUP(2*$B272,$B273:G306,6,TRUE)),"--")</f>
        <v>--</v>
      </c>
      <c r="M272" s="38">
        <f>IF(AND(1+$Q$6&gt;H272,1-$Q$6&lt;H272,1+$Q$6&gt;I272,1-$Q$6&lt;I272,1+$Q$6&gt;J272,1-$Q$6&lt;J272,1+$Q$6&gt;K272,1-$Q$6&lt;K272,1+$Q$6&gt;L272,1-$Q$6&lt;L272),IF(SUM($M$2:M271)=0,1,0),0)</f>
        <v>0</v>
      </c>
      <c r="N272" s="38">
        <f>IF(AND(1+$Q$7&gt;H272,1-$Q$7&lt;H272,1+$Q$7&gt;I272,1-$Q$7&lt;I272,1+$Q$7&gt;J272,1-$Q$7&lt;J272,1+$Q$7&gt;K272,1-$Q$7&lt;K272,1+$Q$7&gt;L272,1-$Q$7&lt;L272),IF(SUM($N$2:N271)=0,1,0),0)</f>
        <v>0</v>
      </c>
      <c r="O272" s="34">
        <f t="shared" si="4"/>
        <v>0</v>
      </c>
    </row>
    <row r="273" spans="8:15" ht="20.100000000000001" customHeight="1" x14ac:dyDescent="0.25">
      <c r="H273" s="43" t="str">
        <f>IFERROR(ABS(C273/VLOOKUP(2*$B273,$B274:C307,2,TRUE)),"--")</f>
        <v>--</v>
      </c>
      <c r="I273" s="43" t="str">
        <f>IFERROR(ABS(D273/VLOOKUP(2*$B273,$B274:D307,3,TRUE)),"--")</f>
        <v>--</v>
      </c>
      <c r="J273" s="43" t="str">
        <f>IFERROR(ABS(E273/VLOOKUP(2*$B273,$B274:E307,4,TRUE)),"--")</f>
        <v>--</v>
      </c>
      <c r="K273" s="43" t="str">
        <f>IFERROR(ABS(F273/VLOOKUP(2*$B273,$B274:F307,5,TRUE)),"--")</f>
        <v>--</v>
      </c>
      <c r="L273" s="43" t="str">
        <f>IFERROR(ABS(G273/VLOOKUP(2*$B273,$B274:G307,6,TRUE)),"--")</f>
        <v>--</v>
      </c>
      <c r="M273" s="38">
        <f>IF(AND(1+$Q$6&gt;H273,1-$Q$6&lt;H273,1+$Q$6&gt;I273,1-$Q$6&lt;I273,1+$Q$6&gt;J273,1-$Q$6&lt;J273,1+$Q$6&gt;K273,1-$Q$6&lt;K273,1+$Q$6&gt;L273,1-$Q$6&lt;L273),IF(SUM($M$2:M272)=0,1,0),0)</f>
        <v>0</v>
      </c>
      <c r="N273" s="38">
        <f>IF(AND(1+$Q$7&gt;H273,1-$Q$7&lt;H273,1+$Q$7&gt;I273,1-$Q$7&lt;I273,1+$Q$7&gt;J273,1-$Q$7&lt;J273,1+$Q$7&gt;K273,1-$Q$7&lt;K273,1+$Q$7&gt;L273,1-$Q$7&lt;L273),IF(SUM($N$2:N272)=0,1,0),0)</f>
        <v>0</v>
      </c>
      <c r="O273" s="34">
        <f t="shared" si="4"/>
        <v>0</v>
      </c>
    </row>
    <row r="274" spans="8:15" ht="20.100000000000001" customHeight="1" x14ac:dyDescent="0.25">
      <c r="H274" s="43" t="str">
        <f>IFERROR(ABS(C274/VLOOKUP(2*$B274,$B275:C308,2,TRUE)),"--")</f>
        <v>--</v>
      </c>
      <c r="I274" s="43" t="str">
        <f>IFERROR(ABS(D274/VLOOKUP(2*$B274,$B275:D308,3,TRUE)),"--")</f>
        <v>--</v>
      </c>
      <c r="J274" s="43" t="str">
        <f>IFERROR(ABS(E274/VLOOKUP(2*$B274,$B275:E308,4,TRUE)),"--")</f>
        <v>--</v>
      </c>
      <c r="K274" s="43" t="str">
        <f>IFERROR(ABS(F274/VLOOKUP(2*$B274,$B275:F308,5,TRUE)),"--")</f>
        <v>--</v>
      </c>
      <c r="L274" s="43" t="str">
        <f>IFERROR(ABS(G274/VLOOKUP(2*$B274,$B275:G308,6,TRUE)),"--")</f>
        <v>--</v>
      </c>
      <c r="M274" s="38">
        <f>IF(AND(1+$Q$6&gt;H274,1-$Q$6&lt;H274,1+$Q$6&gt;I274,1-$Q$6&lt;I274,1+$Q$6&gt;J274,1-$Q$6&lt;J274,1+$Q$6&gt;K274,1-$Q$6&lt;K274,1+$Q$6&gt;L274,1-$Q$6&lt;L274),IF(SUM($M$2:M273)=0,1,0),0)</f>
        <v>0</v>
      </c>
      <c r="N274" s="38">
        <f>IF(AND(1+$Q$7&gt;H274,1-$Q$7&lt;H274,1+$Q$7&gt;I274,1-$Q$7&lt;I274,1+$Q$7&gt;J274,1-$Q$7&lt;J274,1+$Q$7&gt;K274,1-$Q$7&lt;K274,1+$Q$7&gt;L274,1-$Q$7&lt;L274),IF(SUM($N$2:N273)=0,1,0),0)</f>
        <v>0</v>
      </c>
      <c r="O274" s="34">
        <f t="shared" si="4"/>
        <v>0</v>
      </c>
    </row>
    <row r="275" spans="8:15" ht="20.100000000000001" customHeight="1" x14ac:dyDescent="0.25">
      <c r="H275" s="43" t="str">
        <f>IFERROR(ABS(C275/VLOOKUP(2*$B275,$B276:C309,2,TRUE)),"--")</f>
        <v>--</v>
      </c>
      <c r="I275" s="43" t="str">
        <f>IFERROR(ABS(D275/VLOOKUP(2*$B275,$B276:D309,3,TRUE)),"--")</f>
        <v>--</v>
      </c>
      <c r="J275" s="43" t="str">
        <f>IFERROR(ABS(E275/VLOOKUP(2*$B275,$B276:E309,4,TRUE)),"--")</f>
        <v>--</v>
      </c>
      <c r="K275" s="43" t="str">
        <f>IFERROR(ABS(F275/VLOOKUP(2*$B275,$B276:F309,5,TRUE)),"--")</f>
        <v>--</v>
      </c>
      <c r="L275" s="43" t="str">
        <f>IFERROR(ABS(G275/VLOOKUP(2*$B275,$B276:G309,6,TRUE)),"--")</f>
        <v>--</v>
      </c>
      <c r="M275" s="38">
        <f>IF(AND(1+$Q$6&gt;H275,1-$Q$6&lt;H275,1+$Q$6&gt;I275,1-$Q$6&lt;I275,1+$Q$6&gt;J275,1-$Q$6&lt;J275,1+$Q$6&gt;K275,1-$Q$6&lt;K275,1+$Q$6&gt;L275,1-$Q$6&lt;L275),IF(SUM($M$2:M274)=0,1,0),0)</f>
        <v>0</v>
      </c>
      <c r="N275" s="38">
        <f>IF(AND(1+$Q$7&gt;H275,1-$Q$7&lt;H275,1+$Q$7&gt;I275,1-$Q$7&lt;I275,1+$Q$7&gt;J275,1-$Q$7&lt;J275,1+$Q$7&gt;K275,1-$Q$7&lt;K275,1+$Q$7&gt;L275,1-$Q$7&lt;L275),IF(SUM($N$2:N274)=0,1,0),0)</f>
        <v>0</v>
      </c>
      <c r="O275" s="34">
        <f t="shared" si="4"/>
        <v>0</v>
      </c>
    </row>
    <row r="276" spans="8:15" ht="20.100000000000001" customHeight="1" x14ac:dyDescent="0.25">
      <c r="H276" s="43" t="str">
        <f>IFERROR(ABS(C276/VLOOKUP(2*$B276,$B277:C310,2,TRUE)),"--")</f>
        <v>--</v>
      </c>
      <c r="I276" s="43" t="str">
        <f>IFERROR(ABS(D276/VLOOKUP(2*$B276,$B277:D310,3,TRUE)),"--")</f>
        <v>--</v>
      </c>
      <c r="J276" s="43" t="str">
        <f>IFERROR(ABS(E276/VLOOKUP(2*$B276,$B277:E310,4,TRUE)),"--")</f>
        <v>--</v>
      </c>
      <c r="K276" s="43" t="str">
        <f>IFERROR(ABS(F276/VLOOKUP(2*$B276,$B277:F310,5,TRUE)),"--")</f>
        <v>--</v>
      </c>
      <c r="L276" s="43" t="str">
        <f>IFERROR(ABS(G276/VLOOKUP(2*$B276,$B277:G310,6,TRUE)),"--")</f>
        <v>--</v>
      </c>
      <c r="M276" s="38">
        <f>IF(AND(1+$Q$6&gt;H276,1-$Q$6&lt;H276,1+$Q$6&gt;I276,1-$Q$6&lt;I276,1+$Q$6&gt;J276,1-$Q$6&lt;J276,1+$Q$6&gt;K276,1-$Q$6&lt;K276,1+$Q$6&gt;L276,1-$Q$6&lt;L276),IF(SUM($M$2:M275)=0,1,0),0)</f>
        <v>0</v>
      </c>
      <c r="N276" s="38">
        <f>IF(AND(1+$Q$7&gt;H276,1-$Q$7&lt;H276,1+$Q$7&gt;I276,1-$Q$7&lt;I276,1+$Q$7&gt;J276,1-$Q$7&lt;J276,1+$Q$7&gt;K276,1-$Q$7&lt;K276,1+$Q$7&gt;L276,1-$Q$7&lt;L276),IF(SUM($N$2:N275)=0,1,0),0)</f>
        <v>0</v>
      </c>
      <c r="O276" s="34">
        <f t="shared" si="4"/>
        <v>0</v>
      </c>
    </row>
    <row r="277" spans="8:15" ht="20.100000000000001" customHeight="1" x14ac:dyDescent="0.25">
      <c r="H277" s="43" t="str">
        <f>IFERROR(ABS(C277/VLOOKUP(2*$B277,$B278:C311,2,TRUE)),"--")</f>
        <v>--</v>
      </c>
      <c r="I277" s="43" t="str">
        <f>IFERROR(ABS(D277/VLOOKUP(2*$B277,$B278:D311,3,TRUE)),"--")</f>
        <v>--</v>
      </c>
      <c r="J277" s="43" t="str">
        <f>IFERROR(ABS(E277/VLOOKUP(2*$B277,$B278:E311,4,TRUE)),"--")</f>
        <v>--</v>
      </c>
      <c r="K277" s="43" t="str">
        <f>IFERROR(ABS(F277/VLOOKUP(2*$B277,$B278:F311,5,TRUE)),"--")</f>
        <v>--</v>
      </c>
      <c r="L277" s="43" t="str">
        <f>IFERROR(ABS(G277/VLOOKUP(2*$B277,$B278:G311,6,TRUE)),"--")</f>
        <v>--</v>
      </c>
      <c r="M277" s="38">
        <f>IF(AND(1+$Q$6&gt;H277,1-$Q$6&lt;H277,1+$Q$6&gt;I277,1-$Q$6&lt;I277,1+$Q$6&gt;J277,1-$Q$6&lt;J277,1+$Q$6&gt;K277,1-$Q$6&lt;K277,1+$Q$6&gt;L277,1-$Q$6&lt;L277),IF(SUM($M$2:M276)=0,1,0),0)</f>
        <v>0</v>
      </c>
      <c r="N277" s="38">
        <f>IF(AND(1+$Q$7&gt;H277,1-$Q$7&lt;H277,1+$Q$7&gt;I277,1-$Q$7&lt;I277,1+$Q$7&gt;J277,1-$Q$7&lt;J277,1+$Q$7&gt;K277,1-$Q$7&lt;K277,1+$Q$7&gt;L277,1-$Q$7&lt;L277),IF(SUM($N$2:N276)=0,1,0),0)</f>
        <v>0</v>
      </c>
      <c r="O277" s="34">
        <f t="shared" si="4"/>
        <v>0</v>
      </c>
    </row>
    <row r="278" spans="8:15" ht="20.100000000000001" customHeight="1" x14ac:dyDescent="0.25">
      <c r="H278" s="43" t="str">
        <f>IFERROR(ABS(C278/VLOOKUP(2*$B278,$B279:C312,2,TRUE)),"--")</f>
        <v>--</v>
      </c>
      <c r="I278" s="43" t="str">
        <f>IFERROR(ABS(D278/VLOOKUP(2*$B278,$B279:D312,3,TRUE)),"--")</f>
        <v>--</v>
      </c>
      <c r="J278" s="43" t="str">
        <f>IFERROR(ABS(E278/VLOOKUP(2*$B278,$B279:E312,4,TRUE)),"--")</f>
        <v>--</v>
      </c>
      <c r="K278" s="43" t="str">
        <f>IFERROR(ABS(F278/VLOOKUP(2*$B278,$B279:F312,5,TRUE)),"--")</f>
        <v>--</v>
      </c>
      <c r="L278" s="43" t="str">
        <f>IFERROR(ABS(G278/VLOOKUP(2*$B278,$B279:G312,6,TRUE)),"--")</f>
        <v>--</v>
      </c>
      <c r="M278" s="38">
        <f>IF(AND(1+$Q$6&gt;H278,1-$Q$6&lt;H278,1+$Q$6&gt;I278,1-$Q$6&lt;I278,1+$Q$6&gt;J278,1-$Q$6&lt;J278,1+$Q$6&gt;K278,1-$Q$6&lt;K278,1+$Q$6&gt;L278,1-$Q$6&lt;L278),IF(SUM($M$2:M277)=0,1,0),0)</f>
        <v>0</v>
      </c>
      <c r="N278" s="38">
        <f>IF(AND(1+$Q$7&gt;H278,1-$Q$7&lt;H278,1+$Q$7&gt;I278,1-$Q$7&lt;I278,1+$Q$7&gt;J278,1-$Q$7&lt;J278,1+$Q$7&gt;K278,1-$Q$7&lt;K278,1+$Q$7&gt;L278,1-$Q$7&lt;L278),IF(SUM($N$2:N277)=0,1,0),0)</f>
        <v>0</v>
      </c>
      <c r="O278" s="34">
        <f t="shared" si="4"/>
        <v>0</v>
      </c>
    </row>
    <row r="279" spans="8:15" ht="20.100000000000001" customHeight="1" x14ac:dyDescent="0.25">
      <c r="H279" s="43" t="str">
        <f>IFERROR(ABS(C279/VLOOKUP(2*$B279,$B280:C313,2,TRUE)),"--")</f>
        <v>--</v>
      </c>
      <c r="I279" s="43" t="str">
        <f>IFERROR(ABS(D279/VLOOKUP(2*$B279,$B280:D313,3,TRUE)),"--")</f>
        <v>--</v>
      </c>
      <c r="J279" s="43" t="str">
        <f>IFERROR(ABS(E279/VLOOKUP(2*$B279,$B280:E313,4,TRUE)),"--")</f>
        <v>--</v>
      </c>
      <c r="K279" s="43" t="str">
        <f>IFERROR(ABS(F279/VLOOKUP(2*$B279,$B280:F313,5,TRUE)),"--")</f>
        <v>--</v>
      </c>
      <c r="L279" s="43" t="str">
        <f>IFERROR(ABS(G279/VLOOKUP(2*$B279,$B280:G313,6,TRUE)),"--")</f>
        <v>--</v>
      </c>
      <c r="M279" s="38">
        <f>IF(AND(1+$Q$6&gt;H279,1-$Q$6&lt;H279,1+$Q$6&gt;I279,1-$Q$6&lt;I279,1+$Q$6&gt;J279,1-$Q$6&lt;J279,1+$Q$6&gt;K279,1-$Q$6&lt;K279,1+$Q$6&gt;L279,1-$Q$6&lt;L279),IF(SUM($M$2:M278)=0,1,0),0)</f>
        <v>0</v>
      </c>
      <c r="N279" s="38">
        <f>IF(AND(1+$Q$7&gt;H279,1-$Q$7&lt;H279,1+$Q$7&gt;I279,1-$Q$7&lt;I279,1+$Q$7&gt;J279,1-$Q$7&lt;J279,1+$Q$7&gt;K279,1-$Q$7&lt;K279,1+$Q$7&gt;L279,1-$Q$7&lt;L279),IF(SUM($N$2:N278)=0,1,0),0)</f>
        <v>0</v>
      </c>
      <c r="O279" s="34">
        <f t="shared" si="4"/>
        <v>0</v>
      </c>
    </row>
    <row r="280" spans="8:15" ht="20.100000000000001" customHeight="1" x14ac:dyDescent="0.25">
      <c r="H280" s="43" t="str">
        <f>IFERROR(ABS(C280/VLOOKUP(2*$B280,$B281:C314,2,TRUE)),"--")</f>
        <v>--</v>
      </c>
      <c r="I280" s="43" t="str">
        <f>IFERROR(ABS(D280/VLOOKUP(2*$B280,$B281:D314,3,TRUE)),"--")</f>
        <v>--</v>
      </c>
      <c r="J280" s="43" t="str">
        <f>IFERROR(ABS(E280/VLOOKUP(2*$B280,$B281:E314,4,TRUE)),"--")</f>
        <v>--</v>
      </c>
      <c r="K280" s="43" t="str">
        <f>IFERROR(ABS(F280/VLOOKUP(2*$B280,$B281:F314,5,TRUE)),"--")</f>
        <v>--</v>
      </c>
      <c r="L280" s="43" t="str">
        <f>IFERROR(ABS(G280/VLOOKUP(2*$B280,$B281:G314,6,TRUE)),"--")</f>
        <v>--</v>
      </c>
      <c r="M280" s="38">
        <f>IF(AND(1+$Q$6&gt;H280,1-$Q$6&lt;H280,1+$Q$6&gt;I280,1-$Q$6&lt;I280,1+$Q$6&gt;J280,1-$Q$6&lt;J280,1+$Q$6&gt;K280,1-$Q$6&lt;K280,1+$Q$6&gt;L280,1-$Q$6&lt;L280),IF(SUM($M$2:M279)=0,1,0),0)</f>
        <v>0</v>
      </c>
      <c r="N280" s="38">
        <f>IF(AND(1+$Q$7&gt;H280,1-$Q$7&lt;H280,1+$Q$7&gt;I280,1-$Q$7&lt;I280,1+$Q$7&gt;J280,1-$Q$7&lt;J280,1+$Q$7&gt;K280,1-$Q$7&lt;K280,1+$Q$7&gt;L280,1-$Q$7&lt;L280),IF(SUM($N$2:N279)=0,1,0),0)</f>
        <v>0</v>
      </c>
      <c r="O280" s="34">
        <f t="shared" si="4"/>
        <v>0</v>
      </c>
    </row>
    <row r="281" spans="8:15" ht="20.100000000000001" customHeight="1" x14ac:dyDescent="0.25">
      <c r="H281" s="43" t="str">
        <f>IFERROR(ABS(C281/VLOOKUP(2*$B281,$B282:C315,2,TRUE)),"--")</f>
        <v>--</v>
      </c>
      <c r="I281" s="43" t="str">
        <f>IFERROR(ABS(D281/VLOOKUP(2*$B281,$B282:D315,3,TRUE)),"--")</f>
        <v>--</v>
      </c>
      <c r="J281" s="43" t="str">
        <f>IFERROR(ABS(E281/VLOOKUP(2*$B281,$B282:E315,4,TRUE)),"--")</f>
        <v>--</v>
      </c>
      <c r="K281" s="43" t="str">
        <f>IFERROR(ABS(F281/VLOOKUP(2*$B281,$B282:F315,5,TRUE)),"--")</f>
        <v>--</v>
      </c>
      <c r="L281" s="43" t="str">
        <f>IFERROR(ABS(G281/VLOOKUP(2*$B281,$B282:G315,6,TRUE)),"--")</f>
        <v>--</v>
      </c>
      <c r="M281" s="38">
        <f>IF(AND(1+$Q$6&gt;H281,1-$Q$6&lt;H281,1+$Q$6&gt;I281,1-$Q$6&lt;I281,1+$Q$6&gt;J281,1-$Q$6&lt;J281,1+$Q$6&gt;K281,1-$Q$6&lt;K281,1+$Q$6&gt;L281,1-$Q$6&lt;L281),IF(SUM($M$2:M280)=0,1,0),0)</f>
        <v>0</v>
      </c>
      <c r="N281" s="38">
        <f>IF(AND(1+$Q$7&gt;H281,1-$Q$7&lt;H281,1+$Q$7&gt;I281,1-$Q$7&lt;I281,1+$Q$7&gt;J281,1-$Q$7&lt;J281,1+$Q$7&gt;K281,1-$Q$7&lt;K281,1+$Q$7&gt;L281,1-$Q$7&lt;L281),IF(SUM($N$2:N280)=0,1,0),0)</f>
        <v>0</v>
      </c>
      <c r="O281" s="34">
        <f t="shared" si="4"/>
        <v>0</v>
      </c>
    </row>
    <row r="282" spans="8:15" ht="20.100000000000001" customHeight="1" x14ac:dyDescent="0.25">
      <c r="H282" s="43" t="str">
        <f>IFERROR(ABS(C282/VLOOKUP(2*$B282,$B283:C316,2,TRUE)),"--")</f>
        <v>--</v>
      </c>
      <c r="I282" s="43" t="str">
        <f>IFERROR(ABS(D282/VLOOKUP(2*$B282,$B283:D316,3,TRUE)),"--")</f>
        <v>--</v>
      </c>
      <c r="J282" s="43" t="str">
        <f>IFERROR(ABS(E282/VLOOKUP(2*$B282,$B283:E316,4,TRUE)),"--")</f>
        <v>--</v>
      </c>
      <c r="K282" s="43" t="str">
        <f>IFERROR(ABS(F282/VLOOKUP(2*$B282,$B283:F316,5,TRUE)),"--")</f>
        <v>--</v>
      </c>
      <c r="L282" s="43" t="str">
        <f>IFERROR(ABS(G282/VLOOKUP(2*$B282,$B283:G316,6,TRUE)),"--")</f>
        <v>--</v>
      </c>
      <c r="M282" s="38">
        <f>IF(AND(1+$Q$6&gt;H282,1-$Q$6&lt;H282,1+$Q$6&gt;I282,1-$Q$6&lt;I282,1+$Q$6&gt;J282,1-$Q$6&lt;J282,1+$Q$6&gt;K282,1-$Q$6&lt;K282,1+$Q$6&gt;L282,1-$Q$6&lt;L282),IF(SUM($M$2:M281)=0,1,0),0)</f>
        <v>0</v>
      </c>
      <c r="N282" s="38">
        <f>IF(AND(1+$Q$7&gt;H282,1-$Q$7&lt;H282,1+$Q$7&gt;I282,1-$Q$7&lt;I282,1+$Q$7&gt;J282,1-$Q$7&lt;J282,1+$Q$7&gt;K282,1-$Q$7&lt;K282,1+$Q$7&gt;L282,1-$Q$7&lt;L282),IF(SUM($N$2:N281)=0,1,0),0)</f>
        <v>0</v>
      </c>
      <c r="O282" s="34">
        <f t="shared" si="4"/>
        <v>0</v>
      </c>
    </row>
    <row r="283" spans="8:15" ht="20.100000000000001" customHeight="1" x14ac:dyDescent="0.25">
      <c r="H283" s="43" t="str">
        <f>IFERROR(ABS(C283/VLOOKUP(2*$B283,$B284:C317,2,TRUE)),"--")</f>
        <v>--</v>
      </c>
      <c r="I283" s="43" t="str">
        <f>IFERROR(ABS(D283/VLOOKUP(2*$B283,$B284:D317,3,TRUE)),"--")</f>
        <v>--</v>
      </c>
      <c r="J283" s="43" t="str">
        <f>IFERROR(ABS(E283/VLOOKUP(2*$B283,$B284:E317,4,TRUE)),"--")</f>
        <v>--</v>
      </c>
      <c r="K283" s="43" t="str">
        <f>IFERROR(ABS(F283/VLOOKUP(2*$B283,$B284:F317,5,TRUE)),"--")</f>
        <v>--</v>
      </c>
      <c r="L283" s="43" t="str">
        <f>IFERROR(ABS(G283/VLOOKUP(2*$B283,$B284:G317,6,TRUE)),"--")</f>
        <v>--</v>
      </c>
      <c r="M283" s="38">
        <f>IF(AND(1+$Q$6&gt;H283,1-$Q$6&lt;H283,1+$Q$6&gt;I283,1-$Q$6&lt;I283,1+$Q$6&gt;J283,1-$Q$6&lt;J283,1+$Q$6&gt;K283,1-$Q$6&lt;K283,1+$Q$6&gt;L283,1-$Q$6&lt;L283),IF(SUM($M$2:M282)=0,1,0),0)</f>
        <v>0</v>
      </c>
      <c r="N283" s="38">
        <f>IF(AND(1+$Q$7&gt;H283,1-$Q$7&lt;H283,1+$Q$7&gt;I283,1-$Q$7&lt;I283,1+$Q$7&gt;J283,1-$Q$7&lt;J283,1+$Q$7&gt;K283,1-$Q$7&lt;K283,1+$Q$7&gt;L283,1-$Q$7&lt;L283),IF(SUM($N$2:N282)=0,1,0),0)</f>
        <v>0</v>
      </c>
      <c r="O283" s="34">
        <f t="shared" si="4"/>
        <v>0</v>
      </c>
    </row>
    <row r="284" spans="8:15" ht="20.100000000000001" customHeight="1" x14ac:dyDescent="0.25">
      <c r="H284" s="43" t="str">
        <f>IFERROR(ABS(C284/VLOOKUP(2*$B284,$B285:C318,2,TRUE)),"--")</f>
        <v>--</v>
      </c>
      <c r="I284" s="43" t="str">
        <f>IFERROR(ABS(D284/VLOOKUP(2*$B284,$B285:D318,3,TRUE)),"--")</f>
        <v>--</v>
      </c>
      <c r="J284" s="43" t="str">
        <f>IFERROR(ABS(E284/VLOOKUP(2*$B284,$B285:E318,4,TRUE)),"--")</f>
        <v>--</v>
      </c>
      <c r="K284" s="43" t="str">
        <f>IFERROR(ABS(F284/VLOOKUP(2*$B284,$B285:F318,5,TRUE)),"--")</f>
        <v>--</v>
      </c>
      <c r="L284" s="43" t="str">
        <f>IFERROR(ABS(G284/VLOOKUP(2*$B284,$B285:G318,6,TRUE)),"--")</f>
        <v>--</v>
      </c>
      <c r="M284" s="38">
        <f>IF(AND(1+$Q$6&gt;H284,1-$Q$6&lt;H284,1+$Q$6&gt;I284,1-$Q$6&lt;I284,1+$Q$6&gt;J284,1-$Q$6&lt;J284,1+$Q$6&gt;K284,1-$Q$6&lt;K284,1+$Q$6&gt;L284,1-$Q$6&lt;L284),IF(SUM($M$2:M283)=0,1,0),0)</f>
        <v>0</v>
      </c>
      <c r="N284" s="38">
        <f>IF(AND(1+$Q$7&gt;H284,1-$Q$7&lt;H284,1+$Q$7&gt;I284,1-$Q$7&lt;I284,1+$Q$7&gt;J284,1-$Q$7&lt;J284,1+$Q$7&gt;K284,1-$Q$7&lt;K284,1+$Q$7&gt;L284,1-$Q$7&lt;L284),IF(SUM($N$2:N283)=0,1,0),0)</f>
        <v>0</v>
      </c>
      <c r="O284" s="34">
        <f t="shared" si="4"/>
        <v>0</v>
      </c>
    </row>
    <row r="285" spans="8:15" ht="20.100000000000001" customHeight="1" x14ac:dyDescent="0.25">
      <c r="H285" s="43" t="str">
        <f>IFERROR(ABS(C285/VLOOKUP(2*$B285,$B286:C319,2,TRUE)),"--")</f>
        <v>--</v>
      </c>
      <c r="I285" s="43" t="str">
        <f>IFERROR(ABS(D285/VLOOKUP(2*$B285,$B286:D319,3,TRUE)),"--")</f>
        <v>--</v>
      </c>
      <c r="J285" s="43" t="str">
        <f>IFERROR(ABS(E285/VLOOKUP(2*$B285,$B286:E319,4,TRUE)),"--")</f>
        <v>--</v>
      </c>
      <c r="K285" s="43" t="str">
        <f>IFERROR(ABS(F285/VLOOKUP(2*$B285,$B286:F319,5,TRUE)),"--")</f>
        <v>--</v>
      </c>
      <c r="L285" s="43" t="str">
        <f>IFERROR(ABS(G285/VLOOKUP(2*$B285,$B286:G319,6,TRUE)),"--")</f>
        <v>--</v>
      </c>
      <c r="M285" s="38">
        <f>IF(AND(1+$Q$6&gt;H285,1-$Q$6&lt;H285,1+$Q$6&gt;I285,1-$Q$6&lt;I285,1+$Q$6&gt;J285,1-$Q$6&lt;J285,1+$Q$6&gt;K285,1-$Q$6&lt;K285,1+$Q$6&gt;L285,1-$Q$6&lt;L285),IF(SUM($M$2:M284)=0,1,0),0)</f>
        <v>0</v>
      </c>
      <c r="N285" s="38">
        <f>IF(AND(1+$Q$7&gt;H285,1-$Q$7&lt;H285,1+$Q$7&gt;I285,1-$Q$7&lt;I285,1+$Q$7&gt;J285,1-$Q$7&lt;J285,1+$Q$7&gt;K285,1-$Q$7&lt;K285,1+$Q$7&gt;L285,1-$Q$7&lt;L285),IF(SUM($N$2:N284)=0,1,0),0)</f>
        <v>0</v>
      </c>
      <c r="O285" s="34">
        <f t="shared" si="4"/>
        <v>0</v>
      </c>
    </row>
    <row r="286" spans="8:15" ht="20.100000000000001" customHeight="1" x14ac:dyDescent="0.25">
      <c r="H286" s="43" t="str">
        <f>IFERROR(ABS(C286/VLOOKUP(2*$B286,$B287:C320,2,TRUE)),"--")</f>
        <v>--</v>
      </c>
      <c r="I286" s="43" t="str">
        <f>IFERROR(ABS(D286/VLOOKUP(2*$B286,$B287:D320,3,TRUE)),"--")</f>
        <v>--</v>
      </c>
      <c r="J286" s="43" t="str">
        <f>IFERROR(ABS(E286/VLOOKUP(2*$B286,$B287:E320,4,TRUE)),"--")</f>
        <v>--</v>
      </c>
      <c r="K286" s="43" t="str">
        <f>IFERROR(ABS(F286/VLOOKUP(2*$B286,$B287:F320,5,TRUE)),"--")</f>
        <v>--</v>
      </c>
      <c r="L286" s="43" t="str">
        <f>IFERROR(ABS(G286/VLOOKUP(2*$B286,$B287:G320,6,TRUE)),"--")</f>
        <v>--</v>
      </c>
      <c r="M286" s="38">
        <f>IF(AND(1+$Q$6&gt;H286,1-$Q$6&lt;H286,1+$Q$6&gt;I286,1-$Q$6&lt;I286,1+$Q$6&gt;J286,1-$Q$6&lt;J286,1+$Q$6&gt;K286,1-$Q$6&lt;K286,1+$Q$6&gt;L286,1-$Q$6&lt;L286),IF(SUM($M$2:M285)=0,1,0),0)</f>
        <v>0</v>
      </c>
      <c r="N286" s="38">
        <f>IF(AND(1+$Q$7&gt;H286,1-$Q$7&lt;H286,1+$Q$7&gt;I286,1-$Q$7&lt;I286,1+$Q$7&gt;J286,1-$Q$7&lt;J286,1+$Q$7&gt;K286,1-$Q$7&lt;K286,1+$Q$7&gt;L286,1-$Q$7&lt;L286),IF(SUM($N$2:N285)=0,1,0),0)</f>
        <v>0</v>
      </c>
      <c r="O286" s="34">
        <f t="shared" si="4"/>
        <v>0</v>
      </c>
    </row>
    <row r="287" spans="8:15" ht="20.100000000000001" customHeight="1" x14ac:dyDescent="0.25">
      <c r="H287" s="43" t="str">
        <f>IFERROR(ABS(C287/VLOOKUP(2*$B287,$B288:C321,2,TRUE)),"--")</f>
        <v>--</v>
      </c>
      <c r="I287" s="43" t="str">
        <f>IFERROR(ABS(D287/VLOOKUP(2*$B287,$B288:D321,3,TRUE)),"--")</f>
        <v>--</v>
      </c>
      <c r="J287" s="43" t="str">
        <f>IFERROR(ABS(E287/VLOOKUP(2*$B287,$B288:E321,4,TRUE)),"--")</f>
        <v>--</v>
      </c>
      <c r="K287" s="43" t="str">
        <f>IFERROR(ABS(F287/VLOOKUP(2*$B287,$B288:F321,5,TRUE)),"--")</f>
        <v>--</v>
      </c>
      <c r="L287" s="43" t="str">
        <f>IFERROR(ABS(G287/VLOOKUP(2*$B287,$B288:G321,6,TRUE)),"--")</f>
        <v>--</v>
      </c>
      <c r="M287" s="38">
        <f>IF(AND(1+$Q$6&gt;H287,1-$Q$6&lt;H287,1+$Q$6&gt;I287,1-$Q$6&lt;I287,1+$Q$6&gt;J287,1-$Q$6&lt;J287,1+$Q$6&gt;K287,1-$Q$6&lt;K287,1+$Q$6&gt;L287,1-$Q$6&lt;L287),IF(SUM($M$2:M286)=0,1,0),0)</f>
        <v>0</v>
      </c>
      <c r="N287" s="38">
        <f>IF(AND(1+$Q$7&gt;H287,1-$Q$7&lt;H287,1+$Q$7&gt;I287,1-$Q$7&lt;I287,1+$Q$7&gt;J287,1-$Q$7&lt;J287,1+$Q$7&gt;K287,1-$Q$7&lt;K287,1+$Q$7&gt;L287,1-$Q$7&lt;L287),IF(SUM($N$2:N286)=0,1,0),0)</f>
        <v>0</v>
      </c>
      <c r="O287" s="34">
        <f t="shared" si="4"/>
        <v>0</v>
      </c>
    </row>
    <row r="288" spans="8:15" ht="20.100000000000001" customHeight="1" x14ac:dyDescent="0.25">
      <c r="H288" s="43" t="str">
        <f>IFERROR(ABS(C288/VLOOKUP(2*$B288,$B289:C322,2,TRUE)),"--")</f>
        <v>--</v>
      </c>
      <c r="I288" s="43" t="str">
        <f>IFERROR(ABS(D288/VLOOKUP(2*$B288,$B289:D322,3,TRUE)),"--")</f>
        <v>--</v>
      </c>
      <c r="J288" s="43" t="str">
        <f>IFERROR(ABS(E288/VLOOKUP(2*$B288,$B289:E322,4,TRUE)),"--")</f>
        <v>--</v>
      </c>
      <c r="K288" s="43" t="str">
        <f>IFERROR(ABS(F288/VLOOKUP(2*$B288,$B289:F322,5,TRUE)),"--")</f>
        <v>--</v>
      </c>
      <c r="L288" s="43" t="str">
        <f>IFERROR(ABS(G288/VLOOKUP(2*$B288,$B289:G322,6,TRUE)),"--")</f>
        <v>--</v>
      </c>
      <c r="M288" s="38">
        <f>IF(AND(1+$Q$6&gt;H288,1-$Q$6&lt;H288,1+$Q$6&gt;I288,1-$Q$6&lt;I288,1+$Q$6&gt;J288,1-$Q$6&lt;J288,1+$Q$6&gt;K288,1-$Q$6&lt;K288,1+$Q$6&gt;L288,1-$Q$6&lt;L288),IF(SUM($M$2:M287)=0,1,0),0)</f>
        <v>0</v>
      </c>
      <c r="N288" s="38">
        <f>IF(AND(1+$Q$7&gt;H288,1-$Q$7&lt;H288,1+$Q$7&gt;I288,1-$Q$7&lt;I288,1+$Q$7&gt;J288,1-$Q$7&lt;J288,1+$Q$7&gt;K288,1-$Q$7&lt;K288,1+$Q$7&gt;L288,1-$Q$7&lt;L288),IF(SUM($N$2:N287)=0,1,0),0)</f>
        <v>0</v>
      </c>
      <c r="O288" s="34">
        <f t="shared" si="4"/>
        <v>0</v>
      </c>
    </row>
    <row r="289" spans="8:15" ht="20.100000000000001" customHeight="1" x14ac:dyDescent="0.25">
      <c r="H289" s="43" t="str">
        <f>IFERROR(ABS(C289/VLOOKUP(2*$B289,$B290:C323,2,TRUE)),"--")</f>
        <v>--</v>
      </c>
      <c r="I289" s="43" t="str">
        <f>IFERROR(ABS(D289/VLOOKUP(2*$B289,$B290:D323,3,TRUE)),"--")</f>
        <v>--</v>
      </c>
      <c r="J289" s="43" t="str">
        <f>IFERROR(ABS(E289/VLOOKUP(2*$B289,$B290:E323,4,TRUE)),"--")</f>
        <v>--</v>
      </c>
      <c r="K289" s="43" t="str">
        <f>IFERROR(ABS(F289/VLOOKUP(2*$B289,$B290:F323,5,TRUE)),"--")</f>
        <v>--</v>
      </c>
      <c r="L289" s="43" t="str">
        <f>IFERROR(ABS(G289/VLOOKUP(2*$B289,$B290:G323,6,TRUE)),"--")</f>
        <v>--</v>
      </c>
      <c r="M289" s="38">
        <f>IF(AND(1+$Q$6&gt;H289,1-$Q$6&lt;H289,1+$Q$6&gt;I289,1-$Q$6&lt;I289,1+$Q$6&gt;J289,1-$Q$6&lt;J289,1+$Q$6&gt;K289,1-$Q$6&lt;K289,1+$Q$6&gt;L289,1-$Q$6&lt;L289),IF(SUM($M$2:M288)=0,1,0),0)</f>
        <v>0</v>
      </c>
      <c r="N289" s="38">
        <f>IF(AND(1+$Q$7&gt;H289,1-$Q$7&lt;H289,1+$Q$7&gt;I289,1-$Q$7&lt;I289,1+$Q$7&gt;J289,1-$Q$7&lt;J289,1+$Q$7&gt;K289,1-$Q$7&lt;K289,1+$Q$7&gt;L289,1-$Q$7&lt;L289),IF(SUM($N$2:N288)=0,1,0),0)</f>
        <v>0</v>
      </c>
      <c r="O289" s="34">
        <f t="shared" si="4"/>
        <v>0</v>
      </c>
    </row>
    <row r="290" spans="8:15" ht="20.100000000000001" customHeight="1" x14ac:dyDescent="0.25">
      <c r="H290" s="43" t="str">
        <f>IFERROR(ABS(C290/VLOOKUP(2*$B290,$B291:C324,2,TRUE)),"--")</f>
        <v>--</v>
      </c>
      <c r="I290" s="43" t="str">
        <f>IFERROR(ABS(D290/VLOOKUP(2*$B290,$B291:D324,3,TRUE)),"--")</f>
        <v>--</v>
      </c>
      <c r="J290" s="43" t="str">
        <f>IFERROR(ABS(E290/VLOOKUP(2*$B290,$B291:E324,4,TRUE)),"--")</f>
        <v>--</v>
      </c>
      <c r="K290" s="43" t="str">
        <f>IFERROR(ABS(F290/VLOOKUP(2*$B290,$B291:F324,5,TRUE)),"--")</f>
        <v>--</v>
      </c>
      <c r="L290" s="43" t="str">
        <f>IFERROR(ABS(G290/VLOOKUP(2*$B290,$B291:G324,6,TRUE)),"--")</f>
        <v>--</v>
      </c>
      <c r="M290" s="38">
        <f>IF(AND(1+$Q$6&gt;H290,1-$Q$6&lt;H290,1+$Q$6&gt;I290,1-$Q$6&lt;I290,1+$Q$6&gt;J290,1-$Q$6&lt;J290,1+$Q$6&gt;K290,1-$Q$6&lt;K290,1+$Q$6&gt;L290,1-$Q$6&lt;L290),IF(SUM($M$2:M289)=0,1,0),0)</f>
        <v>0</v>
      </c>
      <c r="N290" s="38">
        <f>IF(AND(1+$Q$7&gt;H290,1-$Q$7&lt;H290,1+$Q$7&gt;I290,1-$Q$7&lt;I290,1+$Q$7&gt;J290,1-$Q$7&lt;J290,1+$Q$7&gt;K290,1-$Q$7&lt;K290,1+$Q$7&gt;L290,1-$Q$7&lt;L290),IF(SUM($N$2:N289)=0,1,0),0)</f>
        <v>0</v>
      </c>
      <c r="O290" s="34">
        <f t="shared" si="4"/>
        <v>0</v>
      </c>
    </row>
    <row r="291" spans="8:15" ht="20.100000000000001" customHeight="1" x14ac:dyDescent="0.25">
      <c r="H291" s="43" t="str">
        <f>IFERROR(ABS(C291/VLOOKUP(2*$B291,$B292:C325,2,TRUE)),"--")</f>
        <v>--</v>
      </c>
      <c r="I291" s="43" t="str">
        <f>IFERROR(ABS(D291/VLOOKUP(2*$B291,$B292:D325,3,TRUE)),"--")</f>
        <v>--</v>
      </c>
      <c r="J291" s="43" t="str">
        <f>IFERROR(ABS(E291/VLOOKUP(2*$B291,$B292:E325,4,TRUE)),"--")</f>
        <v>--</v>
      </c>
      <c r="K291" s="43" t="str">
        <f>IFERROR(ABS(F291/VLOOKUP(2*$B291,$B292:F325,5,TRUE)),"--")</f>
        <v>--</v>
      </c>
      <c r="L291" s="43" t="str">
        <f>IFERROR(ABS(G291/VLOOKUP(2*$B291,$B292:G325,6,TRUE)),"--")</f>
        <v>--</v>
      </c>
      <c r="M291" s="38">
        <f>IF(AND(1+$Q$6&gt;H291,1-$Q$6&lt;H291,1+$Q$6&gt;I291,1-$Q$6&lt;I291,1+$Q$6&gt;J291,1-$Q$6&lt;J291,1+$Q$6&gt;K291,1-$Q$6&lt;K291,1+$Q$6&gt;L291,1-$Q$6&lt;L291),IF(SUM($M$2:M290)=0,1,0),0)</f>
        <v>0</v>
      </c>
      <c r="N291" s="38">
        <f>IF(AND(1+$Q$7&gt;H291,1-$Q$7&lt;H291,1+$Q$7&gt;I291,1-$Q$7&lt;I291,1+$Q$7&gt;J291,1-$Q$7&lt;J291,1+$Q$7&gt;K291,1-$Q$7&lt;K291,1+$Q$7&gt;L291,1-$Q$7&lt;L291),IF(SUM($N$2:N290)=0,1,0),0)</f>
        <v>0</v>
      </c>
      <c r="O291" s="34">
        <f t="shared" si="4"/>
        <v>0</v>
      </c>
    </row>
    <row r="292" spans="8:15" ht="20.100000000000001" customHeight="1" x14ac:dyDescent="0.25">
      <c r="H292" s="43" t="str">
        <f>IFERROR(ABS(C292/VLOOKUP(2*$B292,$B293:C326,2,TRUE)),"--")</f>
        <v>--</v>
      </c>
      <c r="I292" s="43" t="str">
        <f>IFERROR(ABS(D292/VLOOKUP(2*$B292,$B293:D326,3,TRUE)),"--")</f>
        <v>--</v>
      </c>
      <c r="J292" s="43" t="str">
        <f>IFERROR(ABS(E292/VLOOKUP(2*$B292,$B293:E326,4,TRUE)),"--")</f>
        <v>--</v>
      </c>
      <c r="K292" s="43" t="str">
        <f>IFERROR(ABS(F292/VLOOKUP(2*$B292,$B293:F326,5,TRUE)),"--")</f>
        <v>--</v>
      </c>
      <c r="L292" s="43" t="str">
        <f>IFERROR(ABS(G292/VLOOKUP(2*$B292,$B293:G326,6,TRUE)),"--")</f>
        <v>--</v>
      </c>
      <c r="M292" s="38">
        <f>IF(AND(1+$Q$6&gt;H292,1-$Q$6&lt;H292,1+$Q$6&gt;I292,1-$Q$6&lt;I292,1+$Q$6&gt;J292,1-$Q$6&lt;J292,1+$Q$6&gt;K292,1-$Q$6&lt;K292,1+$Q$6&gt;L292,1-$Q$6&lt;L292),IF(SUM($M$2:M291)=0,1,0),0)</f>
        <v>0</v>
      </c>
      <c r="N292" s="38">
        <f>IF(AND(1+$Q$7&gt;H292,1-$Q$7&lt;H292,1+$Q$7&gt;I292,1-$Q$7&lt;I292,1+$Q$7&gt;J292,1-$Q$7&lt;J292,1+$Q$7&gt;K292,1-$Q$7&lt;K292,1+$Q$7&gt;L292,1-$Q$7&lt;L292),IF(SUM($N$2:N291)=0,1,0),0)</f>
        <v>0</v>
      </c>
      <c r="O292" s="34">
        <f t="shared" si="4"/>
        <v>0</v>
      </c>
    </row>
    <row r="293" spans="8:15" ht="20.100000000000001" customHeight="1" x14ac:dyDescent="0.25">
      <c r="H293" s="43" t="str">
        <f>IFERROR(ABS(C293/VLOOKUP(2*$B293,$B294:C327,2,TRUE)),"--")</f>
        <v>--</v>
      </c>
      <c r="I293" s="43" t="str">
        <f>IFERROR(ABS(D293/VLOOKUP(2*$B293,$B294:D327,3,TRUE)),"--")</f>
        <v>--</v>
      </c>
      <c r="J293" s="43" t="str">
        <f>IFERROR(ABS(E293/VLOOKUP(2*$B293,$B294:E327,4,TRUE)),"--")</f>
        <v>--</v>
      </c>
      <c r="K293" s="43" t="str">
        <f>IFERROR(ABS(F293/VLOOKUP(2*$B293,$B294:F327,5,TRUE)),"--")</f>
        <v>--</v>
      </c>
      <c r="L293" s="43" t="str">
        <f>IFERROR(ABS(G293/VLOOKUP(2*$B293,$B294:G327,6,TRUE)),"--")</f>
        <v>--</v>
      </c>
      <c r="M293" s="38">
        <f>IF(AND(1+$Q$6&gt;H293,1-$Q$6&lt;H293,1+$Q$6&gt;I293,1-$Q$6&lt;I293,1+$Q$6&gt;J293,1-$Q$6&lt;J293,1+$Q$6&gt;K293,1-$Q$6&lt;K293,1+$Q$6&gt;L293,1-$Q$6&lt;L293),IF(SUM($M$2:M292)=0,1,0),0)</f>
        <v>0</v>
      </c>
      <c r="N293" s="38">
        <f>IF(AND(1+$Q$7&gt;H293,1-$Q$7&lt;H293,1+$Q$7&gt;I293,1-$Q$7&lt;I293,1+$Q$7&gt;J293,1-$Q$7&lt;J293,1+$Q$7&gt;K293,1-$Q$7&lt;K293,1+$Q$7&gt;L293,1-$Q$7&lt;L293),IF(SUM($N$2:N292)=0,1,0),0)</f>
        <v>0</v>
      </c>
      <c r="O293" s="34">
        <f t="shared" si="4"/>
        <v>0</v>
      </c>
    </row>
    <row r="294" spans="8:15" ht="20.100000000000001" customHeight="1" x14ac:dyDescent="0.25">
      <c r="H294" s="43" t="str">
        <f>IFERROR(ABS(C294/VLOOKUP(2*$B294,$B295:C328,2,TRUE)),"--")</f>
        <v>--</v>
      </c>
      <c r="I294" s="43" t="str">
        <f>IFERROR(ABS(D294/VLOOKUP(2*$B294,$B295:D328,3,TRUE)),"--")</f>
        <v>--</v>
      </c>
      <c r="J294" s="43" t="str">
        <f>IFERROR(ABS(E294/VLOOKUP(2*$B294,$B295:E328,4,TRUE)),"--")</f>
        <v>--</v>
      </c>
      <c r="K294" s="43" t="str">
        <f>IFERROR(ABS(F294/VLOOKUP(2*$B294,$B295:F328,5,TRUE)),"--")</f>
        <v>--</v>
      </c>
      <c r="L294" s="43" t="str">
        <f>IFERROR(ABS(G294/VLOOKUP(2*$B294,$B295:G328,6,TRUE)),"--")</f>
        <v>--</v>
      </c>
      <c r="M294" s="38">
        <f>IF(AND(1+$Q$6&gt;H294,1-$Q$6&lt;H294,1+$Q$6&gt;I294,1-$Q$6&lt;I294,1+$Q$6&gt;J294,1-$Q$6&lt;J294,1+$Q$6&gt;K294,1-$Q$6&lt;K294,1+$Q$6&gt;L294,1-$Q$6&lt;L294),IF(SUM($M$2:M293)=0,1,0),0)</f>
        <v>0</v>
      </c>
      <c r="N294" s="38">
        <f>IF(AND(1+$Q$7&gt;H294,1-$Q$7&lt;H294,1+$Q$7&gt;I294,1-$Q$7&lt;I294,1+$Q$7&gt;J294,1-$Q$7&lt;J294,1+$Q$7&gt;K294,1-$Q$7&lt;K294,1+$Q$7&gt;L294,1-$Q$7&lt;L294),IF(SUM($N$2:N293)=0,1,0),0)</f>
        <v>0</v>
      </c>
      <c r="O294" s="34">
        <f t="shared" si="4"/>
        <v>0</v>
      </c>
    </row>
    <row r="295" spans="8:15" ht="20.100000000000001" customHeight="1" x14ac:dyDescent="0.25">
      <c r="H295" s="43" t="str">
        <f>IFERROR(ABS(C295/VLOOKUP(2*$B295,$B296:C329,2,TRUE)),"--")</f>
        <v>--</v>
      </c>
      <c r="I295" s="43" t="str">
        <f>IFERROR(ABS(D295/VLOOKUP(2*$B295,$B296:D329,3,TRUE)),"--")</f>
        <v>--</v>
      </c>
      <c r="J295" s="43" t="str">
        <f>IFERROR(ABS(E295/VLOOKUP(2*$B295,$B296:E329,4,TRUE)),"--")</f>
        <v>--</v>
      </c>
      <c r="K295" s="43" t="str">
        <f>IFERROR(ABS(F295/VLOOKUP(2*$B295,$B296:F329,5,TRUE)),"--")</f>
        <v>--</v>
      </c>
      <c r="L295" s="43" t="str">
        <f>IFERROR(ABS(G295/VLOOKUP(2*$B295,$B296:G329,6,TRUE)),"--")</f>
        <v>--</v>
      </c>
      <c r="M295" s="38">
        <f>IF(AND(1+$Q$6&gt;H295,1-$Q$6&lt;H295,1+$Q$6&gt;I295,1-$Q$6&lt;I295,1+$Q$6&gt;J295,1-$Q$6&lt;J295,1+$Q$6&gt;K295,1-$Q$6&lt;K295,1+$Q$6&gt;L295,1-$Q$6&lt;L295),IF(SUM($M$2:M294)=0,1,0),0)</f>
        <v>0</v>
      </c>
      <c r="N295" s="38">
        <f>IF(AND(1+$Q$7&gt;H295,1-$Q$7&lt;H295,1+$Q$7&gt;I295,1-$Q$7&lt;I295,1+$Q$7&gt;J295,1-$Q$7&lt;J295,1+$Q$7&gt;K295,1-$Q$7&lt;K295,1+$Q$7&gt;L295,1-$Q$7&lt;L295),IF(SUM($N$2:N294)=0,1,0),0)</f>
        <v>0</v>
      </c>
      <c r="O295" s="34">
        <f t="shared" si="4"/>
        <v>0</v>
      </c>
    </row>
    <row r="296" spans="8:15" ht="20.100000000000001" customHeight="1" x14ac:dyDescent="0.25">
      <c r="H296" s="43" t="str">
        <f>IFERROR(ABS(C296/VLOOKUP(2*$B296,$B297:C330,2,TRUE)),"--")</f>
        <v>--</v>
      </c>
      <c r="I296" s="43" t="str">
        <f>IFERROR(ABS(D296/VLOOKUP(2*$B296,$B297:D330,3,TRUE)),"--")</f>
        <v>--</v>
      </c>
      <c r="J296" s="43" t="str">
        <f>IFERROR(ABS(E296/VLOOKUP(2*$B296,$B297:E330,4,TRUE)),"--")</f>
        <v>--</v>
      </c>
      <c r="K296" s="43" t="str">
        <f>IFERROR(ABS(F296/VLOOKUP(2*$B296,$B297:F330,5,TRUE)),"--")</f>
        <v>--</v>
      </c>
      <c r="L296" s="43" t="str">
        <f>IFERROR(ABS(G296/VLOOKUP(2*$B296,$B297:G330,6,TRUE)),"--")</f>
        <v>--</v>
      </c>
      <c r="M296" s="38">
        <f>IF(AND(1+$Q$6&gt;H296,1-$Q$6&lt;H296,1+$Q$6&gt;I296,1-$Q$6&lt;I296,1+$Q$6&gt;J296,1-$Q$6&lt;J296,1+$Q$6&gt;K296,1-$Q$6&lt;K296,1+$Q$6&gt;L296,1-$Q$6&lt;L296),IF(SUM($M$2:M295)=0,1,0),0)</f>
        <v>0</v>
      </c>
      <c r="N296" s="38">
        <f>IF(AND(1+$Q$7&gt;H296,1-$Q$7&lt;H296,1+$Q$7&gt;I296,1-$Q$7&lt;I296,1+$Q$7&gt;J296,1-$Q$7&lt;J296,1+$Q$7&gt;K296,1-$Q$7&lt;K296,1+$Q$7&gt;L296,1-$Q$7&lt;L296),IF(SUM($N$2:N295)=0,1,0),0)</f>
        <v>0</v>
      </c>
      <c r="O296" s="34">
        <f t="shared" si="4"/>
        <v>0</v>
      </c>
    </row>
    <row r="297" spans="8:15" ht="20.100000000000001" customHeight="1" x14ac:dyDescent="0.25">
      <c r="H297" s="43" t="str">
        <f>IFERROR(ABS(C297/VLOOKUP(2*$B297,$B298:C331,2,TRUE)),"--")</f>
        <v>--</v>
      </c>
      <c r="I297" s="43" t="str">
        <f>IFERROR(ABS(D297/VLOOKUP(2*$B297,$B298:D331,3,TRUE)),"--")</f>
        <v>--</v>
      </c>
      <c r="J297" s="43" t="str">
        <f>IFERROR(ABS(E297/VLOOKUP(2*$B297,$B298:E331,4,TRUE)),"--")</f>
        <v>--</v>
      </c>
      <c r="K297" s="43" t="str">
        <f>IFERROR(ABS(F297/VLOOKUP(2*$B297,$B298:F331,5,TRUE)),"--")</f>
        <v>--</v>
      </c>
      <c r="L297" s="43" t="str">
        <f>IFERROR(ABS(G297/VLOOKUP(2*$B297,$B298:G331,6,TRUE)),"--")</f>
        <v>--</v>
      </c>
      <c r="M297" s="38">
        <f>IF(AND(1+$Q$6&gt;H297,1-$Q$6&lt;H297,1+$Q$6&gt;I297,1-$Q$6&lt;I297,1+$Q$6&gt;J297,1-$Q$6&lt;J297,1+$Q$6&gt;K297,1-$Q$6&lt;K297,1+$Q$6&gt;L297,1-$Q$6&lt;L297),IF(SUM($M$2:M296)=0,1,0),0)</f>
        <v>0</v>
      </c>
      <c r="N297" s="38">
        <f>IF(AND(1+$Q$7&gt;H297,1-$Q$7&lt;H297,1+$Q$7&gt;I297,1-$Q$7&lt;I297,1+$Q$7&gt;J297,1-$Q$7&lt;J297,1+$Q$7&gt;K297,1-$Q$7&lt;K297,1+$Q$7&gt;L297,1-$Q$7&lt;L297),IF(SUM($N$2:N296)=0,1,0),0)</f>
        <v>0</v>
      </c>
      <c r="O297" s="34">
        <f t="shared" si="4"/>
        <v>0</v>
      </c>
    </row>
    <row r="298" spans="8:15" ht="20.100000000000001" customHeight="1" x14ac:dyDescent="0.25">
      <c r="H298" s="43" t="str">
        <f>IFERROR(ABS(C298/VLOOKUP(2*$B298,$B299:C332,2,TRUE)),"--")</f>
        <v>--</v>
      </c>
      <c r="I298" s="43" t="str">
        <f>IFERROR(ABS(D298/VLOOKUP(2*$B298,$B299:D332,3,TRUE)),"--")</f>
        <v>--</v>
      </c>
      <c r="J298" s="43" t="str">
        <f>IFERROR(ABS(E298/VLOOKUP(2*$B298,$B299:E332,4,TRUE)),"--")</f>
        <v>--</v>
      </c>
      <c r="K298" s="43" t="str">
        <f>IFERROR(ABS(F298/VLOOKUP(2*$B298,$B299:F332,5,TRUE)),"--")</f>
        <v>--</v>
      </c>
      <c r="L298" s="43" t="str">
        <f>IFERROR(ABS(G298/VLOOKUP(2*$B298,$B299:G332,6,TRUE)),"--")</f>
        <v>--</v>
      </c>
      <c r="M298" s="38">
        <f>IF(AND(1+$Q$6&gt;H298,1-$Q$6&lt;H298,1+$Q$6&gt;I298,1-$Q$6&lt;I298,1+$Q$6&gt;J298,1-$Q$6&lt;J298,1+$Q$6&gt;K298,1-$Q$6&lt;K298,1+$Q$6&gt;L298,1-$Q$6&lt;L298),IF(SUM($M$2:M297)=0,1,0),0)</f>
        <v>0</v>
      </c>
      <c r="N298" s="38">
        <f>IF(AND(1+$Q$7&gt;H298,1-$Q$7&lt;H298,1+$Q$7&gt;I298,1-$Q$7&lt;I298,1+$Q$7&gt;J298,1-$Q$7&lt;J298,1+$Q$7&gt;K298,1-$Q$7&lt;K298,1+$Q$7&gt;L298,1-$Q$7&lt;L298),IF(SUM($N$2:N297)=0,1,0),0)</f>
        <v>0</v>
      </c>
      <c r="O298" s="34">
        <f t="shared" si="4"/>
        <v>0</v>
      </c>
    </row>
    <row r="299" spans="8:15" ht="20.100000000000001" customHeight="1" x14ac:dyDescent="0.25">
      <c r="H299" s="43" t="str">
        <f>IFERROR(ABS(C299/VLOOKUP(2*$B299,$B300:C333,2,TRUE)),"--")</f>
        <v>--</v>
      </c>
      <c r="I299" s="43" t="str">
        <f>IFERROR(ABS(D299/VLOOKUP(2*$B299,$B300:D333,3,TRUE)),"--")</f>
        <v>--</v>
      </c>
      <c r="J299" s="43" t="str">
        <f>IFERROR(ABS(E299/VLOOKUP(2*$B299,$B300:E333,4,TRUE)),"--")</f>
        <v>--</v>
      </c>
      <c r="K299" s="43" t="str">
        <f>IFERROR(ABS(F299/VLOOKUP(2*$B299,$B300:F333,5,TRUE)),"--")</f>
        <v>--</v>
      </c>
      <c r="L299" s="43" t="str">
        <f>IFERROR(ABS(G299/VLOOKUP(2*$B299,$B300:G333,6,TRUE)),"--")</f>
        <v>--</v>
      </c>
      <c r="M299" s="38">
        <f>IF(AND(1+$Q$6&gt;H299,1-$Q$6&lt;H299,1+$Q$6&gt;I299,1-$Q$6&lt;I299,1+$Q$6&gt;J299,1-$Q$6&lt;J299,1+$Q$6&gt;K299,1-$Q$6&lt;K299,1+$Q$6&gt;L299,1-$Q$6&lt;L299),IF(SUM($M$2:M298)=0,1,0),0)</f>
        <v>0</v>
      </c>
      <c r="N299" s="38">
        <f>IF(AND(1+$Q$7&gt;H299,1-$Q$7&lt;H299,1+$Q$7&gt;I299,1-$Q$7&lt;I299,1+$Q$7&gt;J299,1-$Q$7&lt;J299,1+$Q$7&gt;K299,1-$Q$7&lt;K299,1+$Q$7&gt;L299,1-$Q$7&lt;L299),IF(SUM($N$2:N298)=0,1,0),0)</f>
        <v>0</v>
      </c>
      <c r="O299" s="34">
        <f t="shared" si="4"/>
        <v>0</v>
      </c>
    </row>
    <row r="300" spans="8:15" ht="20.100000000000001" customHeight="1" x14ac:dyDescent="0.25">
      <c r="H300" s="43" t="str">
        <f>IFERROR(ABS(C300/VLOOKUP(2*$B300,$B301:C334,2,TRUE)),"--")</f>
        <v>--</v>
      </c>
      <c r="I300" s="43" t="str">
        <f>IFERROR(ABS(D300/VLOOKUP(2*$B300,$B301:D334,3,TRUE)),"--")</f>
        <v>--</v>
      </c>
      <c r="J300" s="43" t="str">
        <f>IFERROR(ABS(E300/VLOOKUP(2*$B300,$B301:E334,4,TRUE)),"--")</f>
        <v>--</v>
      </c>
      <c r="K300" s="43" t="str">
        <f>IFERROR(ABS(F300/VLOOKUP(2*$B300,$B301:F334,5,TRUE)),"--")</f>
        <v>--</v>
      </c>
      <c r="L300" s="43" t="str">
        <f>IFERROR(ABS(G300/VLOOKUP(2*$B300,$B301:G334,6,TRUE)),"--")</f>
        <v>--</v>
      </c>
      <c r="M300" s="38">
        <f>IF(AND(1+$Q$6&gt;H300,1-$Q$6&lt;H300,1+$Q$6&gt;I300,1-$Q$6&lt;I300,1+$Q$6&gt;J300,1-$Q$6&lt;J300,1+$Q$6&gt;K300,1-$Q$6&lt;K300,1+$Q$6&gt;L300,1-$Q$6&lt;L300),IF(SUM($M$2:M299)=0,1,0),0)</f>
        <v>0</v>
      </c>
      <c r="N300" s="38">
        <f>IF(AND(1+$Q$7&gt;H300,1-$Q$7&lt;H300,1+$Q$7&gt;I300,1-$Q$7&lt;I300,1+$Q$7&gt;J300,1-$Q$7&lt;J300,1+$Q$7&gt;K300,1-$Q$7&lt;K300,1+$Q$7&gt;L300,1-$Q$7&lt;L300),IF(SUM($N$2:N299)=0,1,0),0)</f>
        <v>0</v>
      </c>
      <c r="O300" s="34">
        <f t="shared" si="4"/>
        <v>0</v>
      </c>
    </row>
    <row r="301" spans="8:15" ht="20.100000000000001" customHeight="1" x14ac:dyDescent="0.25">
      <c r="H301" s="43" t="str">
        <f>IFERROR(ABS(C301/VLOOKUP(2*$B301,$B302:C335,2,TRUE)),"--")</f>
        <v>--</v>
      </c>
      <c r="I301" s="43" t="str">
        <f>IFERROR(ABS(D301/VLOOKUP(2*$B301,$B302:D335,3,TRUE)),"--")</f>
        <v>--</v>
      </c>
      <c r="J301" s="43" t="str">
        <f>IFERROR(ABS(E301/VLOOKUP(2*$B301,$B302:E335,4,TRUE)),"--")</f>
        <v>--</v>
      </c>
      <c r="K301" s="43" t="str">
        <f>IFERROR(ABS(F301/VLOOKUP(2*$B301,$B302:F335,5,TRUE)),"--")</f>
        <v>--</v>
      </c>
      <c r="L301" s="43" t="str">
        <f>IFERROR(ABS(G301/VLOOKUP(2*$B301,$B302:G335,6,TRUE)),"--")</f>
        <v>--</v>
      </c>
      <c r="M301" s="38">
        <f>IF(AND(1+$Q$6&gt;H301,1-$Q$6&lt;H301,1+$Q$6&gt;I301,1-$Q$6&lt;I301,1+$Q$6&gt;J301,1-$Q$6&lt;J301,1+$Q$6&gt;K301,1-$Q$6&lt;K301,1+$Q$6&gt;L301,1-$Q$6&lt;L301),IF(SUM($M$2:M300)=0,1,0),0)</f>
        <v>0</v>
      </c>
      <c r="N301" s="38">
        <f>IF(AND(1+$Q$7&gt;H301,1-$Q$7&lt;H301,1+$Q$7&gt;I301,1-$Q$7&lt;I301,1+$Q$7&gt;J301,1-$Q$7&lt;J301,1+$Q$7&gt;K301,1-$Q$7&lt;K301,1+$Q$7&gt;L301,1-$Q$7&lt;L301),IF(SUM($N$2:N300)=0,1,0),0)</f>
        <v>0</v>
      </c>
      <c r="O301" s="34">
        <f t="shared" si="4"/>
        <v>0</v>
      </c>
    </row>
    <row r="302" spans="8:15" ht="20.100000000000001" customHeight="1" x14ac:dyDescent="0.25">
      <c r="H302" s="43" t="str">
        <f>IFERROR(ABS(C302/VLOOKUP(2*$B302,$B303:C336,2,TRUE)),"--")</f>
        <v>--</v>
      </c>
      <c r="I302" s="43" t="str">
        <f>IFERROR(ABS(D302/VLOOKUP(2*$B302,$B303:D336,3,TRUE)),"--")</f>
        <v>--</v>
      </c>
      <c r="J302" s="43" t="str">
        <f>IFERROR(ABS(E302/VLOOKUP(2*$B302,$B303:E336,4,TRUE)),"--")</f>
        <v>--</v>
      </c>
      <c r="K302" s="43" t="str">
        <f>IFERROR(ABS(F302/VLOOKUP(2*$B302,$B303:F336,5,TRUE)),"--")</f>
        <v>--</v>
      </c>
      <c r="L302" s="43" t="str">
        <f>IFERROR(ABS(G302/VLOOKUP(2*$B302,$B303:G336,6,TRUE)),"--")</f>
        <v>--</v>
      </c>
      <c r="M302" s="38">
        <f>IF(AND(1+$Q$6&gt;H302,1-$Q$6&lt;H302,1+$Q$6&gt;I302,1-$Q$6&lt;I302,1+$Q$6&gt;J302,1-$Q$6&lt;J302,1+$Q$6&gt;K302,1-$Q$6&lt;K302,1+$Q$6&gt;L302,1-$Q$6&lt;L302),IF(SUM($M$2:M301)=0,1,0),0)</f>
        <v>0</v>
      </c>
      <c r="N302" s="38">
        <f>IF(AND(1+$Q$7&gt;H302,1-$Q$7&lt;H302,1+$Q$7&gt;I302,1-$Q$7&lt;I302,1+$Q$7&gt;J302,1-$Q$7&lt;J302,1+$Q$7&gt;K302,1-$Q$7&lt;K302,1+$Q$7&gt;L302,1-$Q$7&lt;L302),IF(SUM($N$2:N301)=0,1,0),0)</f>
        <v>0</v>
      </c>
      <c r="O302" s="34">
        <f t="shared" si="4"/>
        <v>0</v>
      </c>
    </row>
    <row r="303" spans="8:15" ht="20.100000000000001" customHeight="1" x14ac:dyDescent="0.25">
      <c r="H303" s="43" t="str">
        <f>IFERROR(ABS(C303/VLOOKUP(2*$B303,$B304:C337,2,TRUE)),"--")</f>
        <v>--</v>
      </c>
      <c r="I303" s="43" t="str">
        <f>IFERROR(ABS(D303/VLOOKUP(2*$B303,$B304:D337,3,TRUE)),"--")</f>
        <v>--</v>
      </c>
      <c r="J303" s="43" t="str">
        <f>IFERROR(ABS(E303/VLOOKUP(2*$B303,$B304:E337,4,TRUE)),"--")</f>
        <v>--</v>
      </c>
      <c r="K303" s="43" t="str">
        <f>IFERROR(ABS(F303/VLOOKUP(2*$B303,$B304:F337,5,TRUE)),"--")</f>
        <v>--</v>
      </c>
      <c r="L303" s="43" t="str">
        <f>IFERROR(ABS(G303/VLOOKUP(2*$B303,$B304:G337,6,TRUE)),"--")</f>
        <v>--</v>
      </c>
      <c r="M303" s="38">
        <f>IF(AND(1+$Q$6&gt;H303,1-$Q$6&lt;H303,1+$Q$6&gt;I303,1-$Q$6&lt;I303,1+$Q$6&gt;J303,1-$Q$6&lt;J303,1+$Q$6&gt;K303,1-$Q$6&lt;K303,1+$Q$6&gt;L303,1-$Q$6&lt;L303),IF(SUM($M$2:M302)=0,1,0),0)</f>
        <v>0</v>
      </c>
      <c r="N303" s="38">
        <f>IF(AND(1+$Q$7&gt;H303,1-$Q$7&lt;H303,1+$Q$7&gt;I303,1-$Q$7&lt;I303,1+$Q$7&gt;J303,1-$Q$7&lt;J303,1+$Q$7&gt;K303,1-$Q$7&lt;K303,1+$Q$7&gt;L303,1-$Q$7&lt;L303),IF(SUM($N$2:N302)=0,1,0),0)</f>
        <v>0</v>
      </c>
      <c r="O303" s="34">
        <f t="shared" si="4"/>
        <v>0</v>
      </c>
    </row>
    <row r="304" spans="8:15" ht="20.100000000000001" customHeight="1" x14ac:dyDescent="0.25">
      <c r="H304" s="43" t="str">
        <f>IFERROR(ABS(C304/VLOOKUP(2*$B304,$B305:C338,2,TRUE)),"--")</f>
        <v>--</v>
      </c>
      <c r="I304" s="43" t="str">
        <f>IFERROR(ABS(D304/VLOOKUP(2*$B304,$B305:D338,3,TRUE)),"--")</f>
        <v>--</v>
      </c>
      <c r="J304" s="43" t="str">
        <f>IFERROR(ABS(E304/VLOOKUP(2*$B304,$B305:E338,4,TRUE)),"--")</f>
        <v>--</v>
      </c>
      <c r="K304" s="43" t="str">
        <f>IFERROR(ABS(F304/VLOOKUP(2*$B304,$B305:F338,5,TRUE)),"--")</f>
        <v>--</v>
      </c>
      <c r="L304" s="43" t="str">
        <f>IFERROR(ABS(G304/VLOOKUP(2*$B304,$B305:G338,6,TRUE)),"--")</f>
        <v>--</v>
      </c>
      <c r="M304" s="38">
        <f>IF(AND(1+$Q$6&gt;H304,1-$Q$6&lt;H304,1+$Q$6&gt;I304,1-$Q$6&lt;I304,1+$Q$6&gt;J304,1-$Q$6&lt;J304,1+$Q$6&gt;K304,1-$Q$6&lt;K304,1+$Q$6&gt;L304,1-$Q$6&lt;L304),IF(SUM($M$2:M303)=0,1,0),0)</f>
        <v>0</v>
      </c>
      <c r="N304" s="38">
        <f>IF(AND(1+$Q$7&gt;H304,1-$Q$7&lt;H304,1+$Q$7&gt;I304,1-$Q$7&lt;I304,1+$Q$7&gt;J304,1-$Q$7&lt;J304,1+$Q$7&gt;K304,1-$Q$7&lt;K304,1+$Q$7&gt;L304,1-$Q$7&lt;L304),IF(SUM($N$2:N303)=0,1,0),0)</f>
        <v>0</v>
      </c>
      <c r="O304" s="34">
        <f t="shared" si="4"/>
        <v>0</v>
      </c>
    </row>
    <row r="305" spans="8:15" ht="20.100000000000001" customHeight="1" x14ac:dyDescent="0.25">
      <c r="H305" s="43" t="str">
        <f>IFERROR(ABS(C305/VLOOKUP(2*$B305,$B306:C339,2,TRUE)),"--")</f>
        <v>--</v>
      </c>
      <c r="I305" s="43" t="str">
        <f>IFERROR(ABS(D305/VLOOKUP(2*$B305,$B306:D339,3,TRUE)),"--")</f>
        <v>--</v>
      </c>
      <c r="J305" s="43" t="str">
        <f>IFERROR(ABS(E305/VLOOKUP(2*$B305,$B306:E339,4,TRUE)),"--")</f>
        <v>--</v>
      </c>
      <c r="K305" s="43" t="str">
        <f>IFERROR(ABS(F305/VLOOKUP(2*$B305,$B306:F339,5,TRUE)),"--")</f>
        <v>--</v>
      </c>
      <c r="L305" s="43" t="str">
        <f>IFERROR(ABS(G305/VLOOKUP(2*$B305,$B306:G339,6,TRUE)),"--")</f>
        <v>--</v>
      </c>
      <c r="M305" s="38">
        <f>IF(AND(1+$Q$6&gt;H305,1-$Q$6&lt;H305,1+$Q$6&gt;I305,1-$Q$6&lt;I305,1+$Q$6&gt;J305,1-$Q$6&lt;J305,1+$Q$6&gt;K305,1-$Q$6&lt;K305,1+$Q$6&gt;L305,1-$Q$6&lt;L305),IF(SUM($M$2:M304)=0,1,0),0)</f>
        <v>0</v>
      </c>
      <c r="N305" s="38">
        <f>IF(AND(1+$Q$7&gt;H305,1-$Q$7&lt;H305,1+$Q$7&gt;I305,1-$Q$7&lt;I305,1+$Q$7&gt;J305,1-$Q$7&lt;J305,1+$Q$7&gt;K305,1-$Q$7&lt;K305,1+$Q$7&gt;L305,1-$Q$7&lt;L305),IF(SUM($N$2:N304)=0,1,0),0)</f>
        <v>0</v>
      </c>
      <c r="O305" s="34">
        <f t="shared" si="4"/>
        <v>0</v>
      </c>
    </row>
    <row r="306" spans="8:15" ht="20.100000000000001" customHeight="1" x14ac:dyDescent="0.25">
      <c r="H306" s="43" t="str">
        <f>IFERROR(ABS(C306/VLOOKUP(2*$B306,$B307:C340,2,TRUE)),"--")</f>
        <v>--</v>
      </c>
      <c r="I306" s="43" t="str">
        <f>IFERROR(ABS(D306/VLOOKUP(2*$B306,$B307:D340,3,TRUE)),"--")</f>
        <v>--</v>
      </c>
      <c r="J306" s="43" t="str">
        <f>IFERROR(ABS(E306/VLOOKUP(2*$B306,$B307:E340,4,TRUE)),"--")</f>
        <v>--</v>
      </c>
      <c r="K306" s="43" t="str">
        <f>IFERROR(ABS(F306/VLOOKUP(2*$B306,$B307:F340,5,TRUE)),"--")</f>
        <v>--</v>
      </c>
      <c r="L306" s="43" t="str">
        <f>IFERROR(ABS(G306/VLOOKUP(2*$B306,$B307:G340,6,TRUE)),"--")</f>
        <v>--</v>
      </c>
      <c r="M306" s="38">
        <f>IF(AND(1+$Q$6&gt;H306,1-$Q$6&lt;H306,1+$Q$6&gt;I306,1-$Q$6&lt;I306,1+$Q$6&gt;J306,1-$Q$6&lt;J306,1+$Q$6&gt;K306,1-$Q$6&lt;K306,1+$Q$6&gt;L306,1-$Q$6&lt;L306),IF(SUM($M$2:M305)=0,1,0),0)</f>
        <v>0</v>
      </c>
      <c r="N306" s="38">
        <f>IF(AND(1+$Q$7&gt;H306,1-$Q$7&lt;H306,1+$Q$7&gt;I306,1-$Q$7&lt;I306,1+$Q$7&gt;J306,1-$Q$7&lt;J306,1+$Q$7&gt;K306,1-$Q$7&lt;K306,1+$Q$7&gt;L306,1-$Q$7&lt;L306),IF(SUM($N$2:N305)=0,1,0),0)</f>
        <v>0</v>
      </c>
      <c r="O306" s="34">
        <f t="shared" si="4"/>
        <v>0</v>
      </c>
    </row>
    <row r="307" spans="8:15" ht="20.100000000000001" customHeight="1" x14ac:dyDescent="0.25">
      <c r="H307" s="43" t="str">
        <f>IFERROR(ABS(C307/VLOOKUP(2*$B307,$B308:C341,2,TRUE)),"--")</f>
        <v>--</v>
      </c>
      <c r="I307" s="43" t="str">
        <f>IFERROR(ABS(D307/VLOOKUP(2*$B307,$B308:D341,3,TRUE)),"--")</f>
        <v>--</v>
      </c>
      <c r="J307" s="43" t="str">
        <f>IFERROR(ABS(E307/VLOOKUP(2*$B307,$B308:E341,4,TRUE)),"--")</f>
        <v>--</v>
      </c>
      <c r="K307" s="43" t="str">
        <f>IFERROR(ABS(F307/VLOOKUP(2*$B307,$B308:F341,5,TRUE)),"--")</f>
        <v>--</v>
      </c>
      <c r="L307" s="43" t="str">
        <f>IFERROR(ABS(G307/VLOOKUP(2*$B307,$B308:G341,6,TRUE)),"--")</f>
        <v>--</v>
      </c>
      <c r="M307" s="38">
        <f>IF(AND(1+$Q$6&gt;H307,1-$Q$6&lt;H307,1+$Q$6&gt;I307,1-$Q$6&lt;I307,1+$Q$6&gt;J307,1-$Q$6&lt;J307,1+$Q$6&gt;K307,1-$Q$6&lt;K307,1+$Q$6&gt;L307,1-$Q$6&lt;L307),IF(SUM($M$2:M306)=0,1,0),0)</f>
        <v>0</v>
      </c>
      <c r="N307" s="38">
        <f>IF(AND(1+$Q$7&gt;H307,1-$Q$7&lt;H307,1+$Q$7&gt;I307,1-$Q$7&lt;I307,1+$Q$7&gt;J307,1-$Q$7&lt;J307,1+$Q$7&gt;K307,1-$Q$7&lt;K307,1+$Q$7&gt;L307,1-$Q$7&lt;L307),IF(SUM($N$2:N306)=0,1,0),0)</f>
        <v>0</v>
      </c>
      <c r="O307" s="34">
        <f t="shared" si="4"/>
        <v>0</v>
      </c>
    </row>
    <row r="308" spans="8:15" ht="20.100000000000001" customHeight="1" x14ac:dyDescent="0.25">
      <c r="H308" s="43" t="str">
        <f>IFERROR(ABS(C308/VLOOKUP(2*$B308,$B309:C342,2,TRUE)),"--")</f>
        <v>--</v>
      </c>
      <c r="I308" s="43" t="str">
        <f>IFERROR(ABS(D308/VLOOKUP(2*$B308,$B309:D342,3,TRUE)),"--")</f>
        <v>--</v>
      </c>
      <c r="J308" s="43" t="str">
        <f>IFERROR(ABS(E308/VLOOKUP(2*$B308,$B309:E342,4,TRUE)),"--")</f>
        <v>--</v>
      </c>
      <c r="K308" s="43" t="str">
        <f>IFERROR(ABS(F308/VLOOKUP(2*$B308,$B309:F342,5,TRUE)),"--")</f>
        <v>--</v>
      </c>
      <c r="L308" s="43" t="str">
        <f>IFERROR(ABS(G308/VLOOKUP(2*$B308,$B309:G342,6,TRUE)),"--")</f>
        <v>--</v>
      </c>
      <c r="M308" s="38">
        <f>IF(AND(1+$Q$6&gt;H308,1-$Q$6&lt;H308,1+$Q$6&gt;I308,1-$Q$6&lt;I308,1+$Q$6&gt;J308,1-$Q$6&lt;J308,1+$Q$6&gt;K308,1-$Q$6&lt;K308,1+$Q$6&gt;L308,1-$Q$6&lt;L308),IF(SUM($M$2:M307)=0,1,0),0)</f>
        <v>0</v>
      </c>
      <c r="N308" s="38">
        <f>IF(AND(1+$Q$7&gt;H308,1-$Q$7&lt;H308,1+$Q$7&gt;I308,1-$Q$7&lt;I308,1+$Q$7&gt;J308,1-$Q$7&lt;J308,1+$Q$7&gt;K308,1-$Q$7&lt;K308,1+$Q$7&gt;L308,1-$Q$7&lt;L308),IF(SUM($N$2:N307)=0,1,0),0)</f>
        <v>0</v>
      </c>
      <c r="O308" s="34">
        <f t="shared" si="4"/>
        <v>0</v>
      </c>
    </row>
    <row r="309" spans="8:15" ht="20.100000000000001" customHeight="1" x14ac:dyDescent="0.25">
      <c r="H309" s="43" t="str">
        <f>IFERROR(ABS(C309/VLOOKUP(2*$B309,$B310:C343,2,TRUE)),"--")</f>
        <v>--</v>
      </c>
      <c r="I309" s="43" t="str">
        <f>IFERROR(ABS(D309/VLOOKUP(2*$B309,$B310:D343,3,TRUE)),"--")</f>
        <v>--</v>
      </c>
      <c r="J309" s="43" t="str">
        <f>IFERROR(ABS(E309/VLOOKUP(2*$B309,$B310:E343,4,TRUE)),"--")</f>
        <v>--</v>
      </c>
      <c r="K309" s="43" t="str">
        <f>IFERROR(ABS(F309/VLOOKUP(2*$B309,$B310:F343,5,TRUE)),"--")</f>
        <v>--</v>
      </c>
      <c r="L309" s="43" t="str">
        <f>IFERROR(ABS(G309/VLOOKUP(2*$B309,$B310:G343,6,TRUE)),"--")</f>
        <v>--</v>
      </c>
      <c r="M309" s="38">
        <f>IF(AND(1+$Q$6&gt;H309,1-$Q$6&lt;H309,1+$Q$6&gt;I309,1-$Q$6&lt;I309,1+$Q$6&gt;J309,1-$Q$6&lt;J309,1+$Q$6&gt;K309,1-$Q$6&lt;K309,1+$Q$6&gt;L309,1-$Q$6&lt;L309),IF(SUM($M$2:M308)=0,1,0),0)</f>
        <v>0</v>
      </c>
      <c r="N309" s="38">
        <f>IF(AND(1+$Q$7&gt;H309,1-$Q$7&lt;H309,1+$Q$7&gt;I309,1-$Q$7&lt;I309,1+$Q$7&gt;J309,1-$Q$7&lt;J309,1+$Q$7&gt;K309,1-$Q$7&lt;K309,1+$Q$7&gt;L309,1-$Q$7&lt;L309),IF(SUM($N$2:N308)=0,1,0),0)</f>
        <v>0</v>
      </c>
      <c r="O309" s="34">
        <f t="shared" si="4"/>
        <v>0</v>
      </c>
    </row>
    <row r="310" spans="8:15" ht="20.100000000000001" customHeight="1" x14ac:dyDescent="0.25">
      <c r="H310" s="43" t="str">
        <f>IFERROR(ABS(C310/VLOOKUP(2*$B310,$B311:C344,2,TRUE)),"--")</f>
        <v>--</v>
      </c>
      <c r="I310" s="43" t="str">
        <f>IFERROR(ABS(D310/VLOOKUP(2*$B310,$B311:D344,3,TRUE)),"--")</f>
        <v>--</v>
      </c>
      <c r="J310" s="43" t="str">
        <f>IFERROR(ABS(E310/VLOOKUP(2*$B310,$B311:E344,4,TRUE)),"--")</f>
        <v>--</v>
      </c>
      <c r="K310" s="43" t="str">
        <f>IFERROR(ABS(F310/VLOOKUP(2*$B310,$B311:F344,5,TRUE)),"--")</f>
        <v>--</v>
      </c>
      <c r="L310" s="43" t="str">
        <f>IFERROR(ABS(G310/VLOOKUP(2*$B310,$B311:G344,6,TRUE)),"--")</f>
        <v>--</v>
      </c>
      <c r="M310" s="38">
        <f>IF(AND(1+$Q$6&gt;H310,1-$Q$6&lt;H310,1+$Q$6&gt;I310,1-$Q$6&lt;I310,1+$Q$6&gt;J310,1-$Q$6&lt;J310,1+$Q$6&gt;K310,1-$Q$6&lt;K310,1+$Q$6&gt;L310,1-$Q$6&lt;L310),IF(SUM($M$2:M309)=0,1,0),0)</f>
        <v>0</v>
      </c>
      <c r="N310" s="38">
        <f>IF(AND(1+$Q$7&gt;H310,1-$Q$7&lt;H310,1+$Q$7&gt;I310,1-$Q$7&lt;I310,1+$Q$7&gt;J310,1-$Q$7&lt;J310,1+$Q$7&gt;K310,1-$Q$7&lt;K310,1+$Q$7&gt;L310,1-$Q$7&lt;L310),IF(SUM($N$2:N309)=0,1,0),0)</f>
        <v>0</v>
      </c>
      <c r="O310" s="34">
        <f t="shared" si="4"/>
        <v>0</v>
      </c>
    </row>
    <row r="311" spans="8:15" ht="20.100000000000001" customHeight="1" x14ac:dyDescent="0.25">
      <c r="H311" s="43" t="str">
        <f>IFERROR(ABS(C311/VLOOKUP(2*$B311,$B312:C345,2,TRUE)),"--")</f>
        <v>--</v>
      </c>
      <c r="I311" s="43" t="str">
        <f>IFERROR(ABS(D311/VLOOKUP(2*$B311,$B312:D345,3,TRUE)),"--")</f>
        <v>--</v>
      </c>
      <c r="J311" s="43" t="str">
        <f>IFERROR(ABS(E311/VLOOKUP(2*$B311,$B312:E345,4,TRUE)),"--")</f>
        <v>--</v>
      </c>
      <c r="K311" s="43" t="str">
        <f>IFERROR(ABS(F311/VLOOKUP(2*$B311,$B312:F345,5,TRUE)),"--")</f>
        <v>--</v>
      </c>
      <c r="L311" s="43" t="str">
        <f>IFERROR(ABS(G311/VLOOKUP(2*$B311,$B312:G345,6,TRUE)),"--")</f>
        <v>--</v>
      </c>
      <c r="M311" s="38">
        <f>IF(AND(1+$Q$6&gt;H311,1-$Q$6&lt;H311,1+$Q$6&gt;I311,1-$Q$6&lt;I311,1+$Q$6&gt;J311,1-$Q$6&lt;J311,1+$Q$6&gt;K311,1-$Q$6&lt;K311,1+$Q$6&gt;L311,1-$Q$6&lt;L311),IF(SUM($M$2:M310)=0,1,0),0)</f>
        <v>0</v>
      </c>
      <c r="N311" s="38">
        <f>IF(AND(1+$Q$7&gt;H311,1-$Q$7&lt;H311,1+$Q$7&gt;I311,1-$Q$7&lt;I311,1+$Q$7&gt;J311,1-$Q$7&lt;J311,1+$Q$7&gt;K311,1-$Q$7&lt;K311,1+$Q$7&gt;L311,1-$Q$7&lt;L311),IF(SUM($N$2:N310)=0,1,0),0)</f>
        <v>0</v>
      </c>
      <c r="O311" s="34">
        <f t="shared" si="4"/>
        <v>0</v>
      </c>
    </row>
    <row r="312" spans="8:15" ht="20.100000000000001" customHeight="1" x14ac:dyDescent="0.25">
      <c r="H312" s="43" t="str">
        <f>IFERROR(ABS(C312/VLOOKUP(2*$B312,$B313:C346,2,TRUE)),"--")</f>
        <v>--</v>
      </c>
      <c r="I312" s="43" t="str">
        <f>IFERROR(ABS(D312/VLOOKUP(2*$B312,$B313:D346,3,TRUE)),"--")</f>
        <v>--</v>
      </c>
      <c r="J312" s="43" t="str">
        <f>IFERROR(ABS(E312/VLOOKUP(2*$B312,$B313:E346,4,TRUE)),"--")</f>
        <v>--</v>
      </c>
      <c r="K312" s="43" t="str">
        <f>IFERROR(ABS(F312/VLOOKUP(2*$B312,$B313:F346,5,TRUE)),"--")</f>
        <v>--</v>
      </c>
      <c r="L312" s="43" t="str">
        <f>IFERROR(ABS(G312/VLOOKUP(2*$B312,$B313:G346,6,TRUE)),"--")</f>
        <v>--</v>
      </c>
      <c r="M312" s="38">
        <f>IF(AND(1+$Q$6&gt;H312,1-$Q$6&lt;H312,1+$Q$6&gt;I312,1-$Q$6&lt;I312,1+$Q$6&gt;J312,1-$Q$6&lt;J312,1+$Q$6&gt;K312,1-$Q$6&lt;K312,1+$Q$6&gt;L312,1-$Q$6&lt;L312),IF(SUM($M$2:M311)=0,1,0),0)</f>
        <v>0</v>
      </c>
      <c r="N312" s="38">
        <f>IF(AND(1+$Q$7&gt;H312,1-$Q$7&lt;H312,1+$Q$7&gt;I312,1-$Q$7&lt;I312,1+$Q$7&gt;J312,1-$Q$7&lt;J312,1+$Q$7&gt;K312,1-$Q$7&lt;K312,1+$Q$7&gt;L312,1-$Q$7&lt;L312),IF(SUM($N$2:N311)=0,1,0),0)</f>
        <v>0</v>
      </c>
      <c r="O312" s="34">
        <f t="shared" si="4"/>
        <v>0</v>
      </c>
    </row>
    <row r="313" spans="8:15" ht="20.100000000000001" customHeight="1" x14ac:dyDescent="0.25">
      <c r="H313" s="43" t="str">
        <f>IFERROR(ABS(C313/VLOOKUP(2*$B313,$B314:C347,2,TRUE)),"--")</f>
        <v>--</v>
      </c>
      <c r="I313" s="43" t="str">
        <f>IFERROR(ABS(D313/VLOOKUP(2*$B313,$B314:D347,3,TRUE)),"--")</f>
        <v>--</v>
      </c>
      <c r="J313" s="43" t="str">
        <f>IFERROR(ABS(E313/VLOOKUP(2*$B313,$B314:E347,4,TRUE)),"--")</f>
        <v>--</v>
      </c>
      <c r="K313" s="43" t="str">
        <f>IFERROR(ABS(F313/VLOOKUP(2*$B313,$B314:F347,5,TRUE)),"--")</f>
        <v>--</v>
      </c>
      <c r="L313" s="43" t="str">
        <f>IFERROR(ABS(G313/VLOOKUP(2*$B313,$B314:G347,6,TRUE)),"--")</f>
        <v>--</v>
      </c>
      <c r="M313" s="38">
        <f>IF(AND(1+$Q$6&gt;H313,1-$Q$6&lt;H313,1+$Q$6&gt;I313,1-$Q$6&lt;I313,1+$Q$6&gt;J313,1-$Q$6&lt;J313,1+$Q$6&gt;K313,1-$Q$6&lt;K313,1+$Q$6&gt;L313,1-$Q$6&lt;L313),IF(SUM($M$2:M312)=0,1,0),0)</f>
        <v>0</v>
      </c>
      <c r="N313" s="38">
        <f>IF(AND(1+$Q$7&gt;H313,1-$Q$7&lt;H313,1+$Q$7&gt;I313,1-$Q$7&lt;I313,1+$Q$7&gt;J313,1-$Q$7&lt;J313,1+$Q$7&gt;K313,1-$Q$7&lt;K313,1+$Q$7&gt;L313,1-$Q$7&lt;L313),IF(SUM($N$2:N312)=0,1,0),0)</f>
        <v>0</v>
      </c>
      <c r="O313" s="34">
        <f t="shared" si="4"/>
        <v>0</v>
      </c>
    </row>
    <row r="314" spans="8:15" ht="20.100000000000001" customHeight="1" x14ac:dyDescent="0.25">
      <c r="H314" s="43" t="str">
        <f>IFERROR(ABS(C314/VLOOKUP(2*$B314,$B315:C348,2,TRUE)),"--")</f>
        <v>--</v>
      </c>
      <c r="I314" s="43" t="str">
        <f>IFERROR(ABS(D314/VLOOKUP(2*$B314,$B315:D348,3,TRUE)),"--")</f>
        <v>--</v>
      </c>
      <c r="J314" s="43" t="str">
        <f>IFERROR(ABS(E314/VLOOKUP(2*$B314,$B315:E348,4,TRUE)),"--")</f>
        <v>--</v>
      </c>
      <c r="K314" s="43" t="str">
        <f>IFERROR(ABS(F314/VLOOKUP(2*$B314,$B315:F348,5,TRUE)),"--")</f>
        <v>--</v>
      </c>
      <c r="L314" s="43" t="str">
        <f>IFERROR(ABS(G314/VLOOKUP(2*$B314,$B315:G348,6,TRUE)),"--")</f>
        <v>--</v>
      </c>
      <c r="M314" s="38">
        <f>IF(AND(1+$Q$6&gt;H314,1-$Q$6&lt;H314,1+$Q$6&gt;I314,1-$Q$6&lt;I314,1+$Q$6&gt;J314,1-$Q$6&lt;J314,1+$Q$6&gt;K314,1-$Q$6&lt;K314,1+$Q$6&gt;L314,1-$Q$6&lt;L314),IF(SUM($M$2:M313)=0,1,0),0)</f>
        <v>0</v>
      </c>
      <c r="N314" s="38">
        <f>IF(AND(1+$Q$7&gt;H314,1-$Q$7&lt;H314,1+$Q$7&gt;I314,1-$Q$7&lt;I314,1+$Q$7&gt;J314,1-$Q$7&lt;J314,1+$Q$7&gt;K314,1-$Q$7&lt;K314,1+$Q$7&gt;L314,1-$Q$7&lt;L314),IF(SUM($N$2:N313)=0,1,0),0)</f>
        <v>0</v>
      </c>
      <c r="O314" s="34">
        <f t="shared" si="4"/>
        <v>0</v>
      </c>
    </row>
    <row r="315" spans="8:15" ht="20.100000000000001" customHeight="1" x14ac:dyDescent="0.25">
      <c r="H315" s="43" t="str">
        <f>IFERROR(ABS(C315/VLOOKUP(2*$B315,$B316:C349,2,TRUE)),"--")</f>
        <v>--</v>
      </c>
      <c r="I315" s="43" t="str">
        <f>IFERROR(ABS(D315/VLOOKUP(2*$B315,$B316:D349,3,TRUE)),"--")</f>
        <v>--</v>
      </c>
      <c r="J315" s="43" t="str">
        <f>IFERROR(ABS(E315/VLOOKUP(2*$B315,$B316:E349,4,TRUE)),"--")</f>
        <v>--</v>
      </c>
      <c r="K315" s="43" t="str">
        <f>IFERROR(ABS(F315/VLOOKUP(2*$B315,$B316:F349,5,TRUE)),"--")</f>
        <v>--</v>
      </c>
      <c r="L315" s="43" t="str">
        <f>IFERROR(ABS(G315/VLOOKUP(2*$B315,$B316:G349,6,TRUE)),"--")</f>
        <v>--</v>
      </c>
      <c r="M315" s="38">
        <f>IF(AND(1+$Q$6&gt;H315,1-$Q$6&lt;H315,1+$Q$6&gt;I315,1-$Q$6&lt;I315,1+$Q$6&gt;J315,1-$Q$6&lt;J315,1+$Q$6&gt;K315,1-$Q$6&lt;K315,1+$Q$6&gt;L315,1-$Q$6&lt;L315),IF(SUM($M$2:M314)=0,1,0),0)</f>
        <v>0</v>
      </c>
      <c r="N315" s="38">
        <f>IF(AND(1+$Q$7&gt;H315,1-$Q$7&lt;H315,1+$Q$7&gt;I315,1-$Q$7&lt;I315,1+$Q$7&gt;J315,1-$Q$7&lt;J315,1+$Q$7&gt;K315,1-$Q$7&lt;K315,1+$Q$7&gt;L315,1-$Q$7&lt;L315),IF(SUM($N$2:N314)=0,1,0),0)</f>
        <v>0</v>
      </c>
      <c r="O315" s="34">
        <f t="shared" si="4"/>
        <v>0</v>
      </c>
    </row>
    <row r="316" spans="8:15" ht="20.100000000000001" customHeight="1" x14ac:dyDescent="0.25">
      <c r="H316" s="43" t="str">
        <f>IFERROR(ABS(C316/VLOOKUP(2*$B316,$B317:C350,2,TRUE)),"--")</f>
        <v>--</v>
      </c>
      <c r="I316" s="43" t="str">
        <f>IFERROR(ABS(D316/VLOOKUP(2*$B316,$B317:D350,3,TRUE)),"--")</f>
        <v>--</v>
      </c>
      <c r="J316" s="43" t="str">
        <f>IFERROR(ABS(E316/VLOOKUP(2*$B316,$B317:E350,4,TRUE)),"--")</f>
        <v>--</v>
      </c>
      <c r="K316" s="43" t="str">
        <f>IFERROR(ABS(F316/VLOOKUP(2*$B316,$B317:F350,5,TRUE)),"--")</f>
        <v>--</v>
      </c>
      <c r="L316" s="43" t="str">
        <f>IFERROR(ABS(G316/VLOOKUP(2*$B316,$B317:G350,6,TRUE)),"--")</f>
        <v>--</v>
      </c>
      <c r="M316" s="38">
        <f>IF(AND(1+$Q$6&gt;H316,1-$Q$6&lt;H316,1+$Q$6&gt;I316,1-$Q$6&lt;I316,1+$Q$6&gt;J316,1-$Q$6&lt;J316,1+$Q$6&gt;K316,1-$Q$6&lt;K316,1+$Q$6&gt;L316,1-$Q$6&lt;L316),IF(SUM($M$2:M315)=0,1,0),0)</f>
        <v>0</v>
      </c>
      <c r="N316" s="38">
        <f>IF(AND(1+$Q$7&gt;H316,1-$Q$7&lt;H316,1+$Q$7&gt;I316,1-$Q$7&lt;I316,1+$Q$7&gt;J316,1-$Q$7&lt;J316,1+$Q$7&gt;K316,1-$Q$7&lt;K316,1+$Q$7&gt;L316,1-$Q$7&lt;L316),IF(SUM($N$2:N315)=0,1,0),0)</f>
        <v>0</v>
      </c>
      <c r="O316" s="34">
        <f t="shared" si="4"/>
        <v>0</v>
      </c>
    </row>
    <row r="317" spans="8:15" ht="20.100000000000001" customHeight="1" x14ac:dyDescent="0.25">
      <c r="H317" s="43" t="str">
        <f>IFERROR(ABS(C317/VLOOKUP(2*$B317,$B318:C351,2,TRUE)),"--")</f>
        <v>--</v>
      </c>
      <c r="I317" s="43" t="str">
        <f>IFERROR(ABS(D317/VLOOKUP(2*$B317,$B318:D351,3,TRUE)),"--")</f>
        <v>--</v>
      </c>
      <c r="J317" s="43" t="str">
        <f>IFERROR(ABS(E317/VLOOKUP(2*$B317,$B318:E351,4,TRUE)),"--")</f>
        <v>--</v>
      </c>
      <c r="K317" s="43" t="str">
        <f>IFERROR(ABS(F317/VLOOKUP(2*$B317,$B318:F351,5,TRUE)),"--")</f>
        <v>--</v>
      </c>
      <c r="L317" s="43" t="str">
        <f>IFERROR(ABS(G317/VLOOKUP(2*$B317,$B318:G351,6,TRUE)),"--")</f>
        <v>--</v>
      </c>
      <c r="M317" s="38">
        <f>IF(AND(1+$Q$6&gt;H317,1-$Q$6&lt;H317,1+$Q$6&gt;I317,1-$Q$6&lt;I317,1+$Q$6&gt;J317,1-$Q$6&lt;J317,1+$Q$6&gt;K317,1-$Q$6&lt;K317,1+$Q$6&gt;L317,1-$Q$6&lt;L317),IF(SUM($M$2:M316)=0,1,0),0)</f>
        <v>0</v>
      </c>
      <c r="N317" s="38">
        <f>IF(AND(1+$Q$7&gt;H317,1-$Q$7&lt;H317,1+$Q$7&gt;I317,1-$Q$7&lt;I317,1+$Q$7&gt;J317,1-$Q$7&lt;J317,1+$Q$7&gt;K317,1-$Q$7&lt;K317,1+$Q$7&gt;L317,1-$Q$7&lt;L317),IF(SUM($N$2:N316)=0,1,0),0)</f>
        <v>0</v>
      </c>
      <c r="O317" s="34">
        <f t="shared" si="4"/>
        <v>0</v>
      </c>
    </row>
    <row r="318" spans="8:15" ht="20.100000000000001" customHeight="1" x14ac:dyDescent="0.25">
      <c r="H318" s="43" t="str">
        <f>IFERROR(ABS(C318/VLOOKUP(2*$B318,$B319:C352,2,TRUE)),"--")</f>
        <v>--</v>
      </c>
      <c r="I318" s="43" t="str">
        <f>IFERROR(ABS(D318/VLOOKUP(2*$B318,$B319:D352,3,TRUE)),"--")</f>
        <v>--</v>
      </c>
      <c r="J318" s="43" t="str">
        <f>IFERROR(ABS(E318/VLOOKUP(2*$B318,$B319:E352,4,TRUE)),"--")</f>
        <v>--</v>
      </c>
      <c r="K318" s="43" t="str">
        <f>IFERROR(ABS(F318/VLOOKUP(2*$B318,$B319:F352,5,TRUE)),"--")</f>
        <v>--</v>
      </c>
      <c r="L318" s="43" t="str">
        <f>IFERROR(ABS(G318/VLOOKUP(2*$B318,$B319:G352,6,TRUE)),"--")</f>
        <v>--</v>
      </c>
      <c r="M318" s="38">
        <f>IF(AND(1+$Q$6&gt;H318,1-$Q$6&lt;H318,1+$Q$6&gt;I318,1-$Q$6&lt;I318,1+$Q$6&gt;J318,1-$Q$6&lt;J318,1+$Q$6&gt;K318,1-$Q$6&lt;K318,1+$Q$6&gt;L318,1-$Q$6&lt;L318),IF(SUM($M$2:M317)=0,1,0),0)</f>
        <v>0</v>
      </c>
      <c r="N318" s="38">
        <f>IF(AND(1+$Q$7&gt;H318,1-$Q$7&lt;H318,1+$Q$7&gt;I318,1-$Q$7&lt;I318,1+$Q$7&gt;J318,1-$Q$7&lt;J318,1+$Q$7&gt;K318,1-$Q$7&lt;K318,1+$Q$7&gt;L318,1-$Q$7&lt;L318),IF(SUM($N$2:N317)=0,1,0),0)</f>
        <v>0</v>
      </c>
      <c r="O318" s="34">
        <f t="shared" si="4"/>
        <v>0</v>
      </c>
    </row>
    <row r="319" spans="8:15" ht="20.100000000000001" customHeight="1" x14ac:dyDescent="0.25">
      <c r="H319" s="43" t="str">
        <f>IFERROR(ABS(C319/VLOOKUP(2*$B319,$B320:C353,2,TRUE)),"--")</f>
        <v>--</v>
      </c>
      <c r="I319" s="43" t="str">
        <f>IFERROR(ABS(D319/VLOOKUP(2*$B319,$B320:D353,3,TRUE)),"--")</f>
        <v>--</v>
      </c>
      <c r="J319" s="43" t="str">
        <f>IFERROR(ABS(E319/VLOOKUP(2*$B319,$B320:E353,4,TRUE)),"--")</f>
        <v>--</v>
      </c>
      <c r="K319" s="43" t="str">
        <f>IFERROR(ABS(F319/VLOOKUP(2*$B319,$B320:F353,5,TRUE)),"--")</f>
        <v>--</v>
      </c>
      <c r="L319" s="43" t="str">
        <f>IFERROR(ABS(G319/VLOOKUP(2*$B319,$B320:G353,6,TRUE)),"--")</f>
        <v>--</v>
      </c>
      <c r="M319" s="38">
        <f>IF(AND(1+$Q$6&gt;H319,1-$Q$6&lt;H319,1+$Q$6&gt;I319,1-$Q$6&lt;I319,1+$Q$6&gt;J319,1-$Q$6&lt;J319,1+$Q$6&gt;K319,1-$Q$6&lt;K319,1+$Q$6&gt;L319,1-$Q$6&lt;L319),IF(SUM($M$2:M318)=0,1,0),0)</f>
        <v>0</v>
      </c>
      <c r="N319" s="38">
        <f>IF(AND(1+$Q$7&gt;H319,1-$Q$7&lt;H319,1+$Q$7&gt;I319,1-$Q$7&lt;I319,1+$Q$7&gt;J319,1-$Q$7&lt;J319,1+$Q$7&gt;K319,1-$Q$7&lt;K319,1+$Q$7&gt;L319,1-$Q$7&lt;L319),IF(SUM($N$2:N318)=0,1,0),0)</f>
        <v>0</v>
      </c>
      <c r="O319" s="34">
        <f t="shared" si="4"/>
        <v>0</v>
      </c>
    </row>
    <row r="320" spans="8:15" ht="20.100000000000001" customHeight="1" x14ac:dyDescent="0.25">
      <c r="H320" s="43" t="str">
        <f>IFERROR(ABS(C320/VLOOKUP(2*$B320,$B321:C354,2,TRUE)),"--")</f>
        <v>--</v>
      </c>
      <c r="I320" s="43" t="str">
        <f>IFERROR(ABS(D320/VLOOKUP(2*$B320,$B321:D354,3,TRUE)),"--")</f>
        <v>--</v>
      </c>
      <c r="J320" s="43" t="str">
        <f>IFERROR(ABS(E320/VLOOKUP(2*$B320,$B321:E354,4,TRUE)),"--")</f>
        <v>--</v>
      </c>
      <c r="K320" s="43" t="str">
        <f>IFERROR(ABS(F320/VLOOKUP(2*$B320,$B321:F354,5,TRUE)),"--")</f>
        <v>--</v>
      </c>
      <c r="L320" s="43" t="str">
        <f>IFERROR(ABS(G320/VLOOKUP(2*$B320,$B321:G354,6,TRUE)),"--")</f>
        <v>--</v>
      </c>
      <c r="M320" s="38">
        <f>IF(AND(1+$Q$6&gt;H320,1-$Q$6&lt;H320,1+$Q$6&gt;I320,1-$Q$6&lt;I320,1+$Q$6&gt;J320,1-$Q$6&lt;J320,1+$Q$6&gt;K320,1-$Q$6&lt;K320,1+$Q$6&gt;L320,1-$Q$6&lt;L320),IF(SUM($M$2:M319)=0,1,0),0)</f>
        <v>0</v>
      </c>
      <c r="N320" s="38">
        <f>IF(AND(1+$Q$7&gt;H320,1-$Q$7&lt;H320,1+$Q$7&gt;I320,1-$Q$7&lt;I320,1+$Q$7&gt;J320,1-$Q$7&lt;J320,1+$Q$7&gt;K320,1-$Q$7&lt;K320,1+$Q$7&gt;L320,1-$Q$7&lt;L320),IF(SUM($N$2:N319)=0,1,0),0)</f>
        <v>0</v>
      </c>
      <c r="O320" s="34">
        <f t="shared" si="4"/>
        <v>0</v>
      </c>
    </row>
    <row r="321" spans="8:15" ht="20.100000000000001" customHeight="1" x14ac:dyDescent="0.25">
      <c r="H321" s="43" t="str">
        <f>IFERROR(ABS(C321/VLOOKUP(2*$B321,$B322:C355,2,TRUE)),"--")</f>
        <v>--</v>
      </c>
      <c r="I321" s="43" t="str">
        <f>IFERROR(ABS(D321/VLOOKUP(2*$B321,$B322:D355,3,TRUE)),"--")</f>
        <v>--</v>
      </c>
      <c r="J321" s="43" t="str">
        <f>IFERROR(ABS(E321/VLOOKUP(2*$B321,$B322:E355,4,TRUE)),"--")</f>
        <v>--</v>
      </c>
      <c r="K321" s="43" t="str">
        <f>IFERROR(ABS(F321/VLOOKUP(2*$B321,$B322:F355,5,TRUE)),"--")</f>
        <v>--</v>
      </c>
      <c r="L321" s="43" t="str">
        <f>IFERROR(ABS(G321/VLOOKUP(2*$B321,$B322:G355,6,TRUE)),"--")</f>
        <v>--</v>
      </c>
      <c r="M321" s="38">
        <f>IF(AND(1+$Q$6&gt;H321,1-$Q$6&lt;H321,1+$Q$6&gt;I321,1-$Q$6&lt;I321,1+$Q$6&gt;J321,1-$Q$6&lt;J321,1+$Q$6&gt;K321,1-$Q$6&lt;K321,1+$Q$6&gt;L321,1-$Q$6&lt;L321),IF(SUM($M$2:M320)=0,1,0),0)</f>
        <v>0</v>
      </c>
      <c r="N321" s="38">
        <f>IF(AND(1+$Q$7&gt;H321,1-$Q$7&lt;H321,1+$Q$7&gt;I321,1-$Q$7&lt;I321,1+$Q$7&gt;J321,1-$Q$7&lt;J321,1+$Q$7&gt;K321,1-$Q$7&lt;K321,1+$Q$7&gt;L321,1-$Q$7&lt;L321),IF(SUM($N$2:N320)=0,1,0),0)</f>
        <v>0</v>
      </c>
      <c r="O321" s="34">
        <f t="shared" si="4"/>
        <v>0</v>
      </c>
    </row>
    <row r="322" spans="8:15" ht="20.100000000000001" customHeight="1" x14ac:dyDescent="0.25">
      <c r="H322" s="43" t="str">
        <f>IFERROR(ABS(C322/VLOOKUP(2*$B322,$B323:C356,2,TRUE)),"--")</f>
        <v>--</v>
      </c>
      <c r="I322" s="43" t="str">
        <f>IFERROR(ABS(D322/VLOOKUP(2*$B322,$B323:D356,3,TRUE)),"--")</f>
        <v>--</v>
      </c>
      <c r="J322" s="43" t="str">
        <f>IFERROR(ABS(E322/VLOOKUP(2*$B322,$B323:E356,4,TRUE)),"--")</f>
        <v>--</v>
      </c>
      <c r="K322" s="43" t="str">
        <f>IFERROR(ABS(F322/VLOOKUP(2*$B322,$B323:F356,5,TRUE)),"--")</f>
        <v>--</v>
      </c>
      <c r="L322" s="43" t="str">
        <f>IFERROR(ABS(G322/VLOOKUP(2*$B322,$B323:G356,6,TRUE)),"--")</f>
        <v>--</v>
      </c>
      <c r="M322" s="38">
        <f>IF(AND(1+$Q$6&gt;H322,1-$Q$6&lt;H322,1+$Q$6&gt;I322,1-$Q$6&lt;I322,1+$Q$6&gt;J322,1-$Q$6&lt;J322,1+$Q$6&gt;K322,1-$Q$6&lt;K322,1+$Q$6&gt;L322,1-$Q$6&lt;L322),IF(SUM($M$2:M321)=0,1,0),0)</f>
        <v>0</v>
      </c>
      <c r="N322" s="38">
        <f>IF(AND(1+$Q$7&gt;H322,1-$Q$7&lt;H322,1+$Q$7&gt;I322,1-$Q$7&lt;I322,1+$Q$7&gt;J322,1-$Q$7&lt;J322,1+$Q$7&gt;K322,1-$Q$7&lt;K322,1+$Q$7&gt;L322,1-$Q$7&lt;L322),IF(SUM($N$2:N321)=0,1,0),0)</f>
        <v>0</v>
      </c>
      <c r="O322" s="34">
        <f t="shared" si="4"/>
        <v>0</v>
      </c>
    </row>
    <row r="323" spans="8:15" ht="20.100000000000001" customHeight="1" x14ac:dyDescent="0.25">
      <c r="H323" s="43" t="str">
        <f>IFERROR(ABS(C323/VLOOKUP(2*$B323,$B324:C357,2,TRUE)),"--")</f>
        <v>--</v>
      </c>
      <c r="I323" s="43" t="str">
        <f>IFERROR(ABS(D323/VLOOKUP(2*$B323,$B324:D357,3,TRUE)),"--")</f>
        <v>--</v>
      </c>
      <c r="J323" s="43" t="str">
        <f>IFERROR(ABS(E323/VLOOKUP(2*$B323,$B324:E357,4,TRUE)),"--")</f>
        <v>--</v>
      </c>
      <c r="K323" s="43" t="str">
        <f>IFERROR(ABS(F323/VLOOKUP(2*$B323,$B324:F357,5,TRUE)),"--")</f>
        <v>--</v>
      </c>
      <c r="L323" s="43" t="str">
        <f>IFERROR(ABS(G323/VLOOKUP(2*$B323,$B324:G357,6,TRUE)),"--")</f>
        <v>--</v>
      </c>
      <c r="M323" s="38">
        <f>IF(AND(1+$Q$6&gt;H323,1-$Q$6&lt;H323,1+$Q$6&gt;I323,1-$Q$6&lt;I323,1+$Q$6&gt;J323,1-$Q$6&lt;J323,1+$Q$6&gt;K323,1-$Q$6&lt;K323,1+$Q$6&gt;L323,1-$Q$6&lt;L323),IF(SUM($M$2:M322)=0,1,0),0)</f>
        <v>0</v>
      </c>
      <c r="N323" s="38">
        <f>IF(AND(1+$Q$7&gt;H323,1-$Q$7&lt;H323,1+$Q$7&gt;I323,1-$Q$7&lt;I323,1+$Q$7&gt;J323,1-$Q$7&lt;J323,1+$Q$7&gt;K323,1-$Q$7&lt;K323,1+$Q$7&gt;L323,1-$Q$7&lt;L323),IF(SUM($N$2:N322)=0,1,0),0)</f>
        <v>0</v>
      </c>
      <c r="O323" s="34">
        <f t="shared" ref="O323:O386" si="5">A323</f>
        <v>0</v>
      </c>
    </row>
    <row r="324" spans="8:15" ht="20.100000000000001" customHeight="1" x14ac:dyDescent="0.25">
      <c r="H324" s="43" t="str">
        <f>IFERROR(ABS(C324/VLOOKUP(2*$B324,$B325:C358,2,TRUE)),"--")</f>
        <v>--</v>
      </c>
      <c r="I324" s="43" t="str">
        <f>IFERROR(ABS(D324/VLOOKUP(2*$B324,$B325:D358,3,TRUE)),"--")</f>
        <v>--</v>
      </c>
      <c r="J324" s="43" t="str">
        <f>IFERROR(ABS(E324/VLOOKUP(2*$B324,$B325:E358,4,TRUE)),"--")</f>
        <v>--</v>
      </c>
      <c r="K324" s="43" t="str">
        <f>IFERROR(ABS(F324/VLOOKUP(2*$B324,$B325:F358,5,TRUE)),"--")</f>
        <v>--</v>
      </c>
      <c r="L324" s="43" t="str">
        <f>IFERROR(ABS(G324/VLOOKUP(2*$B324,$B325:G358,6,TRUE)),"--")</f>
        <v>--</v>
      </c>
      <c r="M324" s="38">
        <f>IF(AND(1+$Q$6&gt;H324,1-$Q$6&lt;H324,1+$Q$6&gt;I324,1-$Q$6&lt;I324,1+$Q$6&gt;J324,1-$Q$6&lt;J324,1+$Q$6&gt;K324,1-$Q$6&lt;K324,1+$Q$6&gt;L324,1-$Q$6&lt;L324),IF(SUM($M$2:M323)=0,1,0),0)</f>
        <v>0</v>
      </c>
      <c r="N324" s="38">
        <f>IF(AND(1+$Q$7&gt;H324,1-$Q$7&lt;H324,1+$Q$7&gt;I324,1-$Q$7&lt;I324,1+$Q$7&gt;J324,1-$Q$7&lt;J324,1+$Q$7&gt;K324,1-$Q$7&lt;K324,1+$Q$7&gt;L324,1-$Q$7&lt;L324),IF(SUM($N$2:N323)=0,1,0),0)</f>
        <v>0</v>
      </c>
      <c r="O324" s="34">
        <f t="shared" si="5"/>
        <v>0</v>
      </c>
    </row>
    <row r="325" spans="8:15" ht="20.100000000000001" customHeight="1" x14ac:dyDescent="0.25">
      <c r="H325" s="43" t="str">
        <f>IFERROR(ABS(C325/VLOOKUP(2*$B325,$B326:C359,2,TRUE)),"--")</f>
        <v>--</v>
      </c>
      <c r="I325" s="43" t="str">
        <f>IFERROR(ABS(D325/VLOOKUP(2*$B325,$B326:D359,3,TRUE)),"--")</f>
        <v>--</v>
      </c>
      <c r="J325" s="43" t="str">
        <f>IFERROR(ABS(E325/VLOOKUP(2*$B325,$B326:E359,4,TRUE)),"--")</f>
        <v>--</v>
      </c>
      <c r="K325" s="43" t="str">
        <f>IFERROR(ABS(F325/VLOOKUP(2*$B325,$B326:F359,5,TRUE)),"--")</f>
        <v>--</v>
      </c>
      <c r="L325" s="43" t="str">
        <f>IFERROR(ABS(G325/VLOOKUP(2*$B325,$B326:G359,6,TRUE)),"--")</f>
        <v>--</v>
      </c>
      <c r="M325" s="38">
        <f>IF(AND(1+$Q$6&gt;H325,1-$Q$6&lt;H325,1+$Q$6&gt;I325,1-$Q$6&lt;I325,1+$Q$6&gt;J325,1-$Q$6&lt;J325,1+$Q$6&gt;K325,1-$Q$6&lt;K325,1+$Q$6&gt;L325,1-$Q$6&lt;L325),IF(SUM($M$2:M324)=0,1,0),0)</f>
        <v>0</v>
      </c>
      <c r="N325" s="38">
        <f>IF(AND(1+$Q$7&gt;H325,1-$Q$7&lt;H325,1+$Q$7&gt;I325,1-$Q$7&lt;I325,1+$Q$7&gt;J325,1-$Q$7&lt;J325,1+$Q$7&gt;K325,1-$Q$7&lt;K325,1+$Q$7&gt;L325,1-$Q$7&lt;L325),IF(SUM($N$2:N324)=0,1,0),0)</f>
        <v>0</v>
      </c>
      <c r="O325" s="34">
        <f t="shared" si="5"/>
        <v>0</v>
      </c>
    </row>
    <row r="326" spans="8:15" ht="20.100000000000001" customHeight="1" x14ac:dyDescent="0.25">
      <c r="H326" s="43" t="str">
        <f>IFERROR(ABS(C326/VLOOKUP(2*$B326,$B327:C360,2,TRUE)),"--")</f>
        <v>--</v>
      </c>
      <c r="I326" s="43" t="str">
        <f>IFERROR(ABS(D326/VLOOKUP(2*$B326,$B327:D360,3,TRUE)),"--")</f>
        <v>--</v>
      </c>
      <c r="J326" s="43" t="str">
        <f>IFERROR(ABS(E326/VLOOKUP(2*$B326,$B327:E360,4,TRUE)),"--")</f>
        <v>--</v>
      </c>
      <c r="K326" s="43" t="str">
        <f>IFERROR(ABS(F326/VLOOKUP(2*$B326,$B327:F360,5,TRUE)),"--")</f>
        <v>--</v>
      </c>
      <c r="L326" s="43" t="str">
        <f>IFERROR(ABS(G326/VLOOKUP(2*$B326,$B327:G360,6,TRUE)),"--")</f>
        <v>--</v>
      </c>
      <c r="M326" s="38">
        <f>IF(AND(1+$Q$6&gt;H326,1-$Q$6&lt;H326,1+$Q$6&gt;I326,1-$Q$6&lt;I326,1+$Q$6&gt;J326,1-$Q$6&lt;J326,1+$Q$6&gt;K326,1-$Q$6&lt;K326,1+$Q$6&gt;L326,1-$Q$6&lt;L326),IF(SUM($M$2:M325)=0,1,0),0)</f>
        <v>0</v>
      </c>
      <c r="N326" s="38">
        <f>IF(AND(1+$Q$7&gt;H326,1-$Q$7&lt;H326,1+$Q$7&gt;I326,1-$Q$7&lt;I326,1+$Q$7&gt;J326,1-$Q$7&lt;J326,1+$Q$7&gt;K326,1-$Q$7&lt;K326,1+$Q$7&gt;L326,1-$Q$7&lt;L326),IF(SUM($N$2:N325)=0,1,0),0)</f>
        <v>0</v>
      </c>
      <c r="O326" s="34">
        <f t="shared" si="5"/>
        <v>0</v>
      </c>
    </row>
    <row r="327" spans="8:15" ht="20.100000000000001" customHeight="1" x14ac:dyDescent="0.25">
      <c r="H327" s="43" t="str">
        <f>IFERROR(ABS(C327/VLOOKUP(2*$B327,$B328:C361,2,TRUE)),"--")</f>
        <v>--</v>
      </c>
      <c r="I327" s="43" t="str">
        <f>IFERROR(ABS(D327/VLOOKUP(2*$B327,$B328:D361,3,TRUE)),"--")</f>
        <v>--</v>
      </c>
      <c r="J327" s="43" t="str">
        <f>IFERROR(ABS(E327/VLOOKUP(2*$B327,$B328:E361,4,TRUE)),"--")</f>
        <v>--</v>
      </c>
      <c r="K327" s="43" t="str">
        <f>IFERROR(ABS(F327/VLOOKUP(2*$B327,$B328:F361,5,TRUE)),"--")</f>
        <v>--</v>
      </c>
      <c r="L327" s="43" t="str">
        <f>IFERROR(ABS(G327/VLOOKUP(2*$B327,$B328:G361,6,TRUE)),"--")</f>
        <v>--</v>
      </c>
      <c r="M327" s="38">
        <f>IF(AND(1+$Q$6&gt;H327,1-$Q$6&lt;H327,1+$Q$6&gt;I327,1-$Q$6&lt;I327,1+$Q$6&gt;J327,1-$Q$6&lt;J327,1+$Q$6&gt;K327,1-$Q$6&lt;K327,1+$Q$6&gt;L327,1-$Q$6&lt;L327),IF(SUM($M$2:M326)=0,1,0),0)</f>
        <v>0</v>
      </c>
      <c r="N327" s="38">
        <f>IF(AND(1+$Q$7&gt;H327,1-$Q$7&lt;H327,1+$Q$7&gt;I327,1-$Q$7&lt;I327,1+$Q$7&gt;J327,1-$Q$7&lt;J327,1+$Q$7&gt;K327,1-$Q$7&lt;K327,1+$Q$7&gt;L327,1-$Q$7&lt;L327),IF(SUM($N$2:N326)=0,1,0),0)</f>
        <v>0</v>
      </c>
      <c r="O327" s="34">
        <f t="shared" si="5"/>
        <v>0</v>
      </c>
    </row>
    <row r="328" spans="8:15" ht="20.100000000000001" customHeight="1" x14ac:dyDescent="0.25">
      <c r="H328" s="43" t="str">
        <f>IFERROR(ABS(C328/VLOOKUP(2*$B328,$B329:C362,2,TRUE)),"--")</f>
        <v>--</v>
      </c>
      <c r="I328" s="43" t="str">
        <f>IFERROR(ABS(D328/VLOOKUP(2*$B328,$B329:D362,3,TRUE)),"--")</f>
        <v>--</v>
      </c>
      <c r="J328" s="43" t="str">
        <f>IFERROR(ABS(E328/VLOOKUP(2*$B328,$B329:E362,4,TRUE)),"--")</f>
        <v>--</v>
      </c>
      <c r="K328" s="43" t="str">
        <f>IFERROR(ABS(F328/VLOOKUP(2*$B328,$B329:F362,5,TRUE)),"--")</f>
        <v>--</v>
      </c>
      <c r="L328" s="43" t="str">
        <f>IFERROR(ABS(G328/VLOOKUP(2*$B328,$B329:G362,6,TRUE)),"--")</f>
        <v>--</v>
      </c>
      <c r="M328" s="38">
        <f>IF(AND(1+$Q$6&gt;H328,1-$Q$6&lt;H328,1+$Q$6&gt;I328,1-$Q$6&lt;I328,1+$Q$6&gt;J328,1-$Q$6&lt;J328,1+$Q$6&gt;K328,1-$Q$6&lt;K328,1+$Q$6&gt;L328,1-$Q$6&lt;L328),IF(SUM($M$2:M327)=0,1,0),0)</f>
        <v>0</v>
      </c>
      <c r="N328" s="38">
        <f>IF(AND(1+$Q$7&gt;H328,1-$Q$7&lt;H328,1+$Q$7&gt;I328,1-$Q$7&lt;I328,1+$Q$7&gt;J328,1-$Q$7&lt;J328,1+$Q$7&gt;K328,1-$Q$7&lt;K328,1+$Q$7&gt;L328,1-$Q$7&lt;L328),IF(SUM($N$2:N327)=0,1,0),0)</f>
        <v>0</v>
      </c>
      <c r="O328" s="34">
        <f t="shared" si="5"/>
        <v>0</v>
      </c>
    </row>
    <row r="329" spans="8:15" ht="20.100000000000001" customHeight="1" x14ac:dyDescent="0.25">
      <c r="H329" s="43" t="str">
        <f>IFERROR(ABS(C329/VLOOKUP(2*$B329,$B330:C363,2,TRUE)),"--")</f>
        <v>--</v>
      </c>
      <c r="I329" s="43" t="str">
        <f>IFERROR(ABS(D329/VLOOKUP(2*$B329,$B330:D363,3,TRUE)),"--")</f>
        <v>--</v>
      </c>
      <c r="J329" s="43" t="str">
        <f>IFERROR(ABS(E329/VLOOKUP(2*$B329,$B330:E363,4,TRUE)),"--")</f>
        <v>--</v>
      </c>
      <c r="K329" s="43" t="str">
        <f>IFERROR(ABS(F329/VLOOKUP(2*$B329,$B330:F363,5,TRUE)),"--")</f>
        <v>--</v>
      </c>
      <c r="L329" s="43" t="str">
        <f>IFERROR(ABS(G329/VLOOKUP(2*$B329,$B330:G363,6,TRUE)),"--")</f>
        <v>--</v>
      </c>
      <c r="M329" s="38">
        <f>IF(AND(1+$Q$6&gt;H329,1-$Q$6&lt;H329,1+$Q$6&gt;I329,1-$Q$6&lt;I329,1+$Q$6&gt;J329,1-$Q$6&lt;J329,1+$Q$6&gt;K329,1-$Q$6&lt;K329,1+$Q$6&gt;L329,1-$Q$6&lt;L329),IF(SUM($M$2:M328)=0,1,0),0)</f>
        <v>0</v>
      </c>
      <c r="N329" s="38">
        <f>IF(AND(1+$Q$7&gt;H329,1-$Q$7&lt;H329,1+$Q$7&gt;I329,1-$Q$7&lt;I329,1+$Q$7&gt;J329,1-$Q$7&lt;J329,1+$Q$7&gt;K329,1-$Q$7&lt;K329,1+$Q$7&gt;L329,1-$Q$7&lt;L329),IF(SUM($N$2:N328)=0,1,0),0)</f>
        <v>0</v>
      </c>
      <c r="O329" s="34">
        <f t="shared" si="5"/>
        <v>0</v>
      </c>
    </row>
    <row r="330" spans="8:15" ht="20.100000000000001" customHeight="1" x14ac:dyDescent="0.25">
      <c r="H330" s="43" t="str">
        <f>IFERROR(ABS(C330/VLOOKUP(2*$B330,$B331:C364,2,TRUE)),"--")</f>
        <v>--</v>
      </c>
      <c r="I330" s="43" t="str">
        <f>IFERROR(ABS(D330/VLOOKUP(2*$B330,$B331:D364,3,TRUE)),"--")</f>
        <v>--</v>
      </c>
      <c r="J330" s="43" t="str">
        <f>IFERROR(ABS(E330/VLOOKUP(2*$B330,$B331:E364,4,TRUE)),"--")</f>
        <v>--</v>
      </c>
      <c r="K330" s="43" t="str">
        <f>IFERROR(ABS(F330/VLOOKUP(2*$B330,$B331:F364,5,TRUE)),"--")</f>
        <v>--</v>
      </c>
      <c r="L330" s="43" t="str">
        <f>IFERROR(ABS(G330/VLOOKUP(2*$B330,$B331:G364,6,TRUE)),"--")</f>
        <v>--</v>
      </c>
      <c r="M330" s="38">
        <f>IF(AND(1+$Q$6&gt;H330,1-$Q$6&lt;H330,1+$Q$6&gt;I330,1-$Q$6&lt;I330,1+$Q$6&gt;J330,1-$Q$6&lt;J330,1+$Q$6&gt;K330,1-$Q$6&lt;K330,1+$Q$6&gt;L330,1-$Q$6&lt;L330),IF(SUM($M$2:M329)=0,1,0),0)</f>
        <v>0</v>
      </c>
      <c r="N330" s="38">
        <f>IF(AND(1+$Q$7&gt;H330,1-$Q$7&lt;H330,1+$Q$7&gt;I330,1-$Q$7&lt;I330,1+$Q$7&gt;J330,1-$Q$7&lt;J330,1+$Q$7&gt;K330,1-$Q$7&lt;K330,1+$Q$7&gt;L330,1-$Q$7&lt;L330),IF(SUM($N$2:N329)=0,1,0),0)</f>
        <v>0</v>
      </c>
      <c r="O330" s="34">
        <f t="shared" si="5"/>
        <v>0</v>
      </c>
    </row>
    <row r="331" spans="8:15" ht="20.100000000000001" customHeight="1" x14ac:dyDescent="0.25">
      <c r="H331" s="43" t="str">
        <f>IFERROR(ABS(C331/VLOOKUP(2*$B331,$B332:C365,2,TRUE)),"--")</f>
        <v>--</v>
      </c>
      <c r="I331" s="43" t="str">
        <f>IFERROR(ABS(D331/VLOOKUP(2*$B331,$B332:D365,3,TRUE)),"--")</f>
        <v>--</v>
      </c>
      <c r="J331" s="43" t="str">
        <f>IFERROR(ABS(E331/VLOOKUP(2*$B331,$B332:E365,4,TRUE)),"--")</f>
        <v>--</v>
      </c>
      <c r="K331" s="43" t="str">
        <f>IFERROR(ABS(F331/VLOOKUP(2*$B331,$B332:F365,5,TRUE)),"--")</f>
        <v>--</v>
      </c>
      <c r="L331" s="43" t="str">
        <f>IFERROR(ABS(G331/VLOOKUP(2*$B331,$B332:G365,6,TRUE)),"--")</f>
        <v>--</v>
      </c>
      <c r="M331" s="38">
        <f>IF(AND(1+$Q$6&gt;H331,1-$Q$6&lt;H331,1+$Q$6&gt;I331,1-$Q$6&lt;I331,1+$Q$6&gt;J331,1-$Q$6&lt;J331,1+$Q$6&gt;K331,1-$Q$6&lt;K331,1+$Q$6&gt;L331,1-$Q$6&lt;L331),IF(SUM($M$2:M330)=0,1,0),0)</f>
        <v>0</v>
      </c>
      <c r="N331" s="38">
        <f>IF(AND(1+$Q$7&gt;H331,1-$Q$7&lt;H331,1+$Q$7&gt;I331,1-$Q$7&lt;I331,1+$Q$7&gt;J331,1-$Q$7&lt;J331,1+$Q$7&gt;K331,1-$Q$7&lt;K331,1+$Q$7&gt;L331,1-$Q$7&lt;L331),IF(SUM($N$2:N330)=0,1,0),0)</f>
        <v>0</v>
      </c>
      <c r="O331" s="34">
        <f t="shared" si="5"/>
        <v>0</v>
      </c>
    </row>
    <row r="332" spans="8:15" ht="20.100000000000001" customHeight="1" x14ac:dyDescent="0.25">
      <c r="H332" s="43" t="str">
        <f>IFERROR(ABS(C332/VLOOKUP(2*$B332,$B333:C366,2,TRUE)),"--")</f>
        <v>--</v>
      </c>
      <c r="I332" s="43" t="str">
        <f>IFERROR(ABS(D332/VLOOKUP(2*$B332,$B333:D366,3,TRUE)),"--")</f>
        <v>--</v>
      </c>
      <c r="J332" s="43" t="str">
        <f>IFERROR(ABS(E332/VLOOKUP(2*$B332,$B333:E366,4,TRUE)),"--")</f>
        <v>--</v>
      </c>
      <c r="K332" s="43" t="str">
        <f>IFERROR(ABS(F332/VLOOKUP(2*$B332,$B333:F366,5,TRUE)),"--")</f>
        <v>--</v>
      </c>
      <c r="L332" s="43" t="str">
        <f>IFERROR(ABS(G332/VLOOKUP(2*$B332,$B333:G366,6,TRUE)),"--")</f>
        <v>--</v>
      </c>
      <c r="M332" s="38">
        <f>IF(AND(1+$Q$6&gt;H332,1-$Q$6&lt;H332,1+$Q$6&gt;I332,1-$Q$6&lt;I332,1+$Q$6&gt;J332,1-$Q$6&lt;J332,1+$Q$6&gt;K332,1-$Q$6&lt;K332,1+$Q$6&gt;L332,1-$Q$6&lt;L332),IF(SUM($M$2:M331)=0,1,0),0)</f>
        <v>0</v>
      </c>
      <c r="N332" s="38">
        <f>IF(AND(1+$Q$7&gt;H332,1-$Q$7&lt;H332,1+$Q$7&gt;I332,1-$Q$7&lt;I332,1+$Q$7&gt;J332,1-$Q$7&lt;J332,1+$Q$7&gt;K332,1-$Q$7&lt;K332,1+$Q$7&gt;L332,1-$Q$7&lt;L332),IF(SUM($N$2:N331)=0,1,0),0)</f>
        <v>0</v>
      </c>
      <c r="O332" s="34">
        <f t="shared" si="5"/>
        <v>0</v>
      </c>
    </row>
    <row r="333" spans="8:15" ht="20.100000000000001" customHeight="1" x14ac:dyDescent="0.25">
      <c r="H333" s="43" t="str">
        <f>IFERROR(ABS(C333/VLOOKUP(2*$B333,$B334:C367,2,TRUE)),"--")</f>
        <v>--</v>
      </c>
      <c r="I333" s="43" t="str">
        <f>IFERROR(ABS(D333/VLOOKUP(2*$B333,$B334:D367,3,TRUE)),"--")</f>
        <v>--</v>
      </c>
      <c r="J333" s="43" t="str">
        <f>IFERROR(ABS(E333/VLOOKUP(2*$B333,$B334:E367,4,TRUE)),"--")</f>
        <v>--</v>
      </c>
      <c r="K333" s="43" t="str">
        <f>IFERROR(ABS(F333/VLOOKUP(2*$B333,$B334:F367,5,TRUE)),"--")</f>
        <v>--</v>
      </c>
      <c r="L333" s="43" t="str">
        <f>IFERROR(ABS(G333/VLOOKUP(2*$B333,$B334:G367,6,TRUE)),"--")</f>
        <v>--</v>
      </c>
      <c r="M333" s="38">
        <f>IF(AND(1+$Q$6&gt;H333,1-$Q$6&lt;H333,1+$Q$6&gt;I333,1-$Q$6&lt;I333,1+$Q$6&gt;J333,1-$Q$6&lt;J333,1+$Q$6&gt;K333,1-$Q$6&lt;K333,1+$Q$6&gt;L333,1-$Q$6&lt;L333),IF(SUM($M$2:M332)=0,1,0),0)</f>
        <v>0</v>
      </c>
      <c r="N333" s="38">
        <f>IF(AND(1+$Q$7&gt;H333,1-$Q$7&lt;H333,1+$Q$7&gt;I333,1-$Q$7&lt;I333,1+$Q$7&gt;J333,1-$Q$7&lt;J333,1+$Q$7&gt;K333,1-$Q$7&lt;K333,1+$Q$7&gt;L333,1-$Q$7&lt;L333),IF(SUM($N$2:N332)=0,1,0),0)</f>
        <v>0</v>
      </c>
      <c r="O333" s="34">
        <f t="shared" si="5"/>
        <v>0</v>
      </c>
    </row>
    <row r="334" spans="8:15" ht="20.100000000000001" customHeight="1" x14ac:dyDescent="0.25">
      <c r="H334" s="43" t="str">
        <f>IFERROR(ABS(C334/VLOOKUP(2*$B334,$B335:C368,2,TRUE)),"--")</f>
        <v>--</v>
      </c>
      <c r="I334" s="43" t="str">
        <f>IFERROR(ABS(D334/VLOOKUP(2*$B334,$B335:D368,3,TRUE)),"--")</f>
        <v>--</v>
      </c>
      <c r="J334" s="43" t="str">
        <f>IFERROR(ABS(E334/VLOOKUP(2*$B334,$B335:E368,4,TRUE)),"--")</f>
        <v>--</v>
      </c>
      <c r="K334" s="43" t="str">
        <f>IFERROR(ABS(F334/VLOOKUP(2*$B334,$B335:F368,5,TRUE)),"--")</f>
        <v>--</v>
      </c>
      <c r="L334" s="43" t="str">
        <f>IFERROR(ABS(G334/VLOOKUP(2*$B334,$B335:G368,6,TRUE)),"--")</f>
        <v>--</v>
      </c>
      <c r="M334" s="38">
        <f>IF(AND(1+$Q$6&gt;H334,1-$Q$6&lt;H334,1+$Q$6&gt;I334,1-$Q$6&lt;I334,1+$Q$6&gt;J334,1-$Q$6&lt;J334,1+$Q$6&gt;K334,1-$Q$6&lt;K334,1+$Q$6&gt;L334,1-$Q$6&lt;L334),IF(SUM($M$2:M333)=0,1,0),0)</f>
        <v>0</v>
      </c>
      <c r="N334" s="38">
        <f>IF(AND(1+$Q$7&gt;H334,1-$Q$7&lt;H334,1+$Q$7&gt;I334,1-$Q$7&lt;I334,1+$Q$7&gt;J334,1-$Q$7&lt;J334,1+$Q$7&gt;K334,1-$Q$7&lt;K334,1+$Q$7&gt;L334,1-$Q$7&lt;L334),IF(SUM($N$2:N333)=0,1,0),0)</f>
        <v>0</v>
      </c>
      <c r="O334" s="34">
        <f t="shared" si="5"/>
        <v>0</v>
      </c>
    </row>
    <row r="335" spans="8:15" ht="20.100000000000001" customHeight="1" x14ac:dyDescent="0.25">
      <c r="H335" s="43" t="str">
        <f>IFERROR(ABS(C335/VLOOKUP(2*$B335,$B336:C369,2,TRUE)),"--")</f>
        <v>--</v>
      </c>
      <c r="I335" s="43" t="str">
        <f>IFERROR(ABS(D335/VLOOKUP(2*$B335,$B336:D369,3,TRUE)),"--")</f>
        <v>--</v>
      </c>
      <c r="J335" s="43" t="str">
        <f>IFERROR(ABS(E335/VLOOKUP(2*$B335,$B336:E369,4,TRUE)),"--")</f>
        <v>--</v>
      </c>
      <c r="K335" s="43" t="str">
        <f>IFERROR(ABS(F335/VLOOKUP(2*$B335,$B336:F369,5,TRUE)),"--")</f>
        <v>--</v>
      </c>
      <c r="L335" s="43" t="str">
        <f>IFERROR(ABS(G335/VLOOKUP(2*$B335,$B336:G369,6,TRUE)),"--")</f>
        <v>--</v>
      </c>
      <c r="M335" s="38">
        <f>IF(AND(1+$Q$6&gt;H335,1-$Q$6&lt;H335,1+$Q$6&gt;I335,1-$Q$6&lt;I335,1+$Q$6&gt;J335,1-$Q$6&lt;J335,1+$Q$6&gt;K335,1-$Q$6&lt;K335,1+$Q$6&gt;L335,1-$Q$6&lt;L335),IF(SUM($M$2:M334)=0,1,0),0)</f>
        <v>0</v>
      </c>
      <c r="N335" s="38">
        <f>IF(AND(1+$Q$7&gt;H335,1-$Q$7&lt;H335,1+$Q$7&gt;I335,1-$Q$7&lt;I335,1+$Q$7&gt;J335,1-$Q$7&lt;J335,1+$Q$7&gt;K335,1-$Q$7&lt;K335,1+$Q$7&gt;L335,1-$Q$7&lt;L335),IF(SUM($N$2:N334)=0,1,0),0)</f>
        <v>0</v>
      </c>
      <c r="O335" s="34">
        <f t="shared" si="5"/>
        <v>0</v>
      </c>
    </row>
    <row r="336" spans="8:15" ht="20.100000000000001" customHeight="1" x14ac:dyDescent="0.25">
      <c r="H336" s="43" t="str">
        <f>IFERROR(ABS(C336/VLOOKUP(2*$B336,$B337:C370,2,TRUE)),"--")</f>
        <v>--</v>
      </c>
      <c r="I336" s="43" t="str">
        <f>IFERROR(ABS(D336/VLOOKUP(2*$B336,$B337:D370,3,TRUE)),"--")</f>
        <v>--</v>
      </c>
      <c r="J336" s="43" t="str">
        <f>IFERROR(ABS(E336/VLOOKUP(2*$B336,$B337:E370,4,TRUE)),"--")</f>
        <v>--</v>
      </c>
      <c r="K336" s="43" t="str">
        <f>IFERROR(ABS(F336/VLOOKUP(2*$B336,$B337:F370,5,TRUE)),"--")</f>
        <v>--</v>
      </c>
      <c r="L336" s="43" t="str">
        <f>IFERROR(ABS(G336/VLOOKUP(2*$B336,$B337:G370,6,TRUE)),"--")</f>
        <v>--</v>
      </c>
      <c r="M336" s="38">
        <f>IF(AND(1+$Q$6&gt;H336,1-$Q$6&lt;H336,1+$Q$6&gt;I336,1-$Q$6&lt;I336,1+$Q$6&gt;J336,1-$Q$6&lt;J336,1+$Q$6&gt;K336,1-$Q$6&lt;K336,1+$Q$6&gt;L336,1-$Q$6&lt;L336),IF(SUM($M$2:M335)=0,1,0),0)</f>
        <v>0</v>
      </c>
      <c r="N336" s="38">
        <f>IF(AND(1+$Q$7&gt;H336,1-$Q$7&lt;H336,1+$Q$7&gt;I336,1-$Q$7&lt;I336,1+$Q$7&gt;J336,1-$Q$7&lt;J336,1+$Q$7&gt;K336,1-$Q$7&lt;K336,1+$Q$7&gt;L336,1-$Q$7&lt;L336),IF(SUM($N$2:N335)=0,1,0),0)</f>
        <v>0</v>
      </c>
      <c r="O336" s="34">
        <f t="shared" si="5"/>
        <v>0</v>
      </c>
    </row>
    <row r="337" spans="8:15" ht="20.100000000000001" customHeight="1" x14ac:dyDescent="0.25">
      <c r="H337" s="43" t="str">
        <f>IFERROR(ABS(C337/VLOOKUP(2*$B337,$B338:C371,2,TRUE)),"--")</f>
        <v>--</v>
      </c>
      <c r="I337" s="43" t="str">
        <f>IFERROR(ABS(D337/VLOOKUP(2*$B337,$B338:D371,3,TRUE)),"--")</f>
        <v>--</v>
      </c>
      <c r="J337" s="43" t="str">
        <f>IFERROR(ABS(E337/VLOOKUP(2*$B337,$B338:E371,4,TRUE)),"--")</f>
        <v>--</v>
      </c>
      <c r="K337" s="43" t="str">
        <f>IFERROR(ABS(F337/VLOOKUP(2*$B337,$B338:F371,5,TRUE)),"--")</f>
        <v>--</v>
      </c>
      <c r="L337" s="43" t="str">
        <f>IFERROR(ABS(G337/VLOOKUP(2*$B337,$B338:G371,6,TRUE)),"--")</f>
        <v>--</v>
      </c>
      <c r="M337" s="38">
        <f>IF(AND(1+$Q$6&gt;H337,1-$Q$6&lt;H337,1+$Q$6&gt;I337,1-$Q$6&lt;I337,1+$Q$6&gt;J337,1-$Q$6&lt;J337,1+$Q$6&gt;K337,1-$Q$6&lt;K337,1+$Q$6&gt;L337,1-$Q$6&lt;L337),IF(SUM($M$2:M336)=0,1,0),0)</f>
        <v>0</v>
      </c>
      <c r="N337" s="38">
        <f>IF(AND(1+$Q$7&gt;H337,1-$Q$7&lt;H337,1+$Q$7&gt;I337,1-$Q$7&lt;I337,1+$Q$7&gt;J337,1-$Q$7&lt;J337,1+$Q$7&gt;K337,1-$Q$7&lt;K337,1+$Q$7&gt;L337,1-$Q$7&lt;L337),IF(SUM($N$2:N336)=0,1,0),0)</f>
        <v>0</v>
      </c>
      <c r="O337" s="34">
        <f t="shared" si="5"/>
        <v>0</v>
      </c>
    </row>
    <row r="338" spans="8:15" ht="20.100000000000001" customHeight="1" x14ac:dyDescent="0.25">
      <c r="H338" s="43" t="str">
        <f>IFERROR(ABS(C338/VLOOKUP(2*$B338,$B339:C372,2,TRUE)),"--")</f>
        <v>--</v>
      </c>
      <c r="I338" s="43" t="str">
        <f>IFERROR(ABS(D338/VLOOKUP(2*$B338,$B339:D372,3,TRUE)),"--")</f>
        <v>--</v>
      </c>
      <c r="J338" s="43" t="str">
        <f>IFERROR(ABS(E338/VLOOKUP(2*$B338,$B339:E372,4,TRUE)),"--")</f>
        <v>--</v>
      </c>
      <c r="K338" s="43" t="str">
        <f>IFERROR(ABS(F338/VLOOKUP(2*$B338,$B339:F372,5,TRUE)),"--")</f>
        <v>--</v>
      </c>
      <c r="L338" s="43" t="str">
        <f>IFERROR(ABS(G338/VLOOKUP(2*$B338,$B339:G372,6,TRUE)),"--")</f>
        <v>--</v>
      </c>
      <c r="M338" s="38">
        <f>IF(AND(1+$Q$6&gt;H338,1-$Q$6&lt;H338,1+$Q$6&gt;I338,1-$Q$6&lt;I338,1+$Q$6&gt;J338,1-$Q$6&lt;J338,1+$Q$6&gt;K338,1-$Q$6&lt;K338,1+$Q$6&gt;L338,1-$Q$6&lt;L338),IF(SUM($M$2:M337)=0,1,0),0)</f>
        <v>0</v>
      </c>
      <c r="N338" s="38">
        <f>IF(AND(1+$Q$7&gt;H338,1-$Q$7&lt;H338,1+$Q$7&gt;I338,1-$Q$7&lt;I338,1+$Q$7&gt;J338,1-$Q$7&lt;J338,1+$Q$7&gt;K338,1-$Q$7&lt;K338,1+$Q$7&gt;L338,1-$Q$7&lt;L338),IF(SUM($N$2:N337)=0,1,0),0)</f>
        <v>0</v>
      </c>
      <c r="O338" s="34">
        <f t="shared" si="5"/>
        <v>0</v>
      </c>
    </row>
    <row r="339" spans="8:15" ht="20.100000000000001" customHeight="1" x14ac:dyDescent="0.25">
      <c r="H339" s="43" t="str">
        <f>IFERROR(ABS(C339/VLOOKUP(2*$B339,$B340:C373,2,TRUE)),"--")</f>
        <v>--</v>
      </c>
      <c r="I339" s="43" t="str">
        <f>IFERROR(ABS(D339/VLOOKUP(2*$B339,$B340:D373,3,TRUE)),"--")</f>
        <v>--</v>
      </c>
      <c r="J339" s="43" t="str">
        <f>IFERROR(ABS(E339/VLOOKUP(2*$B339,$B340:E373,4,TRUE)),"--")</f>
        <v>--</v>
      </c>
      <c r="K339" s="43" t="str">
        <f>IFERROR(ABS(F339/VLOOKUP(2*$B339,$B340:F373,5,TRUE)),"--")</f>
        <v>--</v>
      </c>
      <c r="L339" s="43" t="str">
        <f>IFERROR(ABS(G339/VLOOKUP(2*$B339,$B340:G373,6,TRUE)),"--")</f>
        <v>--</v>
      </c>
      <c r="M339" s="38">
        <f>IF(AND(1+$Q$6&gt;H339,1-$Q$6&lt;H339,1+$Q$6&gt;I339,1-$Q$6&lt;I339,1+$Q$6&gt;J339,1-$Q$6&lt;J339,1+$Q$6&gt;K339,1-$Q$6&lt;K339,1+$Q$6&gt;L339,1-$Q$6&lt;L339),IF(SUM($M$2:M338)=0,1,0),0)</f>
        <v>0</v>
      </c>
      <c r="N339" s="38">
        <f>IF(AND(1+$Q$7&gt;H339,1-$Q$7&lt;H339,1+$Q$7&gt;I339,1-$Q$7&lt;I339,1+$Q$7&gt;J339,1-$Q$7&lt;J339,1+$Q$7&gt;K339,1-$Q$7&lt;K339,1+$Q$7&gt;L339,1-$Q$7&lt;L339),IF(SUM($N$2:N338)=0,1,0),0)</f>
        <v>0</v>
      </c>
      <c r="O339" s="34">
        <f t="shared" si="5"/>
        <v>0</v>
      </c>
    </row>
    <row r="340" spans="8:15" ht="20.100000000000001" customHeight="1" x14ac:dyDescent="0.25">
      <c r="H340" s="43" t="str">
        <f>IFERROR(ABS(C340/VLOOKUP(2*$B340,$B341:C374,2,TRUE)),"--")</f>
        <v>--</v>
      </c>
      <c r="I340" s="43" t="str">
        <f>IFERROR(ABS(D340/VLOOKUP(2*$B340,$B341:D374,3,TRUE)),"--")</f>
        <v>--</v>
      </c>
      <c r="J340" s="43" t="str">
        <f>IFERROR(ABS(E340/VLOOKUP(2*$B340,$B341:E374,4,TRUE)),"--")</f>
        <v>--</v>
      </c>
      <c r="K340" s="43" t="str">
        <f>IFERROR(ABS(F340/VLOOKUP(2*$B340,$B341:F374,5,TRUE)),"--")</f>
        <v>--</v>
      </c>
      <c r="L340" s="43" t="str">
        <f>IFERROR(ABS(G340/VLOOKUP(2*$B340,$B341:G374,6,TRUE)),"--")</f>
        <v>--</v>
      </c>
      <c r="M340" s="38">
        <f>IF(AND(1+$Q$6&gt;H340,1-$Q$6&lt;H340,1+$Q$6&gt;I340,1-$Q$6&lt;I340,1+$Q$6&gt;J340,1-$Q$6&lt;J340,1+$Q$6&gt;K340,1-$Q$6&lt;K340,1+$Q$6&gt;L340,1-$Q$6&lt;L340),IF(SUM($M$2:M339)=0,1,0),0)</f>
        <v>0</v>
      </c>
      <c r="N340" s="38">
        <f>IF(AND(1+$Q$7&gt;H340,1-$Q$7&lt;H340,1+$Q$7&gt;I340,1-$Q$7&lt;I340,1+$Q$7&gt;J340,1-$Q$7&lt;J340,1+$Q$7&gt;K340,1-$Q$7&lt;K340,1+$Q$7&gt;L340,1-$Q$7&lt;L340),IF(SUM($N$2:N339)=0,1,0),0)</f>
        <v>0</v>
      </c>
      <c r="O340" s="34">
        <f t="shared" si="5"/>
        <v>0</v>
      </c>
    </row>
    <row r="341" spans="8:15" ht="20.100000000000001" customHeight="1" x14ac:dyDescent="0.25">
      <c r="H341" s="43" t="str">
        <f>IFERROR(ABS(C341/VLOOKUP(2*$B341,$B342:C375,2,TRUE)),"--")</f>
        <v>--</v>
      </c>
      <c r="I341" s="43" t="str">
        <f>IFERROR(ABS(D341/VLOOKUP(2*$B341,$B342:D375,3,TRUE)),"--")</f>
        <v>--</v>
      </c>
      <c r="J341" s="43" t="str">
        <f>IFERROR(ABS(E341/VLOOKUP(2*$B341,$B342:E375,4,TRUE)),"--")</f>
        <v>--</v>
      </c>
      <c r="K341" s="43" t="str">
        <f>IFERROR(ABS(F341/VLOOKUP(2*$B341,$B342:F375,5,TRUE)),"--")</f>
        <v>--</v>
      </c>
      <c r="L341" s="43" t="str">
        <f>IFERROR(ABS(G341/VLOOKUP(2*$B341,$B342:G375,6,TRUE)),"--")</f>
        <v>--</v>
      </c>
      <c r="M341" s="38">
        <f>IF(AND(1+$Q$6&gt;H341,1-$Q$6&lt;H341,1+$Q$6&gt;I341,1-$Q$6&lt;I341,1+$Q$6&gt;J341,1-$Q$6&lt;J341,1+$Q$6&gt;K341,1-$Q$6&lt;K341,1+$Q$6&gt;L341,1-$Q$6&lt;L341),IF(SUM($M$2:M340)=0,1,0),0)</f>
        <v>0</v>
      </c>
      <c r="N341" s="38">
        <f>IF(AND(1+$Q$7&gt;H341,1-$Q$7&lt;H341,1+$Q$7&gt;I341,1-$Q$7&lt;I341,1+$Q$7&gt;J341,1-$Q$7&lt;J341,1+$Q$7&gt;K341,1-$Q$7&lt;K341,1+$Q$7&gt;L341,1-$Q$7&lt;L341),IF(SUM($N$2:N340)=0,1,0),0)</f>
        <v>0</v>
      </c>
      <c r="O341" s="34">
        <f t="shared" si="5"/>
        <v>0</v>
      </c>
    </row>
    <row r="342" spans="8:15" ht="20.100000000000001" customHeight="1" x14ac:dyDescent="0.25">
      <c r="H342" s="43" t="str">
        <f>IFERROR(ABS(C342/VLOOKUP(2*$B342,$B343:C376,2,TRUE)),"--")</f>
        <v>--</v>
      </c>
      <c r="I342" s="43" t="str">
        <f>IFERROR(ABS(D342/VLOOKUP(2*$B342,$B343:D376,3,TRUE)),"--")</f>
        <v>--</v>
      </c>
      <c r="J342" s="43" t="str">
        <f>IFERROR(ABS(E342/VLOOKUP(2*$B342,$B343:E376,4,TRUE)),"--")</f>
        <v>--</v>
      </c>
      <c r="K342" s="43" t="str">
        <f>IFERROR(ABS(F342/VLOOKUP(2*$B342,$B343:F376,5,TRUE)),"--")</f>
        <v>--</v>
      </c>
      <c r="L342" s="43" t="str">
        <f>IFERROR(ABS(G342/VLOOKUP(2*$B342,$B343:G376,6,TRUE)),"--")</f>
        <v>--</v>
      </c>
      <c r="M342" s="38">
        <f>IF(AND(1+$Q$6&gt;H342,1-$Q$6&lt;H342,1+$Q$6&gt;I342,1-$Q$6&lt;I342,1+$Q$6&gt;J342,1-$Q$6&lt;J342,1+$Q$6&gt;K342,1-$Q$6&lt;K342,1+$Q$6&gt;L342,1-$Q$6&lt;L342),IF(SUM($M$2:M341)=0,1,0),0)</f>
        <v>0</v>
      </c>
      <c r="N342" s="38">
        <f>IF(AND(1+$Q$7&gt;H342,1-$Q$7&lt;H342,1+$Q$7&gt;I342,1-$Q$7&lt;I342,1+$Q$7&gt;J342,1-$Q$7&lt;J342,1+$Q$7&gt;K342,1-$Q$7&lt;K342,1+$Q$7&gt;L342,1-$Q$7&lt;L342),IF(SUM($N$2:N341)=0,1,0),0)</f>
        <v>0</v>
      </c>
      <c r="O342" s="34">
        <f t="shared" si="5"/>
        <v>0</v>
      </c>
    </row>
    <row r="343" spans="8:15" ht="20.100000000000001" customHeight="1" x14ac:dyDescent="0.25">
      <c r="H343" s="43" t="str">
        <f>IFERROR(ABS(C343/VLOOKUP(2*$B343,$B344:C377,2,TRUE)),"--")</f>
        <v>--</v>
      </c>
      <c r="I343" s="43" t="str">
        <f>IFERROR(ABS(D343/VLOOKUP(2*$B343,$B344:D377,3,TRUE)),"--")</f>
        <v>--</v>
      </c>
      <c r="J343" s="43" t="str">
        <f>IFERROR(ABS(E343/VLOOKUP(2*$B343,$B344:E377,4,TRUE)),"--")</f>
        <v>--</v>
      </c>
      <c r="K343" s="43" t="str">
        <f>IFERROR(ABS(F343/VLOOKUP(2*$B343,$B344:F377,5,TRUE)),"--")</f>
        <v>--</v>
      </c>
      <c r="L343" s="43" t="str">
        <f>IFERROR(ABS(G343/VLOOKUP(2*$B343,$B344:G377,6,TRUE)),"--")</f>
        <v>--</v>
      </c>
      <c r="M343" s="38">
        <f>IF(AND(1+$Q$6&gt;H343,1-$Q$6&lt;H343,1+$Q$6&gt;I343,1-$Q$6&lt;I343,1+$Q$6&gt;J343,1-$Q$6&lt;J343,1+$Q$6&gt;K343,1-$Q$6&lt;K343,1+$Q$6&gt;L343,1-$Q$6&lt;L343),IF(SUM($M$2:M342)=0,1,0),0)</f>
        <v>0</v>
      </c>
      <c r="N343" s="38">
        <f>IF(AND(1+$Q$7&gt;H343,1-$Q$7&lt;H343,1+$Q$7&gt;I343,1-$Q$7&lt;I343,1+$Q$7&gt;J343,1-$Q$7&lt;J343,1+$Q$7&gt;K343,1-$Q$7&lt;K343,1+$Q$7&gt;L343,1-$Q$7&lt;L343),IF(SUM($N$2:N342)=0,1,0),0)</f>
        <v>0</v>
      </c>
      <c r="O343" s="34">
        <f t="shared" si="5"/>
        <v>0</v>
      </c>
    </row>
    <row r="344" spans="8:15" ht="20.100000000000001" customHeight="1" x14ac:dyDescent="0.25">
      <c r="H344" s="43" t="str">
        <f>IFERROR(ABS(C344/VLOOKUP(2*$B344,$B345:C378,2,TRUE)),"--")</f>
        <v>--</v>
      </c>
      <c r="I344" s="43" t="str">
        <f>IFERROR(ABS(D344/VLOOKUP(2*$B344,$B345:D378,3,TRUE)),"--")</f>
        <v>--</v>
      </c>
      <c r="J344" s="43" t="str">
        <f>IFERROR(ABS(E344/VLOOKUP(2*$B344,$B345:E378,4,TRUE)),"--")</f>
        <v>--</v>
      </c>
      <c r="K344" s="43" t="str">
        <f>IFERROR(ABS(F344/VLOOKUP(2*$B344,$B345:F378,5,TRUE)),"--")</f>
        <v>--</v>
      </c>
      <c r="L344" s="43" t="str">
        <f>IFERROR(ABS(G344/VLOOKUP(2*$B344,$B345:G378,6,TRUE)),"--")</f>
        <v>--</v>
      </c>
      <c r="M344" s="38">
        <f>IF(AND(1+$Q$6&gt;H344,1-$Q$6&lt;H344,1+$Q$6&gt;I344,1-$Q$6&lt;I344,1+$Q$6&gt;J344,1-$Q$6&lt;J344,1+$Q$6&gt;K344,1-$Q$6&lt;K344,1+$Q$6&gt;L344,1-$Q$6&lt;L344),IF(SUM($M$2:M343)=0,1,0),0)</f>
        <v>0</v>
      </c>
      <c r="N344" s="38">
        <f>IF(AND(1+$Q$7&gt;H344,1-$Q$7&lt;H344,1+$Q$7&gt;I344,1-$Q$7&lt;I344,1+$Q$7&gt;J344,1-$Q$7&lt;J344,1+$Q$7&gt;K344,1-$Q$7&lt;K344,1+$Q$7&gt;L344,1-$Q$7&lt;L344),IF(SUM($N$2:N343)=0,1,0),0)</f>
        <v>0</v>
      </c>
      <c r="O344" s="34">
        <f t="shared" si="5"/>
        <v>0</v>
      </c>
    </row>
    <row r="345" spans="8:15" ht="20.100000000000001" customHeight="1" x14ac:dyDescent="0.25">
      <c r="H345" s="43" t="str">
        <f>IFERROR(ABS(C345/VLOOKUP(2*$B345,$B346:C379,2,TRUE)),"--")</f>
        <v>--</v>
      </c>
      <c r="I345" s="43" t="str">
        <f>IFERROR(ABS(D345/VLOOKUP(2*$B345,$B346:D379,3,TRUE)),"--")</f>
        <v>--</v>
      </c>
      <c r="J345" s="43" t="str">
        <f>IFERROR(ABS(E345/VLOOKUP(2*$B345,$B346:E379,4,TRUE)),"--")</f>
        <v>--</v>
      </c>
      <c r="K345" s="43" t="str">
        <f>IFERROR(ABS(F345/VLOOKUP(2*$B345,$B346:F379,5,TRUE)),"--")</f>
        <v>--</v>
      </c>
      <c r="L345" s="43" t="str">
        <f>IFERROR(ABS(G345/VLOOKUP(2*$B345,$B346:G379,6,TRUE)),"--")</f>
        <v>--</v>
      </c>
      <c r="M345" s="38">
        <f>IF(AND(1+$Q$6&gt;H345,1-$Q$6&lt;H345,1+$Q$6&gt;I345,1-$Q$6&lt;I345,1+$Q$6&gt;J345,1-$Q$6&lt;J345,1+$Q$6&gt;K345,1-$Q$6&lt;K345,1+$Q$6&gt;L345,1-$Q$6&lt;L345),IF(SUM($M$2:M344)=0,1,0),0)</f>
        <v>0</v>
      </c>
      <c r="N345" s="38">
        <f>IF(AND(1+$Q$7&gt;H345,1-$Q$7&lt;H345,1+$Q$7&gt;I345,1-$Q$7&lt;I345,1+$Q$7&gt;J345,1-$Q$7&lt;J345,1+$Q$7&gt;K345,1-$Q$7&lt;K345,1+$Q$7&gt;L345,1-$Q$7&lt;L345),IF(SUM($N$2:N344)=0,1,0),0)</f>
        <v>0</v>
      </c>
      <c r="O345" s="34">
        <f t="shared" si="5"/>
        <v>0</v>
      </c>
    </row>
    <row r="346" spans="8:15" ht="20.100000000000001" customHeight="1" x14ac:dyDescent="0.25">
      <c r="H346" s="43" t="str">
        <f>IFERROR(ABS(C346/VLOOKUP(2*$B346,$B347:C380,2,TRUE)),"--")</f>
        <v>--</v>
      </c>
      <c r="I346" s="43" t="str">
        <f>IFERROR(ABS(D346/VLOOKUP(2*$B346,$B347:D380,3,TRUE)),"--")</f>
        <v>--</v>
      </c>
      <c r="J346" s="43" t="str">
        <f>IFERROR(ABS(E346/VLOOKUP(2*$B346,$B347:E380,4,TRUE)),"--")</f>
        <v>--</v>
      </c>
      <c r="K346" s="43" t="str">
        <f>IFERROR(ABS(F346/VLOOKUP(2*$B346,$B347:F380,5,TRUE)),"--")</f>
        <v>--</v>
      </c>
      <c r="L346" s="43" t="str">
        <f>IFERROR(ABS(G346/VLOOKUP(2*$B346,$B347:G380,6,TRUE)),"--")</f>
        <v>--</v>
      </c>
      <c r="M346" s="38">
        <f>IF(AND(1+$Q$6&gt;H346,1-$Q$6&lt;H346,1+$Q$6&gt;I346,1-$Q$6&lt;I346,1+$Q$6&gt;J346,1-$Q$6&lt;J346,1+$Q$6&gt;K346,1-$Q$6&lt;K346,1+$Q$6&gt;L346,1-$Q$6&lt;L346),IF(SUM($M$2:M345)=0,1,0),0)</f>
        <v>0</v>
      </c>
      <c r="N346" s="38">
        <f>IF(AND(1+$Q$7&gt;H346,1-$Q$7&lt;H346,1+$Q$7&gt;I346,1-$Q$7&lt;I346,1+$Q$7&gt;J346,1-$Q$7&lt;J346,1+$Q$7&gt;K346,1-$Q$7&lt;K346,1+$Q$7&gt;L346,1-$Q$7&lt;L346),IF(SUM($N$2:N345)=0,1,0),0)</f>
        <v>0</v>
      </c>
      <c r="O346" s="34">
        <f t="shared" si="5"/>
        <v>0</v>
      </c>
    </row>
    <row r="347" spans="8:15" ht="20.100000000000001" customHeight="1" x14ac:dyDescent="0.25">
      <c r="H347" s="43" t="str">
        <f>IFERROR(ABS(C347/VLOOKUP(2*$B347,$B348:C381,2,TRUE)),"--")</f>
        <v>--</v>
      </c>
      <c r="I347" s="43" t="str">
        <f>IFERROR(ABS(D347/VLOOKUP(2*$B347,$B348:D381,3,TRUE)),"--")</f>
        <v>--</v>
      </c>
      <c r="J347" s="43" t="str">
        <f>IFERROR(ABS(E347/VLOOKUP(2*$B347,$B348:E381,4,TRUE)),"--")</f>
        <v>--</v>
      </c>
      <c r="K347" s="43" t="str">
        <f>IFERROR(ABS(F347/VLOOKUP(2*$B347,$B348:F381,5,TRUE)),"--")</f>
        <v>--</v>
      </c>
      <c r="L347" s="43" t="str">
        <f>IFERROR(ABS(G347/VLOOKUP(2*$B347,$B348:G381,6,TRUE)),"--")</f>
        <v>--</v>
      </c>
      <c r="M347" s="38">
        <f>IF(AND(1+$Q$6&gt;H347,1-$Q$6&lt;H347,1+$Q$6&gt;I347,1-$Q$6&lt;I347,1+$Q$6&gt;J347,1-$Q$6&lt;J347,1+$Q$6&gt;K347,1-$Q$6&lt;K347,1+$Q$6&gt;L347,1-$Q$6&lt;L347),IF(SUM($M$2:M346)=0,1,0),0)</f>
        <v>0</v>
      </c>
      <c r="N347" s="38">
        <f>IF(AND(1+$Q$7&gt;H347,1-$Q$7&lt;H347,1+$Q$7&gt;I347,1-$Q$7&lt;I347,1+$Q$7&gt;J347,1-$Q$7&lt;J347,1+$Q$7&gt;K347,1-$Q$7&lt;K347,1+$Q$7&gt;L347,1-$Q$7&lt;L347),IF(SUM($N$2:N346)=0,1,0),0)</f>
        <v>0</v>
      </c>
      <c r="O347" s="34">
        <f t="shared" si="5"/>
        <v>0</v>
      </c>
    </row>
    <row r="348" spans="8:15" ht="20.100000000000001" customHeight="1" x14ac:dyDescent="0.25">
      <c r="H348" s="43" t="str">
        <f>IFERROR(ABS(C348/VLOOKUP(2*$B348,$B349:C382,2,TRUE)),"--")</f>
        <v>--</v>
      </c>
      <c r="I348" s="43" t="str">
        <f>IFERROR(ABS(D348/VLOOKUP(2*$B348,$B349:D382,3,TRUE)),"--")</f>
        <v>--</v>
      </c>
      <c r="J348" s="43" t="str">
        <f>IFERROR(ABS(E348/VLOOKUP(2*$B348,$B349:E382,4,TRUE)),"--")</f>
        <v>--</v>
      </c>
      <c r="K348" s="43" t="str">
        <f>IFERROR(ABS(F348/VLOOKUP(2*$B348,$B349:F382,5,TRUE)),"--")</f>
        <v>--</v>
      </c>
      <c r="L348" s="43" t="str">
        <f>IFERROR(ABS(G348/VLOOKUP(2*$B348,$B349:G382,6,TRUE)),"--")</f>
        <v>--</v>
      </c>
      <c r="M348" s="38">
        <f>IF(AND(1+$Q$6&gt;H348,1-$Q$6&lt;H348,1+$Q$6&gt;I348,1-$Q$6&lt;I348,1+$Q$6&gt;J348,1-$Q$6&lt;J348,1+$Q$6&gt;K348,1-$Q$6&lt;K348,1+$Q$6&gt;L348,1-$Q$6&lt;L348),IF(SUM($M$2:M347)=0,1,0),0)</f>
        <v>0</v>
      </c>
      <c r="N348" s="38">
        <f>IF(AND(1+$Q$7&gt;H348,1-$Q$7&lt;H348,1+$Q$7&gt;I348,1-$Q$7&lt;I348,1+$Q$7&gt;J348,1-$Q$7&lt;J348,1+$Q$7&gt;K348,1-$Q$7&lt;K348,1+$Q$7&gt;L348,1-$Q$7&lt;L348),IF(SUM($N$2:N347)=0,1,0),0)</f>
        <v>0</v>
      </c>
      <c r="O348" s="34">
        <f t="shared" si="5"/>
        <v>0</v>
      </c>
    </row>
    <row r="349" spans="8:15" ht="20.100000000000001" customHeight="1" x14ac:dyDescent="0.25">
      <c r="H349" s="43" t="str">
        <f>IFERROR(ABS(C349/VLOOKUP(2*$B349,$B350:C383,2,TRUE)),"--")</f>
        <v>--</v>
      </c>
      <c r="I349" s="43" t="str">
        <f>IFERROR(ABS(D349/VLOOKUP(2*$B349,$B350:D383,3,TRUE)),"--")</f>
        <v>--</v>
      </c>
      <c r="J349" s="43" t="str">
        <f>IFERROR(ABS(E349/VLOOKUP(2*$B349,$B350:E383,4,TRUE)),"--")</f>
        <v>--</v>
      </c>
      <c r="K349" s="43" t="str">
        <f>IFERROR(ABS(F349/VLOOKUP(2*$B349,$B350:F383,5,TRUE)),"--")</f>
        <v>--</v>
      </c>
      <c r="L349" s="43" t="str">
        <f>IFERROR(ABS(G349/VLOOKUP(2*$B349,$B350:G383,6,TRUE)),"--")</f>
        <v>--</v>
      </c>
      <c r="M349" s="38">
        <f>IF(AND(1+$Q$6&gt;H349,1-$Q$6&lt;H349,1+$Q$6&gt;I349,1-$Q$6&lt;I349,1+$Q$6&gt;J349,1-$Q$6&lt;J349,1+$Q$6&gt;K349,1-$Q$6&lt;K349,1+$Q$6&gt;L349,1-$Q$6&lt;L349),IF(SUM($M$2:M348)=0,1,0),0)</f>
        <v>0</v>
      </c>
      <c r="N349" s="38">
        <f>IF(AND(1+$Q$7&gt;H349,1-$Q$7&lt;H349,1+$Q$7&gt;I349,1-$Q$7&lt;I349,1+$Q$7&gt;J349,1-$Q$7&lt;J349,1+$Q$7&gt;K349,1-$Q$7&lt;K349,1+$Q$7&gt;L349,1-$Q$7&lt;L349),IF(SUM($N$2:N348)=0,1,0),0)</f>
        <v>0</v>
      </c>
      <c r="O349" s="34">
        <f t="shared" si="5"/>
        <v>0</v>
      </c>
    </row>
    <row r="350" spans="8:15" ht="20.100000000000001" customHeight="1" x14ac:dyDescent="0.25">
      <c r="H350" s="43" t="str">
        <f>IFERROR(ABS(C350/VLOOKUP(2*$B350,$B351:C384,2,TRUE)),"--")</f>
        <v>--</v>
      </c>
      <c r="I350" s="43" t="str">
        <f>IFERROR(ABS(D350/VLOOKUP(2*$B350,$B351:D384,3,TRUE)),"--")</f>
        <v>--</v>
      </c>
      <c r="J350" s="43" t="str">
        <f>IFERROR(ABS(E350/VLOOKUP(2*$B350,$B351:E384,4,TRUE)),"--")</f>
        <v>--</v>
      </c>
      <c r="K350" s="43" t="str">
        <f>IFERROR(ABS(F350/VLOOKUP(2*$B350,$B351:F384,5,TRUE)),"--")</f>
        <v>--</v>
      </c>
      <c r="L350" s="43" t="str">
        <f>IFERROR(ABS(G350/VLOOKUP(2*$B350,$B351:G384,6,TRUE)),"--")</f>
        <v>--</v>
      </c>
      <c r="M350" s="38">
        <f>IF(AND(1+$Q$6&gt;H350,1-$Q$6&lt;H350,1+$Q$6&gt;I350,1-$Q$6&lt;I350,1+$Q$6&gt;J350,1-$Q$6&lt;J350,1+$Q$6&gt;K350,1-$Q$6&lt;K350,1+$Q$6&gt;L350,1-$Q$6&lt;L350),IF(SUM($M$2:M349)=0,1,0),0)</f>
        <v>0</v>
      </c>
      <c r="N350" s="38">
        <f>IF(AND(1+$Q$7&gt;H350,1-$Q$7&lt;H350,1+$Q$7&gt;I350,1-$Q$7&lt;I350,1+$Q$7&gt;J350,1-$Q$7&lt;J350,1+$Q$7&gt;K350,1-$Q$7&lt;K350,1+$Q$7&gt;L350,1-$Q$7&lt;L350),IF(SUM($N$2:N349)=0,1,0),0)</f>
        <v>0</v>
      </c>
      <c r="O350" s="34">
        <f t="shared" si="5"/>
        <v>0</v>
      </c>
    </row>
    <row r="351" spans="8:15" ht="20.100000000000001" customHeight="1" x14ac:dyDescent="0.25">
      <c r="H351" s="43" t="str">
        <f>IFERROR(ABS(C351/VLOOKUP(2*$B351,$B352:C385,2,TRUE)),"--")</f>
        <v>--</v>
      </c>
      <c r="I351" s="43" t="str">
        <f>IFERROR(ABS(D351/VLOOKUP(2*$B351,$B352:D385,3,TRUE)),"--")</f>
        <v>--</v>
      </c>
      <c r="J351" s="43" t="str">
        <f>IFERROR(ABS(E351/VLOOKUP(2*$B351,$B352:E385,4,TRUE)),"--")</f>
        <v>--</v>
      </c>
      <c r="K351" s="43" t="str">
        <f>IFERROR(ABS(F351/VLOOKUP(2*$B351,$B352:F385,5,TRUE)),"--")</f>
        <v>--</v>
      </c>
      <c r="L351" s="43" t="str">
        <f>IFERROR(ABS(G351/VLOOKUP(2*$B351,$B352:G385,6,TRUE)),"--")</f>
        <v>--</v>
      </c>
      <c r="M351" s="38">
        <f>IF(AND(1+$Q$6&gt;H351,1-$Q$6&lt;H351,1+$Q$6&gt;I351,1-$Q$6&lt;I351,1+$Q$6&gt;J351,1-$Q$6&lt;J351,1+$Q$6&gt;K351,1-$Q$6&lt;K351,1+$Q$6&gt;L351,1-$Q$6&lt;L351),IF(SUM($M$2:M350)=0,1,0),0)</f>
        <v>0</v>
      </c>
      <c r="N351" s="38">
        <f>IF(AND(1+$Q$7&gt;H351,1-$Q$7&lt;H351,1+$Q$7&gt;I351,1-$Q$7&lt;I351,1+$Q$7&gt;J351,1-$Q$7&lt;J351,1+$Q$7&gt;K351,1-$Q$7&lt;K351,1+$Q$7&gt;L351,1-$Q$7&lt;L351),IF(SUM($N$2:N350)=0,1,0),0)</f>
        <v>0</v>
      </c>
      <c r="O351" s="34">
        <f t="shared" si="5"/>
        <v>0</v>
      </c>
    </row>
    <row r="352" spans="8:15" ht="20.100000000000001" customHeight="1" x14ac:dyDescent="0.25">
      <c r="H352" s="43" t="str">
        <f>IFERROR(ABS(C352/VLOOKUP(2*$B352,$B353:C386,2,TRUE)),"--")</f>
        <v>--</v>
      </c>
      <c r="I352" s="43" t="str">
        <f>IFERROR(ABS(D352/VLOOKUP(2*$B352,$B353:D386,3,TRUE)),"--")</f>
        <v>--</v>
      </c>
      <c r="J352" s="43" t="str">
        <f>IFERROR(ABS(E352/VLOOKUP(2*$B352,$B353:E386,4,TRUE)),"--")</f>
        <v>--</v>
      </c>
      <c r="K352" s="43" t="str">
        <f>IFERROR(ABS(F352/VLOOKUP(2*$B352,$B353:F386,5,TRUE)),"--")</f>
        <v>--</v>
      </c>
      <c r="L352" s="43" t="str">
        <f>IFERROR(ABS(G352/VLOOKUP(2*$B352,$B353:G386,6,TRUE)),"--")</f>
        <v>--</v>
      </c>
      <c r="M352" s="38">
        <f>IF(AND(1+$Q$6&gt;H352,1-$Q$6&lt;H352,1+$Q$6&gt;I352,1-$Q$6&lt;I352,1+$Q$6&gt;J352,1-$Q$6&lt;J352,1+$Q$6&gt;K352,1-$Q$6&lt;K352,1+$Q$6&gt;L352,1-$Q$6&lt;L352),IF(SUM($M$2:M351)=0,1,0),0)</f>
        <v>0</v>
      </c>
      <c r="N352" s="38">
        <f>IF(AND(1+$Q$7&gt;H352,1-$Q$7&lt;H352,1+$Q$7&gt;I352,1-$Q$7&lt;I352,1+$Q$7&gt;J352,1-$Q$7&lt;J352,1+$Q$7&gt;K352,1-$Q$7&lt;K352,1+$Q$7&gt;L352,1-$Q$7&lt;L352),IF(SUM($N$2:N351)=0,1,0),0)</f>
        <v>0</v>
      </c>
      <c r="O352" s="34">
        <f t="shared" si="5"/>
        <v>0</v>
      </c>
    </row>
    <row r="353" spans="8:15" ht="20.100000000000001" customHeight="1" x14ac:dyDescent="0.25">
      <c r="H353" s="43" t="str">
        <f>IFERROR(ABS(C353/VLOOKUP(2*$B353,$B354:C387,2,TRUE)),"--")</f>
        <v>--</v>
      </c>
      <c r="I353" s="43" t="str">
        <f>IFERROR(ABS(D353/VLOOKUP(2*$B353,$B354:D387,3,TRUE)),"--")</f>
        <v>--</v>
      </c>
      <c r="J353" s="43" t="str">
        <f>IFERROR(ABS(E353/VLOOKUP(2*$B353,$B354:E387,4,TRUE)),"--")</f>
        <v>--</v>
      </c>
      <c r="K353" s="43" t="str">
        <f>IFERROR(ABS(F353/VLOOKUP(2*$B353,$B354:F387,5,TRUE)),"--")</f>
        <v>--</v>
      </c>
      <c r="L353" s="43" t="str">
        <f>IFERROR(ABS(G353/VLOOKUP(2*$B353,$B354:G387,6,TRUE)),"--")</f>
        <v>--</v>
      </c>
      <c r="M353" s="38">
        <f>IF(AND(1+$Q$6&gt;H353,1-$Q$6&lt;H353,1+$Q$6&gt;I353,1-$Q$6&lt;I353,1+$Q$6&gt;J353,1-$Q$6&lt;J353,1+$Q$6&gt;K353,1-$Q$6&lt;K353,1+$Q$6&gt;L353,1-$Q$6&lt;L353),IF(SUM($M$2:M352)=0,1,0),0)</f>
        <v>0</v>
      </c>
      <c r="N353" s="38">
        <f>IF(AND(1+$Q$7&gt;H353,1-$Q$7&lt;H353,1+$Q$7&gt;I353,1-$Q$7&lt;I353,1+$Q$7&gt;J353,1-$Q$7&lt;J353,1+$Q$7&gt;K353,1-$Q$7&lt;K353,1+$Q$7&gt;L353,1-$Q$7&lt;L353),IF(SUM($N$2:N352)=0,1,0),0)</f>
        <v>0</v>
      </c>
      <c r="O353" s="34">
        <f t="shared" si="5"/>
        <v>0</v>
      </c>
    </row>
    <row r="354" spans="8:15" ht="20.100000000000001" customHeight="1" x14ac:dyDescent="0.25">
      <c r="H354" s="43" t="str">
        <f>IFERROR(ABS(C354/VLOOKUP(2*$B354,$B355:C388,2,TRUE)),"--")</f>
        <v>--</v>
      </c>
      <c r="I354" s="43" t="str">
        <f>IFERROR(ABS(D354/VLOOKUP(2*$B354,$B355:D388,3,TRUE)),"--")</f>
        <v>--</v>
      </c>
      <c r="J354" s="43" t="str">
        <f>IFERROR(ABS(E354/VLOOKUP(2*$B354,$B355:E388,4,TRUE)),"--")</f>
        <v>--</v>
      </c>
      <c r="K354" s="43" t="str">
        <f>IFERROR(ABS(F354/VLOOKUP(2*$B354,$B355:F388,5,TRUE)),"--")</f>
        <v>--</v>
      </c>
      <c r="L354" s="43" t="str">
        <f>IFERROR(ABS(G354/VLOOKUP(2*$B354,$B355:G388,6,TRUE)),"--")</f>
        <v>--</v>
      </c>
      <c r="M354" s="38">
        <f>IF(AND(1+$Q$6&gt;H354,1-$Q$6&lt;H354,1+$Q$6&gt;I354,1-$Q$6&lt;I354,1+$Q$6&gt;J354,1-$Q$6&lt;J354,1+$Q$6&gt;K354,1-$Q$6&lt;K354,1+$Q$6&gt;L354,1-$Q$6&lt;L354),IF(SUM($M$2:M353)=0,1,0),0)</f>
        <v>0</v>
      </c>
      <c r="N354" s="38">
        <f>IF(AND(1+$Q$7&gt;H354,1-$Q$7&lt;H354,1+$Q$7&gt;I354,1-$Q$7&lt;I354,1+$Q$7&gt;J354,1-$Q$7&lt;J354,1+$Q$7&gt;K354,1-$Q$7&lt;K354,1+$Q$7&gt;L354,1-$Q$7&lt;L354),IF(SUM($N$2:N353)=0,1,0),0)</f>
        <v>0</v>
      </c>
      <c r="O354" s="34">
        <f t="shared" si="5"/>
        <v>0</v>
      </c>
    </row>
    <row r="355" spans="8:15" ht="20.100000000000001" customHeight="1" x14ac:dyDescent="0.25">
      <c r="H355" s="43" t="str">
        <f>IFERROR(ABS(C355/VLOOKUP(2*$B355,$B356:C389,2,TRUE)),"--")</f>
        <v>--</v>
      </c>
      <c r="I355" s="43" t="str">
        <f>IFERROR(ABS(D355/VLOOKUP(2*$B355,$B356:D389,3,TRUE)),"--")</f>
        <v>--</v>
      </c>
      <c r="J355" s="43" t="str">
        <f>IFERROR(ABS(E355/VLOOKUP(2*$B355,$B356:E389,4,TRUE)),"--")</f>
        <v>--</v>
      </c>
      <c r="K355" s="43" t="str">
        <f>IFERROR(ABS(F355/VLOOKUP(2*$B355,$B356:F389,5,TRUE)),"--")</f>
        <v>--</v>
      </c>
      <c r="L355" s="43" t="str">
        <f>IFERROR(ABS(G355/VLOOKUP(2*$B355,$B356:G389,6,TRUE)),"--")</f>
        <v>--</v>
      </c>
      <c r="M355" s="38">
        <f>IF(AND(1+$Q$6&gt;H355,1-$Q$6&lt;H355,1+$Q$6&gt;I355,1-$Q$6&lt;I355,1+$Q$6&gt;J355,1-$Q$6&lt;J355,1+$Q$6&gt;K355,1-$Q$6&lt;K355,1+$Q$6&gt;L355,1-$Q$6&lt;L355),IF(SUM($M$2:M354)=0,1,0),0)</f>
        <v>0</v>
      </c>
      <c r="N355" s="38">
        <f>IF(AND(1+$Q$7&gt;H355,1-$Q$7&lt;H355,1+$Q$7&gt;I355,1-$Q$7&lt;I355,1+$Q$7&gt;J355,1-$Q$7&lt;J355,1+$Q$7&gt;K355,1-$Q$7&lt;K355,1+$Q$7&gt;L355,1-$Q$7&lt;L355),IF(SUM($N$2:N354)=0,1,0),0)</f>
        <v>0</v>
      </c>
      <c r="O355" s="34">
        <f t="shared" si="5"/>
        <v>0</v>
      </c>
    </row>
    <row r="356" spans="8:15" ht="20.100000000000001" customHeight="1" x14ac:dyDescent="0.25">
      <c r="H356" s="43" t="str">
        <f>IFERROR(ABS(C356/VLOOKUP(2*$B356,$B357:C390,2,TRUE)),"--")</f>
        <v>--</v>
      </c>
      <c r="I356" s="43" t="str">
        <f>IFERROR(ABS(D356/VLOOKUP(2*$B356,$B357:D390,3,TRUE)),"--")</f>
        <v>--</v>
      </c>
      <c r="J356" s="43" t="str">
        <f>IFERROR(ABS(E356/VLOOKUP(2*$B356,$B357:E390,4,TRUE)),"--")</f>
        <v>--</v>
      </c>
      <c r="K356" s="43" t="str">
        <f>IFERROR(ABS(F356/VLOOKUP(2*$B356,$B357:F390,5,TRUE)),"--")</f>
        <v>--</v>
      </c>
      <c r="L356" s="43" t="str">
        <f>IFERROR(ABS(G356/VLOOKUP(2*$B356,$B357:G390,6,TRUE)),"--")</f>
        <v>--</v>
      </c>
      <c r="M356" s="38">
        <f>IF(AND(1+$Q$6&gt;H356,1-$Q$6&lt;H356,1+$Q$6&gt;I356,1-$Q$6&lt;I356,1+$Q$6&gt;J356,1-$Q$6&lt;J356,1+$Q$6&gt;K356,1-$Q$6&lt;K356,1+$Q$6&gt;L356,1-$Q$6&lt;L356),IF(SUM($M$2:M355)=0,1,0),0)</f>
        <v>0</v>
      </c>
      <c r="N356" s="38">
        <f>IF(AND(1+$Q$7&gt;H356,1-$Q$7&lt;H356,1+$Q$7&gt;I356,1-$Q$7&lt;I356,1+$Q$7&gt;J356,1-$Q$7&lt;J356,1+$Q$7&gt;K356,1-$Q$7&lt;K356,1+$Q$7&gt;L356,1-$Q$7&lt;L356),IF(SUM($N$2:N355)=0,1,0),0)</f>
        <v>0</v>
      </c>
      <c r="O356" s="34">
        <f t="shared" si="5"/>
        <v>0</v>
      </c>
    </row>
    <row r="357" spans="8:15" ht="20.100000000000001" customHeight="1" x14ac:dyDescent="0.25">
      <c r="H357" s="43" t="str">
        <f>IFERROR(ABS(C357/VLOOKUP(2*$B357,$B358:C391,2,TRUE)),"--")</f>
        <v>--</v>
      </c>
      <c r="I357" s="43" t="str">
        <f>IFERROR(ABS(D357/VLOOKUP(2*$B357,$B358:D391,3,TRUE)),"--")</f>
        <v>--</v>
      </c>
      <c r="J357" s="43" t="str">
        <f>IFERROR(ABS(E357/VLOOKUP(2*$B357,$B358:E391,4,TRUE)),"--")</f>
        <v>--</v>
      </c>
      <c r="K357" s="43" t="str">
        <f>IFERROR(ABS(F357/VLOOKUP(2*$B357,$B358:F391,5,TRUE)),"--")</f>
        <v>--</v>
      </c>
      <c r="L357" s="43" t="str">
        <f>IFERROR(ABS(G357/VLOOKUP(2*$B357,$B358:G391,6,TRUE)),"--")</f>
        <v>--</v>
      </c>
      <c r="M357" s="38">
        <f>IF(AND(1+$Q$6&gt;H357,1-$Q$6&lt;H357,1+$Q$6&gt;I357,1-$Q$6&lt;I357,1+$Q$6&gt;J357,1-$Q$6&lt;J357,1+$Q$6&gt;K357,1-$Q$6&lt;K357,1+$Q$6&gt;L357,1-$Q$6&lt;L357),IF(SUM($M$2:M356)=0,1,0),0)</f>
        <v>0</v>
      </c>
      <c r="N357" s="38">
        <f>IF(AND(1+$Q$7&gt;H357,1-$Q$7&lt;H357,1+$Q$7&gt;I357,1-$Q$7&lt;I357,1+$Q$7&gt;J357,1-$Q$7&lt;J357,1+$Q$7&gt;K357,1-$Q$7&lt;K357,1+$Q$7&gt;L357,1-$Q$7&lt;L357),IF(SUM($N$2:N356)=0,1,0),0)</f>
        <v>0</v>
      </c>
      <c r="O357" s="34">
        <f t="shared" si="5"/>
        <v>0</v>
      </c>
    </row>
    <row r="358" spans="8:15" ht="20.100000000000001" customHeight="1" x14ac:dyDescent="0.25">
      <c r="H358" s="43" t="str">
        <f>IFERROR(ABS(C358/VLOOKUP(2*$B358,$B359:C392,2,TRUE)),"--")</f>
        <v>--</v>
      </c>
      <c r="I358" s="43" t="str">
        <f>IFERROR(ABS(D358/VLOOKUP(2*$B358,$B359:D392,3,TRUE)),"--")</f>
        <v>--</v>
      </c>
      <c r="J358" s="43" t="str">
        <f>IFERROR(ABS(E358/VLOOKUP(2*$B358,$B359:E392,4,TRUE)),"--")</f>
        <v>--</v>
      </c>
      <c r="K358" s="43" t="str">
        <f>IFERROR(ABS(F358/VLOOKUP(2*$B358,$B359:F392,5,TRUE)),"--")</f>
        <v>--</v>
      </c>
      <c r="L358" s="43" t="str">
        <f>IFERROR(ABS(G358/VLOOKUP(2*$B358,$B359:G392,6,TRUE)),"--")</f>
        <v>--</v>
      </c>
      <c r="M358" s="38">
        <f>IF(AND(1+$Q$6&gt;H358,1-$Q$6&lt;H358,1+$Q$6&gt;I358,1-$Q$6&lt;I358,1+$Q$6&gt;J358,1-$Q$6&lt;J358,1+$Q$6&gt;K358,1-$Q$6&lt;K358,1+$Q$6&gt;L358,1-$Q$6&lt;L358),IF(SUM($M$2:M357)=0,1,0),0)</f>
        <v>0</v>
      </c>
      <c r="N358" s="38">
        <f>IF(AND(1+$Q$7&gt;H358,1-$Q$7&lt;H358,1+$Q$7&gt;I358,1-$Q$7&lt;I358,1+$Q$7&gt;J358,1-$Q$7&lt;J358,1+$Q$7&gt;K358,1-$Q$7&lt;K358,1+$Q$7&gt;L358,1-$Q$7&lt;L358),IF(SUM($N$2:N357)=0,1,0),0)</f>
        <v>0</v>
      </c>
      <c r="O358" s="34">
        <f t="shared" si="5"/>
        <v>0</v>
      </c>
    </row>
    <row r="359" spans="8:15" ht="20.100000000000001" customHeight="1" x14ac:dyDescent="0.25">
      <c r="H359" s="43" t="str">
        <f>IFERROR(ABS(C359/VLOOKUP(2*$B359,$B360:C393,2,TRUE)),"--")</f>
        <v>--</v>
      </c>
      <c r="I359" s="43" t="str">
        <f>IFERROR(ABS(D359/VLOOKUP(2*$B359,$B360:D393,3,TRUE)),"--")</f>
        <v>--</v>
      </c>
      <c r="J359" s="43" t="str">
        <f>IFERROR(ABS(E359/VLOOKUP(2*$B359,$B360:E393,4,TRUE)),"--")</f>
        <v>--</v>
      </c>
      <c r="K359" s="43" t="str">
        <f>IFERROR(ABS(F359/VLOOKUP(2*$B359,$B360:F393,5,TRUE)),"--")</f>
        <v>--</v>
      </c>
      <c r="L359" s="43" t="str">
        <f>IFERROR(ABS(G359/VLOOKUP(2*$B359,$B360:G393,6,TRUE)),"--")</f>
        <v>--</v>
      </c>
      <c r="M359" s="38">
        <f>IF(AND(1+$Q$6&gt;H359,1-$Q$6&lt;H359,1+$Q$6&gt;I359,1-$Q$6&lt;I359,1+$Q$6&gt;J359,1-$Q$6&lt;J359,1+$Q$6&gt;K359,1-$Q$6&lt;K359,1+$Q$6&gt;L359,1-$Q$6&lt;L359),IF(SUM($M$2:M358)=0,1,0),0)</f>
        <v>0</v>
      </c>
      <c r="N359" s="38">
        <f>IF(AND(1+$Q$7&gt;H359,1-$Q$7&lt;H359,1+$Q$7&gt;I359,1-$Q$7&lt;I359,1+$Q$7&gt;J359,1-$Q$7&lt;J359,1+$Q$7&gt;K359,1-$Q$7&lt;K359,1+$Q$7&gt;L359,1-$Q$7&lt;L359),IF(SUM($N$2:N358)=0,1,0),0)</f>
        <v>0</v>
      </c>
      <c r="O359" s="34">
        <f t="shared" si="5"/>
        <v>0</v>
      </c>
    </row>
    <row r="360" spans="8:15" ht="20.100000000000001" customHeight="1" x14ac:dyDescent="0.25">
      <c r="H360" s="43" t="str">
        <f>IFERROR(ABS(C360/VLOOKUP(2*$B360,$B361:C394,2,TRUE)),"--")</f>
        <v>--</v>
      </c>
      <c r="I360" s="43" t="str">
        <f>IFERROR(ABS(D360/VLOOKUP(2*$B360,$B361:D394,3,TRUE)),"--")</f>
        <v>--</v>
      </c>
      <c r="J360" s="43" t="str">
        <f>IFERROR(ABS(E360/VLOOKUP(2*$B360,$B361:E394,4,TRUE)),"--")</f>
        <v>--</v>
      </c>
      <c r="K360" s="43" t="str">
        <f>IFERROR(ABS(F360/VLOOKUP(2*$B360,$B361:F394,5,TRUE)),"--")</f>
        <v>--</v>
      </c>
      <c r="L360" s="43" t="str">
        <f>IFERROR(ABS(G360/VLOOKUP(2*$B360,$B361:G394,6,TRUE)),"--")</f>
        <v>--</v>
      </c>
      <c r="M360" s="38">
        <f>IF(AND(1+$Q$6&gt;H360,1-$Q$6&lt;H360,1+$Q$6&gt;I360,1-$Q$6&lt;I360,1+$Q$6&gt;J360,1-$Q$6&lt;J360,1+$Q$6&gt;K360,1-$Q$6&lt;K360,1+$Q$6&gt;L360,1-$Q$6&lt;L360),IF(SUM($M$2:M359)=0,1,0),0)</f>
        <v>0</v>
      </c>
      <c r="N360" s="38">
        <f>IF(AND(1+$Q$7&gt;H360,1-$Q$7&lt;H360,1+$Q$7&gt;I360,1-$Q$7&lt;I360,1+$Q$7&gt;J360,1-$Q$7&lt;J360,1+$Q$7&gt;K360,1-$Q$7&lt;K360,1+$Q$7&gt;L360,1-$Q$7&lt;L360),IF(SUM($N$2:N359)=0,1,0),0)</f>
        <v>0</v>
      </c>
      <c r="O360" s="34">
        <f t="shared" si="5"/>
        <v>0</v>
      </c>
    </row>
    <row r="361" spans="8:15" ht="20.100000000000001" customHeight="1" x14ac:dyDescent="0.25">
      <c r="H361" s="43" t="str">
        <f>IFERROR(ABS(C361/VLOOKUP(2*$B361,$B362:C395,2,TRUE)),"--")</f>
        <v>--</v>
      </c>
      <c r="I361" s="43" t="str">
        <f>IFERROR(ABS(D361/VLOOKUP(2*$B361,$B362:D395,3,TRUE)),"--")</f>
        <v>--</v>
      </c>
      <c r="J361" s="43" t="str">
        <f>IFERROR(ABS(E361/VLOOKUP(2*$B361,$B362:E395,4,TRUE)),"--")</f>
        <v>--</v>
      </c>
      <c r="K361" s="43" t="str">
        <f>IFERROR(ABS(F361/VLOOKUP(2*$B361,$B362:F395,5,TRUE)),"--")</f>
        <v>--</v>
      </c>
      <c r="L361" s="43" t="str">
        <f>IFERROR(ABS(G361/VLOOKUP(2*$B361,$B362:G395,6,TRUE)),"--")</f>
        <v>--</v>
      </c>
      <c r="M361" s="38">
        <f>IF(AND(1+$Q$6&gt;H361,1-$Q$6&lt;H361,1+$Q$6&gt;I361,1-$Q$6&lt;I361,1+$Q$6&gt;J361,1-$Q$6&lt;J361,1+$Q$6&gt;K361,1-$Q$6&lt;K361,1+$Q$6&gt;L361,1-$Q$6&lt;L361),IF(SUM($M$2:M360)=0,1,0),0)</f>
        <v>0</v>
      </c>
      <c r="N361" s="38">
        <f>IF(AND(1+$Q$7&gt;H361,1-$Q$7&lt;H361,1+$Q$7&gt;I361,1-$Q$7&lt;I361,1+$Q$7&gt;J361,1-$Q$7&lt;J361,1+$Q$7&gt;K361,1-$Q$7&lt;K361,1+$Q$7&gt;L361,1-$Q$7&lt;L361),IF(SUM($N$2:N360)=0,1,0),0)</f>
        <v>0</v>
      </c>
      <c r="O361" s="34">
        <f t="shared" si="5"/>
        <v>0</v>
      </c>
    </row>
    <row r="362" spans="8:15" ht="20.100000000000001" customHeight="1" x14ac:dyDescent="0.25">
      <c r="H362" s="43" t="str">
        <f>IFERROR(ABS(C362/VLOOKUP(2*$B362,$B363:C396,2,TRUE)),"--")</f>
        <v>--</v>
      </c>
      <c r="I362" s="43" t="str">
        <f>IFERROR(ABS(D362/VLOOKUP(2*$B362,$B363:D396,3,TRUE)),"--")</f>
        <v>--</v>
      </c>
      <c r="J362" s="43" t="str">
        <f>IFERROR(ABS(E362/VLOOKUP(2*$B362,$B363:E396,4,TRUE)),"--")</f>
        <v>--</v>
      </c>
      <c r="K362" s="43" t="str">
        <f>IFERROR(ABS(F362/VLOOKUP(2*$B362,$B363:F396,5,TRUE)),"--")</f>
        <v>--</v>
      </c>
      <c r="L362" s="43" t="str">
        <f>IFERROR(ABS(G362/VLOOKUP(2*$B362,$B363:G396,6,TRUE)),"--")</f>
        <v>--</v>
      </c>
      <c r="M362" s="38">
        <f>IF(AND(1+$Q$6&gt;H362,1-$Q$6&lt;H362,1+$Q$6&gt;I362,1-$Q$6&lt;I362,1+$Q$6&gt;J362,1-$Q$6&lt;J362,1+$Q$6&gt;K362,1-$Q$6&lt;K362,1+$Q$6&gt;L362,1-$Q$6&lt;L362),IF(SUM($M$2:M361)=0,1,0),0)</f>
        <v>0</v>
      </c>
      <c r="N362" s="38">
        <f>IF(AND(1+$Q$7&gt;H362,1-$Q$7&lt;H362,1+$Q$7&gt;I362,1-$Q$7&lt;I362,1+$Q$7&gt;J362,1-$Q$7&lt;J362,1+$Q$7&gt;K362,1-$Q$7&lt;K362,1+$Q$7&gt;L362,1-$Q$7&lt;L362),IF(SUM($N$2:N361)=0,1,0),0)</f>
        <v>0</v>
      </c>
      <c r="O362" s="34">
        <f t="shared" si="5"/>
        <v>0</v>
      </c>
    </row>
    <row r="363" spans="8:15" ht="20.100000000000001" customHeight="1" x14ac:dyDescent="0.25">
      <c r="H363" s="43" t="str">
        <f>IFERROR(ABS(C363/VLOOKUP(2*$B363,$B364:C397,2,TRUE)),"--")</f>
        <v>--</v>
      </c>
      <c r="I363" s="43" t="str">
        <f>IFERROR(ABS(D363/VLOOKUP(2*$B363,$B364:D397,3,TRUE)),"--")</f>
        <v>--</v>
      </c>
      <c r="J363" s="43" t="str">
        <f>IFERROR(ABS(E363/VLOOKUP(2*$B363,$B364:E397,4,TRUE)),"--")</f>
        <v>--</v>
      </c>
      <c r="K363" s="43" t="str">
        <f>IFERROR(ABS(F363/VLOOKUP(2*$B363,$B364:F397,5,TRUE)),"--")</f>
        <v>--</v>
      </c>
      <c r="L363" s="43" t="str">
        <f>IFERROR(ABS(G363/VLOOKUP(2*$B363,$B364:G397,6,TRUE)),"--")</f>
        <v>--</v>
      </c>
      <c r="M363" s="38">
        <f>IF(AND(1+$Q$6&gt;H363,1-$Q$6&lt;H363,1+$Q$6&gt;I363,1-$Q$6&lt;I363,1+$Q$6&gt;J363,1-$Q$6&lt;J363,1+$Q$6&gt;K363,1-$Q$6&lt;K363,1+$Q$6&gt;L363,1-$Q$6&lt;L363),IF(SUM($M$2:M362)=0,1,0),0)</f>
        <v>0</v>
      </c>
      <c r="N363" s="38">
        <f>IF(AND(1+$Q$7&gt;H363,1-$Q$7&lt;H363,1+$Q$7&gt;I363,1-$Q$7&lt;I363,1+$Q$7&gt;J363,1-$Q$7&lt;J363,1+$Q$7&gt;K363,1-$Q$7&lt;K363,1+$Q$7&gt;L363,1-$Q$7&lt;L363),IF(SUM($N$2:N362)=0,1,0),0)</f>
        <v>0</v>
      </c>
      <c r="O363" s="34">
        <f t="shared" si="5"/>
        <v>0</v>
      </c>
    </row>
    <row r="364" spans="8:15" ht="20.100000000000001" customHeight="1" x14ac:dyDescent="0.25">
      <c r="H364" s="43" t="str">
        <f>IFERROR(ABS(C364/VLOOKUP(2*$B364,$B365:C398,2,TRUE)),"--")</f>
        <v>--</v>
      </c>
      <c r="I364" s="43" t="str">
        <f>IFERROR(ABS(D364/VLOOKUP(2*$B364,$B365:D398,3,TRUE)),"--")</f>
        <v>--</v>
      </c>
      <c r="J364" s="43" t="str">
        <f>IFERROR(ABS(E364/VLOOKUP(2*$B364,$B365:E398,4,TRUE)),"--")</f>
        <v>--</v>
      </c>
      <c r="K364" s="43" t="str">
        <f>IFERROR(ABS(F364/VLOOKUP(2*$B364,$B365:F398,5,TRUE)),"--")</f>
        <v>--</v>
      </c>
      <c r="L364" s="43" t="str">
        <f>IFERROR(ABS(G364/VLOOKUP(2*$B364,$B365:G398,6,TRUE)),"--")</f>
        <v>--</v>
      </c>
      <c r="M364" s="38">
        <f>IF(AND(1+$Q$6&gt;H364,1-$Q$6&lt;H364,1+$Q$6&gt;I364,1-$Q$6&lt;I364,1+$Q$6&gt;J364,1-$Q$6&lt;J364,1+$Q$6&gt;K364,1-$Q$6&lt;K364,1+$Q$6&gt;L364,1-$Q$6&lt;L364),IF(SUM($M$2:M363)=0,1,0),0)</f>
        <v>0</v>
      </c>
      <c r="N364" s="38">
        <f>IF(AND(1+$Q$7&gt;H364,1-$Q$7&lt;H364,1+$Q$7&gt;I364,1-$Q$7&lt;I364,1+$Q$7&gt;J364,1-$Q$7&lt;J364,1+$Q$7&gt;K364,1-$Q$7&lt;K364,1+$Q$7&gt;L364,1-$Q$7&lt;L364),IF(SUM($N$2:N363)=0,1,0),0)</f>
        <v>0</v>
      </c>
      <c r="O364" s="34">
        <f t="shared" si="5"/>
        <v>0</v>
      </c>
    </row>
    <row r="365" spans="8:15" ht="20.100000000000001" customHeight="1" x14ac:dyDescent="0.25">
      <c r="H365" s="43" t="str">
        <f>IFERROR(ABS(C365/VLOOKUP(2*$B365,$B366:C399,2,TRUE)),"--")</f>
        <v>--</v>
      </c>
      <c r="I365" s="43" t="str">
        <f>IFERROR(ABS(D365/VLOOKUP(2*$B365,$B366:D399,3,TRUE)),"--")</f>
        <v>--</v>
      </c>
      <c r="J365" s="43" t="str">
        <f>IFERROR(ABS(E365/VLOOKUP(2*$B365,$B366:E399,4,TRUE)),"--")</f>
        <v>--</v>
      </c>
      <c r="K365" s="43" t="str">
        <f>IFERROR(ABS(F365/VLOOKUP(2*$B365,$B366:F399,5,TRUE)),"--")</f>
        <v>--</v>
      </c>
      <c r="L365" s="43" t="str">
        <f>IFERROR(ABS(G365/VLOOKUP(2*$B365,$B366:G399,6,TRUE)),"--")</f>
        <v>--</v>
      </c>
      <c r="M365" s="38">
        <f>IF(AND(1+$Q$6&gt;H365,1-$Q$6&lt;H365,1+$Q$6&gt;I365,1-$Q$6&lt;I365,1+$Q$6&gt;J365,1-$Q$6&lt;J365,1+$Q$6&gt;K365,1-$Q$6&lt;K365,1+$Q$6&gt;L365,1-$Q$6&lt;L365),IF(SUM($M$2:M364)=0,1,0),0)</f>
        <v>0</v>
      </c>
      <c r="N365" s="38">
        <f>IF(AND(1+$Q$7&gt;H365,1-$Q$7&lt;H365,1+$Q$7&gt;I365,1-$Q$7&lt;I365,1+$Q$7&gt;J365,1-$Q$7&lt;J365,1+$Q$7&gt;K365,1-$Q$7&lt;K365,1+$Q$7&gt;L365,1-$Q$7&lt;L365),IF(SUM($N$2:N364)=0,1,0),0)</f>
        <v>0</v>
      </c>
      <c r="O365" s="34">
        <f t="shared" si="5"/>
        <v>0</v>
      </c>
    </row>
    <row r="366" spans="8:15" ht="20.100000000000001" customHeight="1" x14ac:dyDescent="0.25">
      <c r="H366" s="43" t="str">
        <f>IFERROR(ABS(C366/VLOOKUP(2*$B366,$B367:C400,2,TRUE)),"--")</f>
        <v>--</v>
      </c>
      <c r="I366" s="43" t="str">
        <f>IFERROR(ABS(D366/VLOOKUP(2*$B366,$B367:D400,3,TRUE)),"--")</f>
        <v>--</v>
      </c>
      <c r="J366" s="43" t="str">
        <f>IFERROR(ABS(E366/VLOOKUP(2*$B366,$B367:E400,4,TRUE)),"--")</f>
        <v>--</v>
      </c>
      <c r="K366" s="43" t="str">
        <f>IFERROR(ABS(F366/VLOOKUP(2*$B366,$B367:F400,5,TRUE)),"--")</f>
        <v>--</v>
      </c>
      <c r="L366" s="43" t="str">
        <f>IFERROR(ABS(G366/VLOOKUP(2*$B366,$B367:G400,6,TRUE)),"--")</f>
        <v>--</v>
      </c>
      <c r="M366" s="38">
        <f>IF(AND(1+$Q$6&gt;H366,1-$Q$6&lt;H366,1+$Q$6&gt;I366,1-$Q$6&lt;I366,1+$Q$6&gt;J366,1-$Q$6&lt;J366,1+$Q$6&gt;K366,1-$Q$6&lt;K366,1+$Q$6&gt;L366,1-$Q$6&lt;L366),IF(SUM($M$2:M365)=0,1,0),0)</f>
        <v>0</v>
      </c>
      <c r="N366" s="38">
        <f>IF(AND(1+$Q$7&gt;H366,1-$Q$7&lt;H366,1+$Q$7&gt;I366,1-$Q$7&lt;I366,1+$Q$7&gt;J366,1-$Q$7&lt;J366,1+$Q$7&gt;K366,1-$Q$7&lt;K366,1+$Q$7&gt;L366,1-$Q$7&lt;L366),IF(SUM($N$2:N365)=0,1,0),0)</f>
        <v>0</v>
      </c>
      <c r="O366" s="34">
        <f t="shared" si="5"/>
        <v>0</v>
      </c>
    </row>
    <row r="367" spans="8:15" ht="20.100000000000001" customHeight="1" x14ac:dyDescent="0.25">
      <c r="H367" s="43" t="str">
        <f>IFERROR(ABS(C367/VLOOKUP(2*$B367,$B368:C401,2,TRUE)),"--")</f>
        <v>--</v>
      </c>
      <c r="I367" s="43" t="str">
        <f>IFERROR(ABS(D367/VLOOKUP(2*$B367,$B368:D401,3,TRUE)),"--")</f>
        <v>--</v>
      </c>
      <c r="J367" s="43" t="str">
        <f>IFERROR(ABS(E367/VLOOKUP(2*$B367,$B368:E401,4,TRUE)),"--")</f>
        <v>--</v>
      </c>
      <c r="K367" s="43" t="str">
        <f>IFERROR(ABS(F367/VLOOKUP(2*$B367,$B368:F401,5,TRUE)),"--")</f>
        <v>--</v>
      </c>
      <c r="L367" s="43" t="str">
        <f>IFERROR(ABS(G367/VLOOKUP(2*$B367,$B368:G401,6,TRUE)),"--")</f>
        <v>--</v>
      </c>
      <c r="M367" s="38">
        <f>IF(AND(1+$Q$6&gt;H367,1-$Q$6&lt;H367,1+$Q$6&gt;I367,1-$Q$6&lt;I367,1+$Q$6&gt;J367,1-$Q$6&lt;J367,1+$Q$6&gt;K367,1-$Q$6&lt;K367,1+$Q$6&gt;L367,1-$Q$6&lt;L367),IF(SUM($M$2:M366)=0,1,0),0)</f>
        <v>0</v>
      </c>
      <c r="N367" s="38">
        <f>IF(AND(1+$Q$7&gt;H367,1-$Q$7&lt;H367,1+$Q$7&gt;I367,1-$Q$7&lt;I367,1+$Q$7&gt;J367,1-$Q$7&lt;J367,1+$Q$7&gt;K367,1-$Q$7&lt;K367,1+$Q$7&gt;L367,1-$Q$7&lt;L367),IF(SUM($N$2:N366)=0,1,0),0)</f>
        <v>0</v>
      </c>
      <c r="O367" s="34">
        <f t="shared" si="5"/>
        <v>0</v>
      </c>
    </row>
    <row r="368" spans="8:15" ht="20.100000000000001" customHeight="1" x14ac:dyDescent="0.25">
      <c r="H368" s="43" t="str">
        <f>IFERROR(ABS(C368/VLOOKUP(2*$B368,$B369:C402,2,TRUE)),"--")</f>
        <v>--</v>
      </c>
      <c r="I368" s="43" t="str">
        <f>IFERROR(ABS(D368/VLOOKUP(2*$B368,$B369:D402,3,TRUE)),"--")</f>
        <v>--</v>
      </c>
      <c r="J368" s="43" t="str">
        <f>IFERROR(ABS(E368/VLOOKUP(2*$B368,$B369:E402,4,TRUE)),"--")</f>
        <v>--</v>
      </c>
      <c r="K368" s="43" t="str">
        <f>IFERROR(ABS(F368/VLOOKUP(2*$B368,$B369:F402,5,TRUE)),"--")</f>
        <v>--</v>
      </c>
      <c r="L368" s="43" t="str">
        <f>IFERROR(ABS(G368/VLOOKUP(2*$B368,$B369:G402,6,TRUE)),"--")</f>
        <v>--</v>
      </c>
      <c r="M368" s="38">
        <f>IF(AND(1+$Q$6&gt;H368,1-$Q$6&lt;H368,1+$Q$6&gt;I368,1-$Q$6&lt;I368,1+$Q$6&gt;J368,1-$Q$6&lt;J368,1+$Q$6&gt;K368,1-$Q$6&lt;K368,1+$Q$6&gt;L368,1-$Q$6&lt;L368),IF(SUM($M$2:M367)=0,1,0),0)</f>
        <v>0</v>
      </c>
      <c r="N368" s="38">
        <f>IF(AND(1+$Q$7&gt;H368,1-$Q$7&lt;H368,1+$Q$7&gt;I368,1-$Q$7&lt;I368,1+$Q$7&gt;J368,1-$Q$7&lt;J368,1+$Q$7&gt;K368,1-$Q$7&lt;K368,1+$Q$7&gt;L368,1-$Q$7&lt;L368),IF(SUM($N$2:N367)=0,1,0),0)</f>
        <v>0</v>
      </c>
      <c r="O368" s="34">
        <f t="shared" si="5"/>
        <v>0</v>
      </c>
    </row>
    <row r="369" spans="8:15" ht="20.100000000000001" customHeight="1" x14ac:dyDescent="0.25">
      <c r="H369" s="43" t="str">
        <f>IFERROR(ABS(C369/VLOOKUP(2*$B369,$B370:C403,2,TRUE)),"--")</f>
        <v>--</v>
      </c>
      <c r="I369" s="43" t="str">
        <f>IFERROR(ABS(D369/VLOOKUP(2*$B369,$B370:D403,3,TRUE)),"--")</f>
        <v>--</v>
      </c>
      <c r="J369" s="43" t="str">
        <f>IFERROR(ABS(E369/VLOOKUP(2*$B369,$B370:E403,4,TRUE)),"--")</f>
        <v>--</v>
      </c>
      <c r="K369" s="43" t="str">
        <f>IFERROR(ABS(F369/VLOOKUP(2*$B369,$B370:F403,5,TRUE)),"--")</f>
        <v>--</v>
      </c>
      <c r="L369" s="43" t="str">
        <f>IFERROR(ABS(G369/VLOOKUP(2*$B369,$B370:G403,6,TRUE)),"--")</f>
        <v>--</v>
      </c>
      <c r="M369" s="38">
        <f>IF(AND(1+$Q$6&gt;H369,1-$Q$6&lt;H369,1+$Q$6&gt;I369,1-$Q$6&lt;I369,1+$Q$6&gt;J369,1-$Q$6&lt;J369,1+$Q$6&gt;K369,1-$Q$6&lt;K369,1+$Q$6&gt;L369,1-$Q$6&lt;L369),IF(SUM($M$2:M368)=0,1,0),0)</f>
        <v>0</v>
      </c>
      <c r="N369" s="38">
        <f>IF(AND(1+$Q$7&gt;H369,1-$Q$7&lt;H369,1+$Q$7&gt;I369,1-$Q$7&lt;I369,1+$Q$7&gt;J369,1-$Q$7&lt;J369,1+$Q$7&gt;K369,1-$Q$7&lt;K369,1+$Q$7&gt;L369,1-$Q$7&lt;L369),IF(SUM($N$2:N368)=0,1,0),0)</f>
        <v>0</v>
      </c>
      <c r="O369" s="34">
        <f t="shared" si="5"/>
        <v>0</v>
      </c>
    </row>
    <row r="370" spans="8:15" ht="20.100000000000001" customHeight="1" x14ac:dyDescent="0.25">
      <c r="H370" s="43" t="str">
        <f>IFERROR(ABS(C370/VLOOKUP(2*$B370,$B371:C404,2,TRUE)),"--")</f>
        <v>--</v>
      </c>
      <c r="I370" s="43" t="str">
        <f>IFERROR(ABS(D370/VLOOKUP(2*$B370,$B371:D404,3,TRUE)),"--")</f>
        <v>--</v>
      </c>
      <c r="J370" s="43" t="str">
        <f>IFERROR(ABS(E370/VLOOKUP(2*$B370,$B371:E404,4,TRUE)),"--")</f>
        <v>--</v>
      </c>
      <c r="K370" s="43" t="str">
        <f>IFERROR(ABS(F370/VLOOKUP(2*$B370,$B371:F404,5,TRUE)),"--")</f>
        <v>--</v>
      </c>
      <c r="L370" s="43" t="str">
        <f>IFERROR(ABS(G370/VLOOKUP(2*$B370,$B371:G404,6,TRUE)),"--")</f>
        <v>--</v>
      </c>
      <c r="M370" s="38">
        <f>IF(AND(1+$Q$6&gt;H370,1-$Q$6&lt;H370,1+$Q$6&gt;I370,1-$Q$6&lt;I370,1+$Q$6&gt;J370,1-$Q$6&lt;J370,1+$Q$6&gt;K370,1-$Q$6&lt;K370,1+$Q$6&gt;L370,1-$Q$6&lt;L370),IF(SUM($M$2:M369)=0,1,0),0)</f>
        <v>0</v>
      </c>
      <c r="N370" s="38">
        <f>IF(AND(1+$Q$7&gt;H370,1-$Q$7&lt;H370,1+$Q$7&gt;I370,1-$Q$7&lt;I370,1+$Q$7&gt;J370,1-$Q$7&lt;J370,1+$Q$7&gt;K370,1-$Q$7&lt;K370,1+$Q$7&gt;L370,1-$Q$7&lt;L370),IF(SUM($N$2:N369)=0,1,0),0)</f>
        <v>0</v>
      </c>
      <c r="O370" s="34">
        <f t="shared" si="5"/>
        <v>0</v>
      </c>
    </row>
    <row r="371" spans="8:15" ht="20.100000000000001" customHeight="1" x14ac:dyDescent="0.25">
      <c r="H371" s="43" t="str">
        <f>IFERROR(ABS(C371/VLOOKUP(2*$B371,$B372:C405,2,TRUE)),"--")</f>
        <v>--</v>
      </c>
      <c r="I371" s="43" t="str">
        <f>IFERROR(ABS(D371/VLOOKUP(2*$B371,$B372:D405,3,TRUE)),"--")</f>
        <v>--</v>
      </c>
      <c r="J371" s="43" t="str">
        <f>IFERROR(ABS(E371/VLOOKUP(2*$B371,$B372:E405,4,TRUE)),"--")</f>
        <v>--</v>
      </c>
      <c r="K371" s="43" t="str">
        <f>IFERROR(ABS(F371/VLOOKUP(2*$B371,$B372:F405,5,TRUE)),"--")</f>
        <v>--</v>
      </c>
      <c r="L371" s="43" t="str">
        <f>IFERROR(ABS(G371/VLOOKUP(2*$B371,$B372:G405,6,TRUE)),"--")</f>
        <v>--</v>
      </c>
      <c r="M371" s="38">
        <f>IF(AND(1+$Q$6&gt;H371,1-$Q$6&lt;H371,1+$Q$6&gt;I371,1-$Q$6&lt;I371,1+$Q$6&gt;J371,1-$Q$6&lt;J371,1+$Q$6&gt;K371,1-$Q$6&lt;K371,1+$Q$6&gt;L371,1-$Q$6&lt;L371),IF(SUM($M$2:M370)=0,1,0),0)</f>
        <v>0</v>
      </c>
      <c r="N371" s="38">
        <f>IF(AND(1+$Q$7&gt;H371,1-$Q$7&lt;H371,1+$Q$7&gt;I371,1-$Q$7&lt;I371,1+$Q$7&gt;J371,1-$Q$7&lt;J371,1+$Q$7&gt;K371,1-$Q$7&lt;K371,1+$Q$7&gt;L371,1-$Q$7&lt;L371),IF(SUM($N$2:N370)=0,1,0),0)</f>
        <v>0</v>
      </c>
      <c r="O371" s="34">
        <f t="shared" si="5"/>
        <v>0</v>
      </c>
    </row>
    <row r="372" spans="8:15" ht="20.100000000000001" customHeight="1" x14ac:dyDescent="0.25">
      <c r="H372" s="43" t="str">
        <f>IFERROR(ABS(C372/VLOOKUP(2*$B372,$B373:C406,2,TRUE)),"--")</f>
        <v>--</v>
      </c>
      <c r="I372" s="43" t="str">
        <f>IFERROR(ABS(D372/VLOOKUP(2*$B372,$B373:D406,3,TRUE)),"--")</f>
        <v>--</v>
      </c>
      <c r="J372" s="43" t="str">
        <f>IFERROR(ABS(E372/VLOOKUP(2*$B372,$B373:E406,4,TRUE)),"--")</f>
        <v>--</v>
      </c>
      <c r="K372" s="43" t="str">
        <f>IFERROR(ABS(F372/VLOOKUP(2*$B372,$B373:F406,5,TRUE)),"--")</f>
        <v>--</v>
      </c>
      <c r="L372" s="43" t="str">
        <f>IFERROR(ABS(G372/VLOOKUP(2*$B372,$B373:G406,6,TRUE)),"--")</f>
        <v>--</v>
      </c>
      <c r="M372" s="38">
        <f>IF(AND(1+$Q$6&gt;H372,1-$Q$6&lt;H372,1+$Q$6&gt;I372,1-$Q$6&lt;I372,1+$Q$6&gt;J372,1-$Q$6&lt;J372,1+$Q$6&gt;K372,1-$Q$6&lt;K372,1+$Q$6&gt;L372,1-$Q$6&lt;L372),IF(SUM($M$2:M371)=0,1,0),0)</f>
        <v>0</v>
      </c>
      <c r="N372" s="38">
        <f>IF(AND(1+$Q$7&gt;H372,1-$Q$7&lt;H372,1+$Q$7&gt;I372,1-$Q$7&lt;I372,1+$Q$7&gt;J372,1-$Q$7&lt;J372,1+$Q$7&gt;K372,1-$Q$7&lt;K372,1+$Q$7&gt;L372,1-$Q$7&lt;L372),IF(SUM($N$2:N371)=0,1,0),0)</f>
        <v>0</v>
      </c>
      <c r="O372" s="34">
        <f t="shared" si="5"/>
        <v>0</v>
      </c>
    </row>
    <row r="373" spans="8:15" ht="20.100000000000001" customHeight="1" x14ac:dyDescent="0.25">
      <c r="H373" s="43" t="str">
        <f>IFERROR(ABS(C373/VLOOKUP(2*$B373,$B374:C407,2,TRUE)),"--")</f>
        <v>--</v>
      </c>
      <c r="I373" s="43" t="str">
        <f>IFERROR(ABS(D373/VLOOKUP(2*$B373,$B374:D407,3,TRUE)),"--")</f>
        <v>--</v>
      </c>
      <c r="J373" s="43" t="str">
        <f>IFERROR(ABS(E373/VLOOKUP(2*$B373,$B374:E407,4,TRUE)),"--")</f>
        <v>--</v>
      </c>
      <c r="K373" s="43" t="str">
        <f>IFERROR(ABS(F373/VLOOKUP(2*$B373,$B374:F407,5,TRUE)),"--")</f>
        <v>--</v>
      </c>
      <c r="L373" s="43" t="str">
        <f>IFERROR(ABS(G373/VLOOKUP(2*$B373,$B374:G407,6,TRUE)),"--")</f>
        <v>--</v>
      </c>
      <c r="M373" s="38">
        <f>IF(AND(1+$Q$6&gt;H373,1-$Q$6&lt;H373,1+$Q$6&gt;I373,1-$Q$6&lt;I373,1+$Q$6&gt;J373,1-$Q$6&lt;J373,1+$Q$6&gt;K373,1-$Q$6&lt;K373,1+$Q$6&gt;L373,1-$Q$6&lt;L373),IF(SUM($M$2:M372)=0,1,0),0)</f>
        <v>0</v>
      </c>
      <c r="N373" s="38">
        <f>IF(AND(1+$Q$7&gt;H373,1-$Q$7&lt;H373,1+$Q$7&gt;I373,1-$Q$7&lt;I373,1+$Q$7&gt;J373,1-$Q$7&lt;J373,1+$Q$7&gt;K373,1-$Q$7&lt;K373,1+$Q$7&gt;L373,1-$Q$7&lt;L373),IF(SUM($N$2:N372)=0,1,0),0)</f>
        <v>0</v>
      </c>
      <c r="O373" s="34">
        <f t="shared" si="5"/>
        <v>0</v>
      </c>
    </row>
    <row r="374" spans="8:15" ht="20.100000000000001" customHeight="1" x14ac:dyDescent="0.25">
      <c r="H374" s="43" t="str">
        <f>IFERROR(ABS(C374/VLOOKUP(2*$B374,$B375:C408,2,TRUE)),"--")</f>
        <v>--</v>
      </c>
      <c r="I374" s="43" t="str">
        <f>IFERROR(ABS(D374/VLOOKUP(2*$B374,$B375:D408,3,TRUE)),"--")</f>
        <v>--</v>
      </c>
      <c r="J374" s="43" t="str">
        <f>IFERROR(ABS(E374/VLOOKUP(2*$B374,$B375:E408,4,TRUE)),"--")</f>
        <v>--</v>
      </c>
      <c r="K374" s="43" t="str">
        <f>IFERROR(ABS(F374/VLOOKUP(2*$B374,$B375:F408,5,TRUE)),"--")</f>
        <v>--</v>
      </c>
      <c r="L374" s="43" t="str">
        <f>IFERROR(ABS(G374/VLOOKUP(2*$B374,$B375:G408,6,TRUE)),"--")</f>
        <v>--</v>
      </c>
      <c r="M374" s="38">
        <f>IF(AND(1+$Q$6&gt;H374,1-$Q$6&lt;H374,1+$Q$6&gt;I374,1-$Q$6&lt;I374,1+$Q$6&gt;J374,1-$Q$6&lt;J374,1+$Q$6&gt;K374,1-$Q$6&lt;K374,1+$Q$6&gt;L374,1-$Q$6&lt;L374),IF(SUM($M$2:M373)=0,1,0),0)</f>
        <v>0</v>
      </c>
      <c r="N374" s="38">
        <f>IF(AND(1+$Q$7&gt;H374,1-$Q$7&lt;H374,1+$Q$7&gt;I374,1-$Q$7&lt;I374,1+$Q$7&gt;J374,1-$Q$7&lt;J374,1+$Q$7&gt;K374,1-$Q$7&lt;K374,1+$Q$7&gt;L374,1-$Q$7&lt;L374),IF(SUM($N$2:N373)=0,1,0),0)</f>
        <v>0</v>
      </c>
      <c r="O374" s="34">
        <f t="shared" si="5"/>
        <v>0</v>
      </c>
    </row>
    <row r="375" spans="8:15" ht="20.100000000000001" customHeight="1" x14ac:dyDescent="0.25">
      <c r="H375" s="43" t="str">
        <f>IFERROR(ABS(C375/VLOOKUP(2*$B375,$B376:C409,2,TRUE)),"--")</f>
        <v>--</v>
      </c>
      <c r="I375" s="43" t="str">
        <f>IFERROR(ABS(D375/VLOOKUP(2*$B375,$B376:D409,3,TRUE)),"--")</f>
        <v>--</v>
      </c>
      <c r="J375" s="43" t="str">
        <f>IFERROR(ABS(E375/VLOOKUP(2*$B375,$B376:E409,4,TRUE)),"--")</f>
        <v>--</v>
      </c>
      <c r="K375" s="43" t="str">
        <f>IFERROR(ABS(F375/VLOOKUP(2*$B375,$B376:F409,5,TRUE)),"--")</f>
        <v>--</v>
      </c>
      <c r="L375" s="43" t="str">
        <f>IFERROR(ABS(G375/VLOOKUP(2*$B375,$B376:G409,6,TRUE)),"--")</f>
        <v>--</v>
      </c>
      <c r="M375" s="38">
        <f>IF(AND(1+$Q$6&gt;H375,1-$Q$6&lt;H375,1+$Q$6&gt;I375,1-$Q$6&lt;I375,1+$Q$6&gt;J375,1-$Q$6&lt;J375,1+$Q$6&gt;K375,1-$Q$6&lt;K375,1+$Q$6&gt;L375,1-$Q$6&lt;L375),IF(SUM($M$2:M374)=0,1,0),0)</f>
        <v>0</v>
      </c>
      <c r="N375" s="38">
        <f>IF(AND(1+$Q$7&gt;H375,1-$Q$7&lt;H375,1+$Q$7&gt;I375,1-$Q$7&lt;I375,1+$Q$7&gt;J375,1-$Q$7&lt;J375,1+$Q$7&gt;K375,1-$Q$7&lt;K375,1+$Q$7&gt;L375,1-$Q$7&lt;L375),IF(SUM($N$2:N374)=0,1,0),0)</f>
        <v>0</v>
      </c>
      <c r="O375" s="34">
        <f t="shared" si="5"/>
        <v>0</v>
      </c>
    </row>
    <row r="376" spans="8:15" ht="20.100000000000001" customHeight="1" x14ac:dyDescent="0.25">
      <c r="H376" s="43" t="str">
        <f>IFERROR(ABS(C376/VLOOKUP(2*$B376,$B377:C410,2,TRUE)),"--")</f>
        <v>--</v>
      </c>
      <c r="I376" s="43" t="str">
        <f>IFERROR(ABS(D376/VLOOKUP(2*$B376,$B377:D410,3,TRUE)),"--")</f>
        <v>--</v>
      </c>
      <c r="J376" s="43" t="str">
        <f>IFERROR(ABS(E376/VLOOKUP(2*$B376,$B377:E410,4,TRUE)),"--")</f>
        <v>--</v>
      </c>
      <c r="K376" s="43" t="str">
        <f>IFERROR(ABS(F376/VLOOKUP(2*$B376,$B377:F410,5,TRUE)),"--")</f>
        <v>--</v>
      </c>
      <c r="L376" s="43" t="str">
        <f>IFERROR(ABS(G376/VLOOKUP(2*$B376,$B377:G410,6,TRUE)),"--")</f>
        <v>--</v>
      </c>
      <c r="M376" s="38">
        <f>IF(AND(1+$Q$6&gt;H376,1-$Q$6&lt;H376,1+$Q$6&gt;I376,1-$Q$6&lt;I376,1+$Q$6&gt;J376,1-$Q$6&lt;J376,1+$Q$6&gt;K376,1-$Q$6&lt;K376,1+$Q$6&gt;L376,1-$Q$6&lt;L376),IF(SUM($M$2:M375)=0,1,0),0)</f>
        <v>0</v>
      </c>
      <c r="N376" s="38">
        <f>IF(AND(1+$Q$7&gt;H376,1-$Q$7&lt;H376,1+$Q$7&gt;I376,1-$Q$7&lt;I376,1+$Q$7&gt;J376,1-$Q$7&lt;J376,1+$Q$7&gt;K376,1-$Q$7&lt;K376,1+$Q$7&gt;L376,1-$Q$7&lt;L376),IF(SUM($N$2:N375)=0,1,0),0)</f>
        <v>0</v>
      </c>
      <c r="O376" s="34">
        <f t="shared" si="5"/>
        <v>0</v>
      </c>
    </row>
    <row r="377" spans="8:15" ht="20.100000000000001" customHeight="1" x14ac:dyDescent="0.25">
      <c r="H377" s="43" t="str">
        <f>IFERROR(ABS(C377/VLOOKUP(2*$B377,$B378:C411,2,TRUE)),"--")</f>
        <v>--</v>
      </c>
      <c r="I377" s="43" t="str">
        <f>IFERROR(ABS(D377/VLOOKUP(2*$B377,$B378:D411,3,TRUE)),"--")</f>
        <v>--</v>
      </c>
      <c r="J377" s="43" t="str">
        <f>IFERROR(ABS(E377/VLOOKUP(2*$B377,$B378:E411,4,TRUE)),"--")</f>
        <v>--</v>
      </c>
      <c r="K377" s="43" t="str">
        <f>IFERROR(ABS(F377/VLOOKUP(2*$B377,$B378:F411,5,TRUE)),"--")</f>
        <v>--</v>
      </c>
      <c r="L377" s="43" t="str">
        <f>IFERROR(ABS(G377/VLOOKUP(2*$B377,$B378:G411,6,TRUE)),"--")</f>
        <v>--</v>
      </c>
      <c r="M377" s="38">
        <f>IF(AND(1+$Q$6&gt;H377,1-$Q$6&lt;H377,1+$Q$6&gt;I377,1-$Q$6&lt;I377,1+$Q$6&gt;J377,1-$Q$6&lt;J377,1+$Q$6&gt;K377,1-$Q$6&lt;K377,1+$Q$6&gt;L377,1-$Q$6&lt;L377),IF(SUM($M$2:M376)=0,1,0),0)</f>
        <v>0</v>
      </c>
      <c r="N377" s="38">
        <f>IF(AND(1+$Q$7&gt;H377,1-$Q$7&lt;H377,1+$Q$7&gt;I377,1-$Q$7&lt;I377,1+$Q$7&gt;J377,1-$Q$7&lt;J377,1+$Q$7&gt;K377,1-$Q$7&lt;K377,1+$Q$7&gt;L377,1-$Q$7&lt;L377),IF(SUM($N$2:N376)=0,1,0),0)</f>
        <v>0</v>
      </c>
      <c r="O377" s="34">
        <f t="shared" si="5"/>
        <v>0</v>
      </c>
    </row>
    <row r="378" spans="8:15" ht="20.100000000000001" customHeight="1" x14ac:dyDescent="0.25">
      <c r="H378" s="43" t="str">
        <f>IFERROR(ABS(C378/VLOOKUP(2*$B378,$B379:C412,2,TRUE)),"--")</f>
        <v>--</v>
      </c>
      <c r="I378" s="43" t="str">
        <f>IFERROR(ABS(D378/VLOOKUP(2*$B378,$B379:D412,3,TRUE)),"--")</f>
        <v>--</v>
      </c>
      <c r="J378" s="43" t="str">
        <f>IFERROR(ABS(E378/VLOOKUP(2*$B378,$B379:E412,4,TRUE)),"--")</f>
        <v>--</v>
      </c>
      <c r="K378" s="43" t="str">
        <f>IFERROR(ABS(F378/VLOOKUP(2*$B378,$B379:F412,5,TRUE)),"--")</f>
        <v>--</v>
      </c>
      <c r="L378" s="43" t="str">
        <f>IFERROR(ABS(G378/VLOOKUP(2*$B378,$B379:G412,6,TRUE)),"--")</f>
        <v>--</v>
      </c>
      <c r="M378" s="38">
        <f>IF(AND(1+$Q$6&gt;H378,1-$Q$6&lt;H378,1+$Q$6&gt;I378,1-$Q$6&lt;I378,1+$Q$6&gt;J378,1-$Q$6&lt;J378,1+$Q$6&gt;K378,1-$Q$6&lt;K378,1+$Q$6&gt;L378,1-$Q$6&lt;L378),IF(SUM($M$2:M377)=0,1,0),0)</f>
        <v>0</v>
      </c>
      <c r="N378" s="38">
        <f>IF(AND(1+$Q$7&gt;H378,1-$Q$7&lt;H378,1+$Q$7&gt;I378,1-$Q$7&lt;I378,1+$Q$7&gt;J378,1-$Q$7&lt;J378,1+$Q$7&gt;K378,1-$Q$7&lt;K378,1+$Q$7&gt;L378,1-$Q$7&lt;L378),IF(SUM($N$2:N377)=0,1,0),0)</f>
        <v>0</v>
      </c>
      <c r="O378" s="34">
        <f t="shared" si="5"/>
        <v>0</v>
      </c>
    </row>
    <row r="379" spans="8:15" ht="20.100000000000001" customHeight="1" x14ac:dyDescent="0.25">
      <c r="H379" s="43" t="str">
        <f>IFERROR(ABS(C379/VLOOKUP(2*$B379,$B380:C413,2,TRUE)),"--")</f>
        <v>--</v>
      </c>
      <c r="I379" s="43" t="str">
        <f>IFERROR(ABS(D379/VLOOKUP(2*$B379,$B380:D413,3,TRUE)),"--")</f>
        <v>--</v>
      </c>
      <c r="J379" s="43" t="str">
        <f>IFERROR(ABS(E379/VLOOKUP(2*$B379,$B380:E413,4,TRUE)),"--")</f>
        <v>--</v>
      </c>
      <c r="K379" s="43" t="str">
        <f>IFERROR(ABS(F379/VLOOKUP(2*$B379,$B380:F413,5,TRUE)),"--")</f>
        <v>--</v>
      </c>
      <c r="L379" s="43" t="str">
        <f>IFERROR(ABS(G379/VLOOKUP(2*$B379,$B380:G413,6,TRUE)),"--")</f>
        <v>--</v>
      </c>
      <c r="M379" s="38">
        <f>IF(AND(1+$Q$6&gt;H379,1-$Q$6&lt;H379,1+$Q$6&gt;I379,1-$Q$6&lt;I379,1+$Q$6&gt;J379,1-$Q$6&lt;J379,1+$Q$6&gt;K379,1-$Q$6&lt;K379,1+$Q$6&gt;L379,1-$Q$6&lt;L379),IF(SUM($M$2:M378)=0,1,0),0)</f>
        <v>0</v>
      </c>
      <c r="N379" s="38">
        <f>IF(AND(1+$Q$7&gt;H379,1-$Q$7&lt;H379,1+$Q$7&gt;I379,1-$Q$7&lt;I379,1+$Q$7&gt;J379,1-$Q$7&lt;J379,1+$Q$7&gt;K379,1-$Q$7&lt;K379,1+$Q$7&gt;L379,1-$Q$7&lt;L379),IF(SUM($N$2:N378)=0,1,0),0)</f>
        <v>0</v>
      </c>
      <c r="O379" s="34">
        <f t="shared" si="5"/>
        <v>0</v>
      </c>
    </row>
    <row r="380" spans="8:15" ht="20.100000000000001" customHeight="1" x14ac:dyDescent="0.25">
      <c r="H380" s="43" t="str">
        <f>IFERROR(ABS(C380/VLOOKUP(2*$B380,$B381:C414,2,TRUE)),"--")</f>
        <v>--</v>
      </c>
      <c r="I380" s="43" t="str">
        <f>IFERROR(ABS(D380/VLOOKUP(2*$B380,$B381:D414,3,TRUE)),"--")</f>
        <v>--</v>
      </c>
      <c r="J380" s="43" t="str">
        <f>IFERROR(ABS(E380/VLOOKUP(2*$B380,$B381:E414,4,TRUE)),"--")</f>
        <v>--</v>
      </c>
      <c r="K380" s="43" t="str">
        <f>IFERROR(ABS(F380/VLOOKUP(2*$B380,$B381:F414,5,TRUE)),"--")</f>
        <v>--</v>
      </c>
      <c r="L380" s="43" t="str">
        <f>IFERROR(ABS(G380/VLOOKUP(2*$B380,$B381:G414,6,TRUE)),"--")</f>
        <v>--</v>
      </c>
      <c r="M380" s="38">
        <f>IF(AND(1+$Q$6&gt;H380,1-$Q$6&lt;H380,1+$Q$6&gt;I380,1-$Q$6&lt;I380,1+$Q$6&gt;J380,1-$Q$6&lt;J380,1+$Q$6&gt;K380,1-$Q$6&lt;K380,1+$Q$6&gt;L380,1-$Q$6&lt;L380),IF(SUM($M$2:M379)=0,1,0),0)</f>
        <v>0</v>
      </c>
      <c r="N380" s="38">
        <f>IF(AND(1+$Q$7&gt;H380,1-$Q$7&lt;H380,1+$Q$7&gt;I380,1-$Q$7&lt;I380,1+$Q$7&gt;J380,1-$Q$7&lt;J380,1+$Q$7&gt;K380,1-$Q$7&lt;K380,1+$Q$7&gt;L380,1-$Q$7&lt;L380),IF(SUM($N$2:N379)=0,1,0),0)</f>
        <v>0</v>
      </c>
      <c r="O380" s="34">
        <f t="shared" si="5"/>
        <v>0</v>
      </c>
    </row>
    <row r="381" spans="8:15" ht="20.100000000000001" customHeight="1" x14ac:dyDescent="0.25">
      <c r="H381" s="43" t="str">
        <f>IFERROR(ABS(C381/VLOOKUP(2*$B381,$B382:C415,2,TRUE)),"--")</f>
        <v>--</v>
      </c>
      <c r="I381" s="43" t="str">
        <f>IFERROR(ABS(D381/VLOOKUP(2*$B381,$B382:D415,3,TRUE)),"--")</f>
        <v>--</v>
      </c>
      <c r="J381" s="43" t="str">
        <f>IFERROR(ABS(E381/VLOOKUP(2*$B381,$B382:E415,4,TRUE)),"--")</f>
        <v>--</v>
      </c>
      <c r="K381" s="43" t="str">
        <f>IFERROR(ABS(F381/VLOOKUP(2*$B381,$B382:F415,5,TRUE)),"--")</f>
        <v>--</v>
      </c>
      <c r="L381" s="43" t="str">
        <f>IFERROR(ABS(G381/VLOOKUP(2*$B381,$B382:G415,6,TRUE)),"--")</f>
        <v>--</v>
      </c>
      <c r="M381" s="38">
        <f>IF(AND(1+$Q$6&gt;H381,1-$Q$6&lt;H381,1+$Q$6&gt;I381,1-$Q$6&lt;I381,1+$Q$6&gt;J381,1-$Q$6&lt;J381,1+$Q$6&gt;K381,1-$Q$6&lt;K381,1+$Q$6&gt;L381,1-$Q$6&lt;L381),IF(SUM($M$2:M380)=0,1,0),0)</f>
        <v>0</v>
      </c>
      <c r="N381" s="38">
        <f>IF(AND(1+$Q$7&gt;H381,1-$Q$7&lt;H381,1+$Q$7&gt;I381,1-$Q$7&lt;I381,1+$Q$7&gt;J381,1-$Q$7&lt;J381,1+$Q$7&gt;K381,1-$Q$7&lt;K381,1+$Q$7&gt;L381,1-$Q$7&lt;L381),IF(SUM($N$2:N380)=0,1,0),0)</f>
        <v>0</v>
      </c>
      <c r="O381" s="34">
        <f t="shared" si="5"/>
        <v>0</v>
      </c>
    </row>
    <row r="382" spans="8:15" ht="20.100000000000001" customHeight="1" x14ac:dyDescent="0.25">
      <c r="H382" s="43" t="str">
        <f>IFERROR(ABS(C382/VLOOKUP(2*$B382,$B383:C416,2,TRUE)),"--")</f>
        <v>--</v>
      </c>
      <c r="I382" s="43" t="str">
        <f>IFERROR(ABS(D382/VLOOKUP(2*$B382,$B383:D416,3,TRUE)),"--")</f>
        <v>--</v>
      </c>
      <c r="J382" s="43" t="str">
        <f>IFERROR(ABS(E382/VLOOKUP(2*$B382,$B383:E416,4,TRUE)),"--")</f>
        <v>--</v>
      </c>
      <c r="K382" s="43" t="str">
        <f>IFERROR(ABS(F382/VLOOKUP(2*$B382,$B383:F416,5,TRUE)),"--")</f>
        <v>--</v>
      </c>
      <c r="L382" s="43" t="str">
        <f>IFERROR(ABS(G382/VLOOKUP(2*$B382,$B383:G416,6,TRUE)),"--")</f>
        <v>--</v>
      </c>
      <c r="M382" s="38">
        <f>IF(AND(1+$Q$6&gt;H382,1-$Q$6&lt;H382,1+$Q$6&gt;I382,1-$Q$6&lt;I382,1+$Q$6&gt;J382,1-$Q$6&lt;J382,1+$Q$6&gt;K382,1-$Q$6&lt;K382,1+$Q$6&gt;L382,1-$Q$6&lt;L382),IF(SUM($M$2:M381)=0,1,0),0)</f>
        <v>0</v>
      </c>
      <c r="N382" s="38">
        <f>IF(AND(1+$Q$7&gt;H382,1-$Q$7&lt;H382,1+$Q$7&gt;I382,1-$Q$7&lt;I382,1+$Q$7&gt;J382,1-$Q$7&lt;J382,1+$Q$7&gt;K382,1-$Q$7&lt;K382,1+$Q$7&gt;L382,1-$Q$7&lt;L382),IF(SUM($N$2:N381)=0,1,0),0)</f>
        <v>0</v>
      </c>
      <c r="O382" s="34">
        <f t="shared" si="5"/>
        <v>0</v>
      </c>
    </row>
    <row r="383" spans="8:15" ht="20.100000000000001" customHeight="1" x14ac:dyDescent="0.25">
      <c r="H383" s="43" t="str">
        <f>IFERROR(ABS(C383/VLOOKUP(2*$B383,$B384:C417,2,TRUE)),"--")</f>
        <v>--</v>
      </c>
      <c r="I383" s="43" t="str">
        <f>IFERROR(ABS(D383/VLOOKUP(2*$B383,$B384:D417,3,TRUE)),"--")</f>
        <v>--</v>
      </c>
      <c r="J383" s="43" t="str">
        <f>IFERROR(ABS(E383/VLOOKUP(2*$B383,$B384:E417,4,TRUE)),"--")</f>
        <v>--</v>
      </c>
      <c r="K383" s="43" t="str">
        <f>IFERROR(ABS(F383/VLOOKUP(2*$B383,$B384:F417,5,TRUE)),"--")</f>
        <v>--</v>
      </c>
      <c r="L383" s="43" t="str">
        <f>IFERROR(ABS(G383/VLOOKUP(2*$B383,$B384:G417,6,TRUE)),"--")</f>
        <v>--</v>
      </c>
      <c r="M383" s="38">
        <f>IF(AND(1+$Q$6&gt;H383,1-$Q$6&lt;H383,1+$Q$6&gt;I383,1-$Q$6&lt;I383,1+$Q$6&gt;J383,1-$Q$6&lt;J383,1+$Q$6&gt;K383,1-$Q$6&lt;K383,1+$Q$6&gt;L383,1-$Q$6&lt;L383),IF(SUM($M$2:M382)=0,1,0),0)</f>
        <v>0</v>
      </c>
      <c r="N383" s="38">
        <f>IF(AND(1+$Q$7&gt;H383,1-$Q$7&lt;H383,1+$Q$7&gt;I383,1-$Q$7&lt;I383,1+$Q$7&gt;J383,1-$Q$7&lt;J383,1+$Q$7&gt;K383,1-$Q$7&lt;K383,1+$Q$7&gt;L383,1-$Q$7&lt;L383),IF(SUM($N$2:N382)=0,1,0),0)</f>
        <v>0</v>
      </c>
      <c r="O383" s="34">
        <f t="shared" si="5"/>
        <v>0</v>
      </c>
    </row>
    <row r="384" spans="8:15" ht="20.100000000000001" customHeight="1" x14ac:dyDescent="0.25">
      <c r="H384" s="43" t="str">
        <f>IFERROR(ABS(C384/VLOOKUP(2*$B384,$B385:C418,2,TRUE)),"--")</f>
        <v>--</v>
      </c>
      <c r="I384" s="43" t="str">
        <f>IFERROR(ABS(D384/VLOOKUP(2*$B384,$B385:D418,3,TRUE)),"--")</f>
        <v>--</v>
      </c>
      <c r="J384" s="43" t="str">
        <f>IFERROR(ABS(E384/VLOOKUP(2*$B384,$B385:E418,4,TRUE)),"--")</f>
        <v>--</v>
      </c>
      <c r="K384" s="43" t="str">
        <f>IFERROR(ABS(F384/VLOOKUP(2*$B384,$B385:F418,5,TRUE)),"--")</f>
        <v>--</v>
      </c>
      <c r="L384" s="43" t="str">
        <f>IFERROR(ABS(G384/VLOOKUP(2*$B384,$B385:G418,6,TRUE)),"--")</f>
        <v>--</v>
      </c>
      <c r="M384" s="38">
        <f>IF(AND(1+$Q$6&gt;H384,1-$Q$6&lt;H384,1+$Q$6&gt;I384,1-$Q$6&lt;I384,1+$Q$6&gt;J384,1-$Q$6&lt;J384,1+$Q$6&gt;K384,1-$Q$6&lt;K384,1+$Q$6&gt;L384,1-$Q$6&lt;L384),IF(SUM($M$2:M383)=0,1,0),0)</f>
        <v>0</v>
      </c>
      <c r="N384" s="38">
        <f>IF(AND(1+$Q$7&gt;H384,1-$Q$7&lt;H384,1+$Q$7&gt;I384,1-$Q$7&lt;I384,1+$Q$7&gt;J384,1-$Q$7&lt;J384,1+$Q$7&gt;K384,1-$Q$7&lt;K384,1+$Q$7&gt;L384,1-$Q$7&lt;L384),IF(SUM($N$2:N383)=0,1,0),0)</f>
        <v>0</v>
      </c>
      <c r="O384" s="34">
        <f t="shared" si="5"/>
        <v>0</v>
      </c>
    </row>
    <row r="385" spans="8:15" ht="20.100000000000001" customHeight="1" x14ac:dyDescent="0.25">
      <c r="H385" s="43" t="str">
        <f>IFERROR(ABS(C385/VLOOKUP(2*$B385,$B386:C419,2,TRUE)),"--")</f>
        <v>--</v>
      </c>
      <c r="I385" s="43" t="str">
        <f>IFERROR(ABS(D385/VLOOKUP(2*$B385,$B386:D419,3,TRUE)),"--")</f>
        <v>--</v>
      </c>
      <c r="J385" s="43" t="str">
        <f>IFERROR(ABS(E385/VLOOKUP(2*$B385,$B386:E419,4,TRUE)),"--")</f>
        <v>--</v>
      </c>
      <c r="K385" s="43" t="str">
        <f>IFERROR(ABS(F385/VLOOKUP(2*$B385,$B386:F419,5,TRUE)),"--")</f>
        <v>--</v>
      </c>
      <c r="L385" s="43" t="str">
        <f>IFERROR(ABS(G385/VLOOKUP(2*$B385,$B386:G419,6,TRUE)),"--")</f>
        <v>--</v>
      </c>
      <c r="M385" s="38">
        <f>IF(AND(1+$Q$6&gt;H385,1-$Q$6&lt;H385,1+$Q$6&gt;I385,1-$Q$6&lt;I385,1+$Q$6&gt;J385,1-$Q$6&lt;J385,1+$Q$6&gt;K385,1-$Q$6&lt;K385,1+$Q$6&gt;L385,1-$Q$6&lt;L385),IF(SUM($M$2:M384)=0,1,0),0)</f>
        <v>0</v>
      </c>
      <c r="N385" s="38">
        <f>IF(AND(1+$Q$7&gt;H385,1-$Q$7&lt;H385,1+$Q$7&gt;I385,1-$Q$7&lt;I385,1+$Q$7&gt;J385,1-$Q$7&lt;J385,1+$Q$7&gt;K385,1-$Q$7&lt;K385,1+$Q$7&gt;L385,1-$Q$7&lt;L385),IF(SUM($N$2:N384)=0,1,0),0)</f>
        <v>0</v>
      </c>
      <c r="O385" s="34">
        <f t="shared" si="5"/>
        <v>0</v>
      </c>
    </row>
    <row r="386" spans="8:15" ht="20.100000000000001" customHeight="1" x14ac:dyDescent="0.25">
      <c r="H386" s="43" t="str">
        <f>IFERROR(ABS(C386/VLOOKUP(2*$B386,$B387:C420,2,TRUE)),"--")</f>
        <v>--</v>
      </c>
      <c r="I386" s="43" t="str">
        <f>IFERROR(ABS(D386/VLOOKUP(2*$B386,$B387:D420,3,TRUE)),"--")</f>
        <v>--</v>
      </c>
      <c r="J386" s="43" t="str">
        <f>IFERROR(ABS(E386/VLOOKUP(2*$B386,$B387:E420,4,TRUE)),"--")</f>
        <v>--</v>
      </c>
      <c r="K386" s="43" t="str">
        <f>IFERROR(ABS(F386/VLOOKUP(2*$B386,$B387:F420,5,TRUE)),"--")</f>
        <v>--</v>
      </c>
      <c r="L386" s="43" t="str">
        <f>IFERROR(ABS(G386/VLOOKUP(2*$B386,$B387:G420,6,TRUE)),"--")</f>
        <v>--</v>
      </c>
      <c r="M386" s="38">
        <f>IF(AND(1+$Q$6&gt;H386,1-$Q$6&lt;H386,1+$Q$6&gt;I386,1-$Q$6&lt;I386,1+$Q$6&gt;J386,1-$Q$6&lt;J386,1+$Q$6&gt;K386,1-$Q$6&lt;K386,1+$Q$6&gt;L386,1-$Q$6&lt;L386),IF(SUM($M$2:M385)=0,1,0),0)</f>
        <v>0</v>
      </c>
      <c r="N386" s="38">
        <f>IF(AND(1+$Q$7&gt;H386,1-$Q$7&lt;H386,1+$Q$7&gt;I386,1-$Q$7&lt;I386,1+$Q$7&gt;J386,1-$Q$7&lt;J386,1+$Q$7&gt;K386,1-$Q$7&lt;K386,1+$Q$7&gt;L386,1-$Q$7&lt;L386),IF(SUM($N$2:N385)=0,1,0),0)</f>
        <v>0</v>
      </c>
      <c r="O386" s="34">
        <f t="shared" si="5"/>
        <v>0</v>
      </c>
    </row>
    <row r="387" spans="8:15" ht="20.100000000000001" customHeight="1" x14ac:dyDescent="0.25">
      <c r="H387" s="43" t="str">
        <f>IFERROR(ABS(C387/VLOOKUP(2*$B387,$B388:C421,2,TRUE)),"--")</f>
        <v>--</v>
      </c>
      <c r="I387" s="43" t="str">
        <f>IFERROR(ABS(D387/VLOOKUP(2*$B387,$B388:D421,3,TRUE)),"--")</f>
        <v>--</v>
      </c>
      <c r="J387" s="43" t="str">
        <f>IFERROR(ABS(E387/VLOOKUP(2*$B387,$B388:E421,4,TRUE)),"--")</f>
        <v>--</v>
      </c>
      <c r="K387" s="43" t="str">
        <f>IFERROR(ABS(F387/VLOOKUP(2*$B387,$B388:F421,5,TRUE)),"--")</f>
        <v>--</v>
      </c>
      <c r="L387" s="43" t="str">
        <f>IFERROR(ABS(G387/VLOOKUP(2*$B387,$B388:G421,6,TRUE)),"--")</f>
        <v>--</v>
      </c>
      <c r="M387" s="38">
        <f>IF(AND(1+$Q$6&gt;H387,1-$Q$6&lt;H387,1+$Q$6&gt;I387,1-$Q$6&lt;I387,1+$Q$6&gt;J387,1-$Q$6&lt;J387,1+$Q$6&gt;K387,1-$Q$6&lt;K387,1+$Q$6&gt;L387,1-$Q$6&lt;L387),IF(SUM($M$2:M386)=0,1,0),0)</f>
        <v>0</v>
      </c>
      <c r="N387" s="38">
        <f>IF(AND(1+$Q$7&gt;H387,1-$Q$7&lt;H387,1+$Q$7&gt;I387,1-$Q$7&lt;I387,1+$Q$7&gt;J387,1-$Q$7&lt;J387,1+$Q$7&gt;K387,1-$Q$7&lt;K387,1+$Q$7&gt;L387,1-$Q$7&lt;L387),IF(SUM($N$2:N386)=0,1,0),0)</f>
        <v>0</v>
      </c>
      <c r="O387" s="34">
        <f t="shared" ref="O387:O450" si="6">A387</f>
        <v>0</v>
      </c>
    </row>
    <row r="388" spans="8:15" ht="20.100000000000001" customHeight="1" x14ac:dyDescent="0.25">
      <c r="H388" s="43" t="str">
        <f>IFERROR(ABS(C388/VLOOKUP(2*$B388,$B389:C422,2,TRUE)),"--")</f>
        <v>--</v>
      </c>
      <c r="I388" s="43" t="str">
        <f>IFERROR(ABS(D388/VLOOKUP(2*$B388,$B389:D422,3,TRUE)),"--")</f>
        <v>--</v>
      </c>
      <c r="J388" s="43" t="str">
        <f>IFERROR(ABS(E388/VLOOKUP(2*$B388,$B389:E422,4,TRUE)),"--")</f>
        <v>--</v>
      </c>
      <c r="K388" s="43" t="str">
        <f>IFERROR(ABS(F388/VLOOKUP(2*$B388,$B389:F422,5,TRUE)),"--")</f>
        <v>--</v>
      </c>
      <c r="L388" s="43" t="str">
        <f>IFERROR(ABS(G388/VLOOKUP(2*$B388,$B389:G422,6,TRUE)),"--")</f>
        <v>--</v>
      </c>
      <c r="M388" s="38">
        <f>IF(AND(1+$Q$6&gt;H388,1-$Q$6&lt;H388,1+$Q$6&gt;I388,1-$Q$6&lt;I388,1+$Q$6&gt;J388,1-$Q$6&lt;J388,1+$Q$6&gt;K388,1-$Q$6&lt;K388,1+$Q$6&gt;L388,1-$Q$6&lt;L388),IF(SUM($M$2:M387)=0,1,0),0)</f>
        <v>0</v>
      </c>
      <c r="N388" s="38">
        <f>IF(AND(1+$Q$7&gt;H388,1-$Q$7&lt;H388,1+$Q$7&gt;I388,1-$Q$7&lt;I388,1+$Q$7&gt;J388,1-$Q$7&lt;J388,1+$Q$7&gt;K388,1-$Q$7&lt;K388,1+$Q$7&gt;L388,1-$Q$7&lt;L388),IF(SUM($N$2:N387)=0,1,0),0)</f>
        <v>0</v>
      </c>
      <c r="O388" s="34">
        <f t="shared" si="6"/>
        <v>0</v>
      </c>
    </row>
    <row r="389" spans="8:15" ht="20.100000000000001" customHeight="1" x14ac:dyDescent="0.25">
      <c r="H389" s="43" t="str">
        <f>IFERROR(ABS(C389/VLOOKUP(2*$B389,$B390:C423,2,TRUE)),"--")</f>
        <v>--</v>
      </c>
      <c r="I389" s="43" t="str">
        <f>IFERROR(ABS(D389/VLOOKUP(2*$B389,$B390:D423,3,TRUE)),"--")</f>
        <v>--</v>
      </c>
      <c r="J389" s="43" t="str">
        <f>IFERROR(ABS(E389/VLOOKUP(2*$B389,$B390:E423,4,TRUE)),"--")</f>
        <v>--</v>
      </c>
      <c r="K389" s="43" t="str">
        <f>IFERROR(ABS(F389/VLOOKUP(2*$B389,$B390:F423,5,TRUE)),"--")</f>
        <v>--</v>
      </c>
      <c r="L389" s="43" t="str">
        <f>IFERROR(ABS(G389/VLOOKUP(2*$B389,$B390:G423,6,TRUE)),"--")</f>
        <v>--</v>
      </c>
      <c r="M389" s="38">
        <f>IF(AND(1+$Q$6&gt;H389,1-$Q$6&lt;H389,1+$Q$6&gt;I389,1-$Q$6&lt;I389,1+$Q$6&gt;J389,1-$Q$6&lt;J389,1+$Q$6&gt;K389,1-$Q$6&lt;K389,1+$Q$6&gt;L389,1-$Q$6&lt;L389),IF(SUM($M$2:M388)=0,1,0),0)</f>
        <v>0</v>
      </c>
      <c r="N389" s="38">
        <f>IF(AND(1+$Q$7&gt;H389,1-$Q$7&lt;H389,1+$Q$7&gt;I389,1-$Q$7&lt;I389,1+$Q$7&gt;J389,1-$Q$7&lt;J389,1+$Q$7&gt;K389,1-$Q$7&lt;K389,1+$Q$7&gt;L389,1-$Q$7&lt;L389),IF(SUM($N$2:N388)=0,1,0),0)</f>
        <v>0</v>
      </c>
      <c r="O389" s="34">
        <f t="shared" si="6"/>
        <v>0</v>
      </c>
    </row>
    <row r="390" spans="8:15" ht="20.100000000000001" customHeight="1" x14ac:dyDescent="0.25">
      <c r="H390" s="43" t="str">
        <f>IFERROR(ABS(C390/VLOOKUP(2*$B390,$B391:C424,2,TRUE)),"--")</f>
        <v>--</v>
      </c>
      <c r="I390" s="43" t="str">
        <f>IFERROR(ABS(D390/VLOOKUP(2*$B390,$B391:D424,3,TRUE)),"--")</f>
        <v>--</v>
      </c>
      <c r="J390" s="43" t="str">
        <f>IFERROR(ABS(E390/VLOOKUP(2*$B390,$B391:E424,4,TRUE)),"--")</f>
        <v>--</v>
      </c>
      <c r="K390" s="43" t="str">
        <f>IFERROR(ABS(F390/VLOOKUP(2*$B390,$B391:F424,5,TRUE)),"--")</f>
        <v>--</v>
      </c>
      <c r="L390" s="43" t="str">
        <f>IFERROR(ABS(G390/VLOOKUP(2*$B390,$B391:G424,6,TRUE)),"--")</f>
        <v>--</v>
      </c>
      <c r="M390" s="38">
        <f>IF(AND(1+$Q$6&gt;H390,1-$Q$6&lt;H390,1+$Q$6&gt;I390,1-$Q$6&lt;I390,1+$Q$6&gt;J390,1-$Q$6&lt;J390,1+$Q$6&gt;K390,1-$Q$6&lt;K390,1+$Q$6&gt;L390,1-$Q$6&lt;L390),IF(SUM($M$2:M389)=0,1,0),0)</f>
        <v>0</v>
      </c>
      <c r="N390" s="38">
        <f>IF(AND(1+$Q$7&gt;H390,1-$Q$7&lt;H390,1+$Q$7&gt;I390,1-$Q$7&lt;I390,1+$Q$7&gt;J390,1-$Q$7&lt;J390,1+$Q$7&gt;K390,1-$Q$7&lt;K390,1+$Q$7&gt;L390,1-$Q$7&lt;L390),IF(SUM($N$2:N389)=0,1,0),0)</f>
        <v>0</v>
      </c>
      <c r="O390" s="34">
        <f t="shared" si="6"/>
        <v>0</v>
      </c>
    </row>
    <row r="391" spans="8:15" ht="20.100000000000001" customHeight="1" x14ac:dyDescent="0.25">
      <c r="H391" s="43" t="str">
        <f>IFERROR(ABS(C391/VLOOKUP(2*$B391,$B392:C425,2,TRUE)),"--")</f>
        <v>--</v>
      </c>
      <c r="I391" s="43" t="str">
        <f>IFERROR(ABS(D391/VLOOKUP(2*$B391,$B392:D425,3,TRUE)),"--")</f>
        <v>--</v>
      </c>
      <c r="J391" s="43" t="str">
        <f>IFERROR(ABS(E391/VLOOKUP(2*$B391,$B392:E425,4,TRUE)),"--")</f>
        <v>--</v>
      </c>
      <c r="K391" s="43" t="str">
        <f>IFERROR(ABS(F391/VLOOKUP(2*$B391,$B392:F425,5,TRUE)),"--")</f>
        <v>--</v>
      </c>
      <c r="L391" s="43" t="str">
        <f>IFERROR(ABS(G391/VLOOKUP(2*$B391,$B392:G425,6,TRUE)),"--")</f>
        <v>--</v>
      </c>
      <c r="M391" s="38">
        <f>IF(AND(1+$Q$6&gt;H391,1-$Q$6&lt;H391,1+$Q$6&gt;I391,1-$Q$6&lt;I391,1+$Q$6&gt;J391,1-$Q$6&lt;J391,1+$Q$6&gt;K391,1-$Q$6&lt;K391,1+$Q$6&gt;L391,1-$Q$6&lt;L391),IF(SUM($M$2:M390)=0,1,0),0)</f>
        <v>0</v>
      </c>
      <c r="N391" s="38">
        <f>IF(AND(1+$Q$7&gt;H391,1-$Q$7&lt;H391,1+$Q$7&gt;I391,1-$Q$7&lt;I391,1+$Q$7&gt;J391,1-$Q$7&lt;J391,1+$Q$7&gt;K391,1-$Q$7&lt;K391,1+$Q$7&gt;L391,1-$Q$7&lt;L391),IF(SUM($N$2:N390)=0,1,0),0)</f>
        <v>0</v>
      </c>
      <c r="O391" s="34">
        <f t="shared" si="6"/>
        <v>0</v>
      </c>
    </row>
    <row r="392" spans="8:15" ht="20.100000000000001" customHeight="1" x14ac:dyDescent="0.25">
      <c r="H392" s="43" t="str">
        <f>IFERROR(ABS(C392/VLOOKUP(2*$B392,$B393:C426,2,TRUE)),"--")</f>
        <v>--</v>
      </c>
      <c r="I392" s="43" t="str">
        <f>IFERROR(ABS(D392/VLOOKUP(2*$B392,$B393:D426,3,TRUE)),"--")</f>
        <v>--</v>
      </c>
      <c r="J392" s="43" t="str">
        <f>IFERROR(ABS(E392/VLOOKUP(2*$B392,$B393:E426,4,TRUE)),"--")</f>
        <v>--</v>
      </c>
      <c r="K392" s="43" t="str">
        <f>IFERROR(ABS(F392/VLOOKUP(2*$B392,$B393:F426,5,TRUE)),"--")</f>
        <v>--</v>
      </c>
      <c r="L392" s="43" t="str">
        <f>IFERROR(ABS(G392/VLOOKUP(2*$B392,$B393:G426,6,TRUE)),"--")</f>
        <v>--</v>
      </c>
      <c r="M392" s="38">
        <f>IF(AND(1+$Q$6&gt;H392,1-$Q$6&lt;H392,1+$Q$6&gt;I392,1-$Q$6&lt;I392,1+$Q$6&gt;J392,1-$Q$6&lt;J392,1+$Q$6&gt;K392,1-$Q$6&lt;K392,1+$Q$6&gt;L392,1-$Q$6&lt;L392),IF(SUM($M$2:M391)=0,1,0),0)</f>
        <v>0</v>
      </c>
      <c r="N392" s="38">
        <f>IF(AND(1+$Q$7&gt;H392,1-$Q$7&lt;H392,1+$Q$7&gt;I392,1-$Q$7&lt;I392,1+$Q$7&gt;J392,1-$Q$7&lt;J392,1+$Q$7&gt;K392,1-$Q$7&lt;K392,1+$Q$7&gt;L392,1-$Q$7&lt;L392),IF(SUM($N$2:N391)=0,1,0),0)</f>
        <v>0</v>
      </c>
      <c r="O392" s="34">
        <f t="shared" si="6"/>
        <v>0</v>
      </c>
    </row>
    <row r="393" spans="8:15" ht="20.100000000000001" customHeight="1" x14ac:dyDescent="0.25">
      <c r="H393" s="43" t="str">
        <f>IFERROR(ABS(C393/VLOOKUP(2*$B393,$B394:C427,2,TRUE)),"--")</f>
        <v>--</v>
      </c>
      <c r="I393" s="43" t="str">
        <f>IFERROR(ABS(D393/VLOOKUP(2*$B393,$B394:D427,3,TRUE)),"--")</f>
        <v>--</v>
      </c>
      <c r="J393" s="43" t="str">
        <f>IFERROR(ABS(E393/VLOOKUP(2*$B393,$B394:E427,4,TRUE)),"--")</f>
        <v>--</v>
      </c>
      <c r="K393" s="43" t="str">
        <f>IFERROR(ABS(F393/VLOOKUP(2*$B393,$B394:F427,5,TRUE)),"--")</f>
        <v>--</v>
      </c>
      <c r="L393" s="43" t="str">
        <f>IFERROR(ABS(G393/VLOOKUP(2*$B393,$B394:G427,6,TRUE)),"--")</f>
        <v>--</v>
      </c>
      <c r="M393" s="38">
        <f>IF(AND(1+$Q$6&gt;H393,1-$Q$6&lt;H393,1+$Q$6&gt;I393,1-$Q$6&lt;I393,1+$Q$6&gt;J393,1-$Q$6&lt;J393,1+$Q$6&gt;K393,1-$Q$6&lt;K393,1+$Q$6&gt;L393,1-$Q$6&lt;L393),IF(SUM($M$2:M392)=0,1,0),0)</f>
        <v>0</v>
      </c>
      <c r="N393" s="38">
        <f>IF(AND(1+$Q$7&gt;H393,1-$Q$7&lt;H393,1+$Q$7&gt;I393,1-$Q$7&lt;I393,1+$Q$7&gt;J393,1-$Q$7&lt;J393,1+$Q$7&gt;K393,1-$Q$7&lt;K393,1+$Q$7&gt;L393,1-$Q$7&lt;L393),IF(SUM($N$2:N392)=0,1,0),0)</f>
        <v>0</v>
      </c>
      <c r="O393" s="34">
        <f t="shared" si="6"/>
        <v>0</v>
      </c>
    </row>
    <row r="394" spans="8:15" ht="20.100000000000001" customHeight="1" x14ac:dyDescent="0.25">
      <c r="H394" s="43" t="str">
        <f>IFERROR(ABS(C394/VLOOKUP(2*$B394,$B395:C428,2,TRUE)),"--")</f>
        <v>--</v>
      </c>
      <c r="I394" s="43" t="str">
        <f>IFERROR(ABS(D394/VLOOKUP(2*$B394,$B395:D428,3,TRUE)),"--")</f>
        <v>--</v>
      </c>
      <c r="J394" s="43" t="str">
        <f>IFERROR(ABS(E394/VLOOKUP(2*$B394,$B395:E428,4,TRUE)),"--")</f>
        <v>--</v>
      </c>
      <c r="K394" s="43" t="str">
        <f>IFERROR(ABS(F394/VLOOKUP(2*$B394,$B395:F428,5,TRUE)),"--")</f>
        <v>--</v>
      </c>
      <c r="L394" s="43" t="str">
        <f>IFERROR(ABS(G394/VLOOKUP(2*$B394,$B395:G428,6,TRUE)),"--")</f>
        <v>--</v>
      </c>
      <c r="M394" s="38">
        <f>IF(AND(1+$Q$6&gt;H394,1-$Q$6&lt;H394,1+$Q$6&gt;I394,1-$Q$6&lt;I394,1+$Q$6&gt;J394,1-$Q$6&lt;J394,1+$Q$6&gt;K394,1-$Q$6&lt;K394,1+$Q$6&gt;L394,1-$Q$6&lt;L394),IF(SUM($M$2:M393)=0,1,0),0)</f>
        <v>0</v>
      </c>
      <c r="N394" s="38">
        <f>IF(AND(1+$Q$7&gt;H394,1-$Q$7&lt;H394,1+$Q$7&gt;I394,1-$Q$7&lt;I394,1+$Q$7&gt;J394,1-$Q$7&lt;J394,1+$Q$7&gt;K394,1-$Q$7&lt;K394,1+$Q$7&gt;L394,1-$Q$7&lt;L394),IF(SUM($N$2:N393)=0,1,0),0)</f>
        <v>0</v>
      </c>
      <c r="O394" s="34">
        <f t="shared" si="6"/>
        <v>0</v>
      </c>
    </row>
    <row r="395" spans="8:15" ht="20.100000000000001" customHeight="1" x14ac:dyDescent="0.25">
      <c r="H395" s="43" t="str">
        <f>IFERROR(ABS(C395/VLOOKUP(2*$B395,$B396:C429,2,TRUE)),"--")</f>
        <v>--</v>
      </c>
      <c r="I395" s="43" t="str">
        <f>IFERROR(ABS(D395/VLOOKUP(2*$B395,$B396:D429,3,TRUE)),"--")</f>
        <v>--</v>
      </c>
      <c r="J395" s="43" t="str">
        <f>IFERROR(ABS(E395/VLOOKUP(2*$B395,$B396:E429,4,TRUE)),"--")</f>
        <v>--</v>
      </c>
      <c r="K395" s="43" t="str">
        <f>IFERROR(ABS(F395/VLOOKUP(2*$B395,$B396:F429,5,TRUE)),"--")</f>
        <v>--</v>
      </c>
      <c r="L395" s="43" t="str">
        <f>IFERROR(ABS(G395/VLOOKUP(2*$B395,$B396:G429,6,TRUE)),"--")</f>
        <v>--</v>
      </c>
      <c r="M395" s="38">
        <f>IF(AND(1+$Q$6&gt;H395,1-$Q$6&lt;H395,1+$Q$6&gt;I395,1-$Q$6&lt;I395,1+$Q$6&gt;J395,1-$Q$6&lt;J395,1+$Q$6&gt;K395,1-$Q$6&lt;K395,1+$Q$6&gt;L395,1-$Q$6&lt;L395),IF(SUM($M$2:M394)=0,1,0),0)</f>
        <v>0</v>
      </c>
      <c r="N395" s="38">
        <f>IF(AND(1+$Q$7&gt;H395,1-$Q$7&lt;H395,1+$Q$7&gt;I395,1-$Q$7&lt;I395,1+$Q$7&gt;J395,1-$Q$7&lt;J395,1+$Q$7&gt;K395,1-$Q$7&lt;K395,1+$Q$7&gt;L395,1-$Q$7&lt;L395),IF(SUM($N$2:N394)=0,1,0),0)</f>
        <v>0</v>
      </c>
      <c r="O395" s="34">
        <f t="shared" si="6"/>
        <v>0</v>
      </c>
    </row>
    <row r="396" spans="8:15" ht="20.100000000000001" customHeight="1" x14ac:dyDescent="0.25">
      <c r="H396" s="43" t="str">
        <f>IFERROR(ABS(C396/VLOOKUP(2*$B396,$B397:C430,2,TRUE)),"--")</f>
        <v>--</v>
      </c>
      <c r="I396" s="43" t="str">
        <f>IFERROR(ABS(D396/VLOOKUP(2*$B396,$B397:D430,3,TRUE)),"--")</f>
        <v>--</v>
      </c>
      <c r="J396" s="43" t="str">
        <f>IFERROR(ABS(E396/VLOOKUP(2*$B396,$B397:E430,4,TRUE)),"--")</f>
        <v>--</v>
      </c>
      <c r="K396" s="43" t="str">
        <f>IFERROR(ABS(F396/VLOOKUP(2*$B396,$B397:F430,5,TRUE)),"--")</f>
        <v>--</v>
      </c>
      <c r="L396" s="43" t="str">
        <f>IFERROR(ABS(G396/VLOOKUP(2*$B396,$B397:G430,6,TRUE)),"--")</f>
        <v>--</v>
      </c>
      <c r="M396" s="38">
        <f>IF(AND(1+$Q$6&gt;H396,1-$Q$6&lt;H396,1+$Q$6&gt;I396,1-$Q$6&lt;I396,1+$Q$6&gt;J396,1-$Q$6&lt;J396,1+$Q$6&gt;K396,1-$Q$6&lt;K396,1+$Q$6&gt;L396,1-$Q$6&lt;L396),IF(SUM($M$2:M395)=0,1,0),0)</f>
        <v>0</v>
      </c>
      <c r="N396" s="38">
        <f>IF(AND(1+$Q$7&gt;H396,1-$Q$7&lt;H396,1+$Q$7&gt;I396,1-$Q$7&lt;I396,1+$Q$7&gt;J396,1-$Q$7&lt;J396,1+$Q$7&gt;K396,1-$Q$7&lt;K396,1+$Q$7&gt;L396,1-$Q$7&lt;L396),IF(SUM($N$2:N395)=0,1,0),0)</f>
        <v>0</v>
      </c>
      <c r="O396" s="34">
        <f t="shared" si="6"/>
        <v>0</v>
      </c>
    </row>
    <row r="397" spans="8:15" ht="20.100000000000001" customHeight="1" x14ac:dyDescent="0.25">
      <c r="H397" s="43" t="str">
        <f>IFERROR(ABS(C397/VLOOKUP(2*$B397,$B398:C431,2,TRUE)),"--")</f>
        <v>--</v>
      </c>
      <c r="I397" s="43" t="str">
        <f>IFERROR(ABS(D397/VLOOKUP(2*$B397,$B398:D431,3,TRUE)),"--")</f>
        <v>--</v>
      </c>
      <c r="J397" s="43" t="str">
        <f>IFERROR(ABS(E397/VLOOKUP(2*$B397,$B398:E431,4,TRUE)),"--")</f>
        <v>--</v>
      </c>
      <c r="K397" s="43" t="str">
        <f>IFERROR(ABS(F397/VLOOKUP(2*$B397,$B398:F431,5,TRUE)),"--")</f>
        <v>--</v>
      </c>
      <c r="L397" s="43" t="str">
        <f>IFERROR(ABS(G397/VLOOKUP(2*$B397,$B398:G431,6,TRUE)),"--")</f>
        <v>--</v>
      </c>
      <c r="M397" s="38">
        <f>IF(AND(1+$Q$6&gt;H397,1-$Q$6&lt;H397,1+$Q$6&gt;I397,1-$Q$6&lt;I397,1+$Q$6&gt;J397,1-$Q$6&lt;J397,1+$Q$6&gt;K397,1-$Q$6&lt;K397,1+$Q$6&gt;L397,1-$Q$6&lt;L397),IF(SUM($M$2:M396)=0,1,0),0)</f>
        <v>0</v>
      </c>
      <c r="N397" s="38">
        <f>IF(AND(1+$Q$7&gt;H397,1-$Q$7&lt;H397,1+$Q$7&gt;I397,1-$Q$7&lt;I397,1+$Q$7&gt;J397,1-$Q$7&lt;J397,1+$Q$7&gt;K397,1-$Q$7&lt;K397,1+$Q$7&gt;L397,1-$Q$7&lt;L397),IF(SUM($N$2:N396)=0,1,0),0)</f>
        <v>0</v>
      </c>
      <c r="O397" s="34">
        <f t="shared" si="6"/>
        <v>0</v>
      </c>
    </row>
    <row r="398" spans="8:15" ht="20.100000000000001" customHeight="1" x14ac:dyDescent="0.25">
      <c r="H398" s="43" t="str">
        <f>IFERROR(ABS(C398/VLOOKUP(2*$B398,$B399:C432,2,TRUE)),"--")</f>
        <v>--</v>
      </c>
      <c r="I398" s="43" t="str">
        <f>IFERROR(ABS(D398/VLOOKUP(2*$B398,$B399:D432,3,TRUE)),"--")</f>
        <v>--</v>
      </c>
      <c r="J398" s="43" t="str">
        <f>IFERROR(ABS(E398/VLOOKUP(2*$B398,$B399:E432,4,TRUE)),"--")</f>
        <v>--</v>
      </c>
      <c r="K398" s="43" t="str">
        <f>IFERROR(ABS(F398/VLOOKUP(2*$B398,$B399:F432,5,TRUE)),"--")</f>
        <v>--</v>
      </c>
      <c r="L398" s="43" t="str">
        <f>IFERROR(ABS(G398/VLOOKUP(2*$B398,$B399:G432,6,TRUE)),"--")</f>
        <v>--</v>
      </c>
      <c r="M398" s="38">
        <f>IF(AND(1+$Q$6&gt;H398,1-$Q$6&lt;H398,1+$Q$6&gt;I398,1-$Q$6&lt;I398,1+$Q$6&gt;J398,1-$Q$6&lt;J398,1+$Q$6&gt;K398,1-$Q$6&lt;K398,1+$Q$6&gt;L398,1-$Q$6&lt;L398),IF(SUM($M$2:M397)=0,1,0),0)</f>
        <v>0</v>
      </c>
      <c r="N398" s="38">
        <f>IF(AND(1+$Q$7&gt;H398,1-$Q$7&lt;H398,1+$Q$7&gt;I398,1-$Q$7&lt;I398,1+$Q$7&gt;J398,1-$Q$7&lt;J398,1+$Q$7&gt;K398,1-$Q$7&lt;K398,1+$Q$7&gt;L398,1-$Q$7&lt;L398),IF(SUM($N$2:N397)=0,1,0),0)</f>
        <v>0</v>
      </c>
      <c r="O398" s="34">
        <f t="shared" si="6"/>
        <v>0</v>
      </c>
    </row>
    <row r="399" spans="8:15" ht="20.100000000000001" customHeight="1" x14ac:dyDescent="0.25">
      <c r="H399" s="43" t="str">
        <f>IFERROR(ABS(C399/VLOOKUP(2*$B399,$B400:C433,2,TRUE)),"--")</f>
        <v>--</v>
      </c>
      <c r="I399" s="43" t="str">
        <f>IFERROR(ABS(D399/VLOOKUP(2*$B399,$B400:D433,3,TRUE)),"--")</f>
        <v>--</v>
      </c>
      <c r="J399" s="43" t="str">
        <f>IFERROR(ABS(E399/VLOOKUP(2*$B399,$B400:E433,4,TRUE)),"--")</f>
        <v>--</v>
      </c>
      <c r="K399" s="43" t="str">
        <f>IFERROR(ABS(F399/VLOOKUP(2*$B399,$B400:F433,5,TRUE)),"--")</f>
        <v>--</v>
      </c>
      <c r="L399" s="43" t="str">
        <f>IFERROR(ABS(G399/VLOOKUP(2*$B399,$B400:G433,6,TRUE)),"--")</f>
        <v>--</v>
      </c>
      <c r="M399" s="38">
        <f>IF(AND(1+$Q$6&gt;H399,1-$Q$6&lt;H399,1+$Q$6&gt;I399,1-$Q$6&lt;I399,1+$Q$6&gt;J399,1-$Q$6&lt;J399,1+$Q$6&gt;K399,1-$Q$6&lt;K399,1+$Q$6&gt;L399,1-$Q$6&lt;L399),IF(SUM($M$2:M398)=0,1,0),0)</f>
        <v>0</v>
      </c>
      <c r="N399" s="38">
        <f>IF(AND(1+$Q$7&gt;H399,1-$Q$7&lt;H399,1+$Q$7&gt;I399,1-$Q$7&lt;I399,1+$Q$7&gt;J399,1-$Q$7&lt;J399,1+$Q$7&gt;K399,1-$Q$7&lt;K399,1+$Q$7&gt;L399,1-$Q$7&lt;L399),IF(SUM($N$2:N398)=0,1,0),0)</f>
        <v>0</v>
      </c>
      <c r="O399" s="34">
        <f t="shared" si="6"/>
        <v>0</v>
      </c>
    </row>
    <row r="400" spans="8:15" ht="20.100000000000001" customHeight="1" x14ac:dyDescent="0.25">
      <c r="H400" s="43" t="str">
        <f>IFERROR(ABS(C400/VLOOKUP(2*$B400,$B401:C434,2,TRUE)),"--")</f>
        <v>--</v>
      </c>
      <c r="I400" s="43" t="str">
        <f>IFERROR(ABS(D400/VLOOKUP(2*$B400,$B401:D434,3,TRUE)),"--")</f>
        <v>--</v>
      </c>
      <c r="J400" s="43" t="str">
        <f>IFERROR(ABS(E400/VLOOKUP(2*$B400,$B401:E434,4,TRUE)),"--")</f>
        <v>--</v>
      </c>
      <c r="K400" s="43" t="str">
        <f>IFERROR(ABS(F400/VLOOKUP(2*$B400,$B401:F434,5,TRUE)),"--")</f>
        <v>--</v>
      </c>
      <c r="L400" s="43" t="str">
        <f>IFERROR(ABS(G400/VLOOKUP(2*$B400,$B401:G434,6,TRUE)),"--")</f>
        <v>--</v>
      </c>
      <c r="M400" s="38">
        <f>IF(AND(1+$Q$6&gt;H400,1-$Q$6&lt;H400,1+$Q$6&gt;I400,1-$Q$6&lt;I400,1+$Q$6&gt;J400,1-$Q$6&lt;J400,1+$Q$6&gt;K400,1-$Q$6&lt;K400,1+$Q$6&gt;L400,1-$Q$6&lt;L400),IF(SUM($M$2:M399)=0,1,0),0)</f>
        <v>0</v>
      </c>
      <c r="N400" s="38">
        <f>IF(AND(1+$Q$7&gt;H400,1-$Q$7&lt;H400,1+$Q$7&gt;I400,1-$Q$7&lt;I400,1+$Q$7&gt;J400,1-$Q$7&lt;J400,1+$Q$7&gt;K400,1-$Q$7&lt;K400,1+$Q$7&gt;L400,1-$Q$7&lt;L400),IF(SUM($N$2:N399)=0,1,0),0)</f>
        <v>0</v>
      </c>
      <c r="O400" s="34">
        <f t="shared" si="6"/>
        <v>0</v>
      </c>
    </row>
    <row r="401" spans="8:15" ht="20.100000000000001" customHeight="1" x14ac:dyDescent="0.25">
      <c r="H401" s="43" t="str">
        <f>IFERROR(ABS(C401/VLOOKUP(2*$B401,$B402:C435,2,TRUE)),"--")</f>
        <v>--</v>
      </c>
      <c r="I401" s="43" t="str">
        <f>IFERROR(ABS(D401/VLOOKUP(2*$B401,$B402:D435,3,TRUE)),"--")</f>
        <v>--</v>
      </c>
      <c r="J401" s="43" t="str">
        <f>IFERROR(ABS(E401/VLOOKUP(2*$B401,$B402:E435,4,TRUE)),"--")</f>
        <v>--</v>
      </c>
      <c r="K401" s="43" t="str">
        <f>IFERROR(ABS(F401/VLOOKUP(2*$B401,$B402:F435,5,TRUE)),"--")</f>
        <v>--</v>
      </c>
      <c r="L401" s="43" t="str">
        <f>IFERROR(ABS(G401/VLOOKUP(2*$B401,$B402:G435,6,TRUE)),"--")</f>
        <v>--</v>
      </c>
      <c r="M401" s="38">
        <f>IF(AND(1+$Q$6&gt;H401,1-$Q$6&lt;H401,1+$Q$6&gt;I401,1-$Q$6&lt;I401,1+$Q$6&gt;J401,1-$Q$6&lt;J401,1+$Q$6&gt;K401,1-$Q$6&lt;K401,1+$Q$6&gt;L401,1-$Q$6&lt;L401),IF(SUM($M$2:M400)=0,1,0),0)</f>
        <v>0</v>
      </c>
      <c r="N401" s="38">
        <f>IF(AND(1+$Q$7&gt;H401,1-$Q$7&lt;H401,1+$Q$7&gt;I401,1-$Q$7&lt;I401,1+$Q$7&gt;J401,1-$Q$7&lt;J401,1+$Q$7&gt;K401,1-$Q$7&lt;K401,1+$Q$7&gt;L401,1-$Q$7&lt;L401),IF(SUM($N$2:N400)=0,1,0),0)</f>
        <v>0</v>
      </c>
      <c r="O401" s="34">
        <f t="shared" si="6"/>
        <v>0</v>
      </c>
    </row>
    <row r="402" spans="8:15" ht="20.100000000000001" customHeight="1" x14ac:dyDescent="0.25">
      <c r="H402" s="43" t="str">
        <f>IFERROR(ABS(C402/VLOOKUP(2*$B402,$B403:C436,2,TRUE)),"--")</f>
        <v>--</v>
      </c>
      <c r="I402" s="43" t="str">
        <f>IFERROR(ABS(D402/VLOOKUP(2*$B402,$B403:D436,3,TRUE)),"--")</f>
        <v>--</v>
      </c>
      <c r="J402" s="43" t="str">
        <f>IFERROR(ABS(E402/VLOOKUP(2*$B402,$B403:E436,4,TRUE)),"--")</f>
        <v>--</v>
      </c>
      <c r="K402" s="43" t="str">
        <f>IFERROR(ABS(F402/VLOOKUP(2*$B402,$B403:F436,5,TRUE)),"--")</f>
        <v>--</v>
      </c>
      <c r="L402" s="43" t="str">
        <f>IFERROR(ABS(G402/VLOOKUP(2*$B402,$B403:G436,6,TRUE)),"--")</f>
        <v>--</v>
      </c>
      <c r="M402" s="38">
        <f>IF(AND(1+$Q$6&gt;H402,1-$Q$6&lt;H402,1+$Q$6&gt;I402,1-$Q$6&lt;I402,1+$Q$6&gt;J402,1-$Q$6&lt;J402,1+$Q$6&gt;K402,1-$Q$6&lt;K402,1+$Q$6&gt;L402,1-$Q$6&lt;L402),IF(SUM($M$2:M401)=0,1,0),0)</f>
        <v>0</v>
      </c>
      <c r="N402" s="38">
        <f>IF(AND(1+$Q$7&gt;H402,1-$Q$7&lt;H402,1+$Q$7&gt;I402,1-$Q$7&lt;I402,1+$Q$7&gt;J402,1-$Q$7&lt;J402,1+$Q$7&gt;K402,1-$Q$7&lt;K402,1+$Q$7&gt;L402,1-$Q$7&lt;L402),IF(SUM($N$2:N401)=0,1,0),0)</f>
        <v>0</v>
      </c>
      <c r="O402" s="34">
        <f t="shared" si="6"/>
        <v>0</v>
      </c>
    </row>
    <row r="403" spans="8:15" ht="20.100000000000001" customHeight="1" x14ac:dyDescent="0.25">
      <c r="H403" s="43" t="str">
        <f>IFERROR(ABS(C403/VLOOKUP(2*$B403,$B404:C437,2,TRUE)),"--")</f>
        <v>--</v>
      </c>
      <c r="I403" s="43" t="str">
        <f>IFERROR(ABS(D403/VLOOKUP(2*$B403,$B404:D437,3,TRUE)),"--")</f>
        <v>--</v>
      </c>
      <c r="J403" s="43" t="str">
        <f>IFERROR(ABS(E403/VLOOKUP(2*$B403,$B404:E437,4,TRUE)),"--")</f>
        <v>--</v>
      </c>
      <c r="K403" s="43" t="str">
        <f>IFERROR(ABS(F403/VLOOKUP(2*$B403,$B404:F437,5,TRUE)),"--")</f>
        <v>--</v>
      </c>
      <c r="L403" s="43" t="str">
        <f>IFERROR(ABS(G403/VLOOKUP(2*$B403,$B404:G437,6,TRUE)),"--")</f>
        <v>--</v>
      </c>
      <c r="M403" s="38">
        <f>IF(AND(1+$Q$6&gt;H403,1-$Q$6&lt;H403,1+$Q$6&gt;I403,1-$Q$6&lt;I403,1+$Q$6&gt;J403,1-$Q$6&lt;J403,1+$Q$6&gt;K403,1-$Q$6&lt;K403,1+$Q$6&gt;L403,1-$Q$6&lt;L403),IF(SUM($M$2:M402)=0,1,0),0)</f>
        <v>0</v>
      </c>
      <c r="N403" s="38">
        <f>IF(AND(1+$Q$7&gt;H403,1-$Q$7&lt;H403,1+$Q$7&gt;I403,1-$Q$7&lt;I403,1+$Q$7&gt;J403,1-$Q$7&lt;J403,1+$Q$7&gt;K403,1-$Q$7&lt;K403,1+$Q$7&gt;L403,1-$Q$7&lt;L403),IF(SUM($N$2:N402)=0,1,0),0)</f>
        <v>0</v>
      </c>
      <c r="O403" s="34">
        <f t="shared" si="6"/>
        <v>0</v>
      </c>
    </row>
    <row r="404" spans="8:15" ht="20.100000000000001" customHeight="1" x14ac:dyDescent="0.25">
      <c r="H404" s="43" t="str">
        <f>IFERROR(ABS(C404/VLOOKUP(2*$B404,$B405:C438,2,TRUE)),"--")</f>
        <v>--</v>
      </c>
      <c r="I404" s="43" t="str">
        <f>IFERROR(ABS(D404/VLOOKUP(2*$B404,$B405:D438,3,TRUE)),"--")</f>
        <v>--</v>
      </c>
      <c r="J404" s="43" t="str">
        <f>IFERROR(ABS(E404/VLOOKUP(2*$B404,$B405:E438,4,TRUE)),"--")</f>
        <v>--</v>
      </c>
      <c r="K404" s="43" t="str">
        <f>IFERROR(ABS(F404/VLOOKUP(2*$B404,$B405:F438,5,TRUE)),"--")</f>
        <v>--</v>
      </c>
      <c r="L404" s="43" t="str">
        <f>IFERROR(ABS(G404/VLOOKUP(2*$B404,$B405:G438,6,TRUE)),"--")</f>
        <v>--</v>
      </c>
      <c r="M404" s="38">
        <f>IF(AND(1+$Q$6&gt;H404,1-$Q$6&lt;H404,1+$Q$6&gt;I404,1-$Q$6&lt;I404,1+$Q$6&gt;J404,1-$Q$6&lt;J404,1+$Q$6&gt;K404,1-$Q$6&lt;K404,1+$Q$6&gt;L404,1-$Q$6&lt;L404),IF(SUM($M$2:M403)=0,1,0),0)</f>
        <v>0</v>
      </c>
      <c r="N404" s="38">
        <f>IF(AND(1+$Q$7&gt;H404,1-$Q$7&lt;H404,1+$Q$7&gt;I404,1-$Q$7&lt;I404,1+$Q$7&gt;J404,1-$Q$7&lt;J404,1+$Q$7&gt;K404,1-$Q$7&lt;K404,1+$Q$7&gt;L404,1-$Q$7&lt;L404),IF(SUM($N$2:N403)=0,1,0),0)</f>
        <v>0</v>
      </c>
      <c r="O404" s="34">
        <f t="shared" si="6"/>
        <v>0</v>
      </c>
    </row>
    <row r="405" spans="8:15" ht="20.100000000000001" customHeight="1" x14ac:dyDescent="0.25">
      <c r="H405" s="43" t="str">
        <f>IFERROR(ABS(C405/VLOOKUP(2*$B405,$B406:C439,2,TRUE)),"--")</f>
        <v>--</v>
      </c>
      <c r="I405" s="43" t="str">
        <f>IFERROR(ABS(D405/VLOOKUP(2*$B405,$B406:D439,3,TRUE)),"--")</f>
        <v>--</v>
      </c>
      <c r="J405" s="43" t="str">
        <f>IFERROR(ABS(E405/VLOOKUP(2*$B405,$B406:E439,4,TRUE)),"--")</f>
        <v>--</v>
      </c>
      <c r="K405" s="43" t="str">
        <f>IFERROR(ABS(F405/VLOOKUP(2*$B405,$B406:F439,5,TRUE)),"--")</f>
        <v>--</v>
      </c>
      <c r="L405" s="43" t="str">
        <f>IFERROR(ABS(G405/VLOOKUP(2*$B405,$B406:G439,6,TRUE)),"--")</f>
        <v>--</v>
      </c>
      <c r="M405" s="38">
        <f>IF(AND(1+$Q$6&gt;H405,1-$Q$6&lt;H405,1+$Q$6&gt;I405,1-$Q$6&lt;I405,1+$Q$6&gt;J405,1-$Q$6&lt;J405,1+$Q$6&gt;K405,1-$Q$6&lt;K405,1+$Q$6&gt;L405,1-$Q$6&lt;L405),IF(SUM($M$2:M404)=0,1,0),0)</f>
        <v>0</v>
      </c>
      <c r="N405" s="38">
        <f>IF(AND(1+$Q$7&gt;H405,1-$Q$7&lt;H405,1+$Q$7&gt;I405,1-$Q$7&lt;I405,1+$Q$7&gt;J405,1-$Q$7&lt;J405,1+$Q$7&gt;K405,1-$Q$7&lt;K405,1+$Q$7&gt;L405,1-$Q$7&lt;L405),IF(SUM($N$2:N404)=0,1,0),0)</f>
        <v>0</v>
      </c>
      <c r="O405" s="34">
        <f t="shared" si="6"/>
        <v>0</v>
      </c>
    </row>
    <row r="406" spans="8:15" ht="20.100000000000001" customHeight="1" x14ac:dyDescent="0.25">
      <c r="H406" s="43" t="str">
        <f>IFERROR(ABS(C406/VLOOKUP(2*$B406,$B407:C440,2,TRUE)),"--")</f>
        <v>--</v>
      </c>
      <c r="I406" s="43" t="str">
        <f>IFERROR(ABS(D406/VLOOKUP(2*$B406,$B407:D440,3,TRUE)),"--")</f>
        <v>--</v>
      </c>
      <c r="J406" s="43" t="str">
        <f>IFERROR(ABS(E406/VLOOKUP(2*$B406,$B407:E440,4,TRUE)),"--")</f>
        <v>--</v>
      </c>
      <c r="K406" s="43" t="str">
        <f>IFERROR(ABS(F406/VLOOKUP(2*$B406,$B407:F440,5,TRUE)),"--")</f>
        <v>--</v>
      </c>
      <c r="L406" s="43" t="str">
        <f>IFERROR(ABS(G406/VLOOKUP(2*$B406,$B407:G440,6,TRUE)),"--")</f>
        <v>--</v>
      </c>
      <c r="M406" s="38">
        <f>IF(AND(1+$Q$6&gt;H406,1-$Q$6&lt;H406,1+$Q$6&gt;I406,1-$Q$6&lt;I406,1+$Q$6&gt;J406,1-$Q$6&lt;J406,1+$Q$6&gt;K406,1-$Q$6&lt;K406,1+$Q$6&gt;L406,1-$Q$6&lt;L406),IF(SUM($M$2:M405)=0,1,0),0)</f>
        <v>0</v>
      </c>
      <c r="N406" s="38">
        <f>IF(AND(1+$Q$7&gt;H406,1-$Q$7&lt;H406,1+$Q$7&gt;I406,1-$Q$7&lt;I406,1+$Q$7&gt;J406,1-$Q$7&lt;J406,1+$Q$7&gt;K406,1-$Q$7&lt;K406,1+$Q$7&gt;L406,1-$Q$7&lt;L406),IF(SUM($N$2:N405)=0,1,0),0)</f>
        <v>0</v>
      </c>
      <c r="O406" s="34">
        <f t="shared" si="6"/>
        <v>0</v>
      </c>
    </row>
    <row r="407" spans="8:15" ht="20.100000000000001" customHeight="1" x14ac:dyDescent="0.25">
      <c r="H407" s="43" t="str">
        <f>IFERROR(ABS(C407/VLOOKUP(2*$B407,$B408:C441,2,TRUE)),"--")</f>
        <v>--</v>
      </c>
      <c r="I407" s="43" t="str">
        <f>IFERROR(ABS(D407/VLOOKUP(2*$B407,$B408:D441,3,TRUE)),"--")</f>
        <v>--</v>
      </c>
      <c r="J407" s="43" t="str">
        <f>IFERROR(ABS(E407/VLOOKUP(2*$B407,$B408:E441,4,TRUE)),"--")</f>
        <v>--</v>
      </c>
      <c r="K407" s="43" t="str">
        <f>IFERROR(ABS(F407/VLOOKUP(2*$B407,$B408:F441,5,TRUE)),"--")</f>
        <v>--</v>
      </c>
      <c r="L407" s="43" t="str">
        <f>IFERROR(ABS(G407/VLOOKUP(2*$B407,$B408:G441,6,TRUE)),"--")</f>
        <v>--</v>
      </c>
      <c r="M407" s="38">
        <f>IF(AND(1+$Q$6&gt;H407,1-$Q$6&lt;H407,1+$Q$6&gt;I407,1-$Q$6&lt;I407,1+$Q$6&gt;J407,1-$Q$6&lt;J407,1+$Q$6&gt;K407,1-$Q$6&lt;K407,1+$Q$6&gt;L407,1-$Q$6&lt;L407),IF(SUM($M$2:M406)=0,1,0),0)</f>
        <v>0</v>
      </c>
      <c r="N407" s="38">
        <f>IF(AND(1+$Q$7&gt;H407,1-$Q$7&lt;H407,1+$Q$7&gt;I407,1-$Q$7&lt;I407,1+$Q$7&gt;J407,1-$Q$7&lt;J407,1+$Q$7&gt;K407,1-$Q$7&lt;K407,1+$Q$7&gt;L407,1-$Q$7&lt;L407),IF(SUM($N$2:N406)=0,1,0),0)</f>
        <v>0</v>
      </c>
      <c r="O407" s="34">
        <f t="shared" si="6"/>
        <v>0</v>
      </c>
    </row>
    <row r="408" spans="8:15" ht="20.100000000000001" customHeight="1" x14ac:dyDescent="0.25">
      <c r="H408" s="43" t="str">
        <f>IFERROR(ABS(C408/VLOOKUP(2*$B408,$B409:C442,2,TRUE)),"--")</f>
        <v>--</v>
      </c>
      <c r="I408" s="43" t="str">
        <f>IFERROR(ABS(D408/VLOOKUP(2*$B408,$B409:D442,3,TRUE)),"--")</f>
        <v>--</v>
      </c>
      <c r="J408" s="43" t="str">
        <f>IFERROR(ABS(E408/VLOOKUP(2*$B408,$B409:E442,4,TRUE)),"--")</f>
        <v>--</v>
      </c>
      <c r="K408" s="43" t="str">
        <f>IFERROR(ABS(F408/VLOOKUP(2*$B408,$B409:F442,5,TRUE)),"--")</f>
        <v>--</v>
      </c>
      <c r="L408" s="43" t="str">
        <f>IFERROR(ABS(G408/VLOOKUP(2*$B408,$B409:G442,6,TRUE)),"--")</f>
        <v>--</v>
      </c>
      <c r="M408" s="38">
        <f>IF(AND(1+$Q$6&gt;H408,1-$Q$6&lt;H408,1+$Q$6&gt;I408,1-$Q$6&lt;I408,1+$Q$6&gt;J408,1-$Q$6&lt;J408,1+$Q$6&gt;K408,1-$Q$6&lt;K408,1+$Q$6&gt;L408,1-$Q$6&lt;L408),IF(SUM($M$2:M407)=0,1,0),0)</f>
        <v>0</v>
      </c>
      <c r="N408" s="38">
        <f>IF(AND(1+$Q$7&gt;H408,1-$Q$7&lt;H408,1+$Q$7&gt;I408,1-$Q$7&lt;I408,1+$Q$7&gt;J408,1-$Q$7&lt;J408,1+$Q$7&gt;K408,1-$Q$7&lt;K408,1+$Q$7&gt;L408,1-$Q$7&lt;L408),IF(SUM($N$2:N407)=0,1,0),0)</f>
        <v>0</v>
      </c>
      <c r="O408" s="34">
        <f t="shared" si="6"/>
        <v>0</v>
      </c>
    </row>
    <row r="409" spans="8:15" ht="20.100000000000001" customHeight="1" x14ac:dyDescent="0.25">
      <c r="H409" s="43" t="str">
        <f>IFERROR(ABS(C409/VLOOKUP(2*$B409,$B410:C443,2,TRUE)),"--")</f>
        <v>--</v>
      </c>
      <c r="I409" s="43" t="str">
        <f>IFERROR(ABS(D409/VLOOKUP(2*$B409,$B410:D443,3,TRUE)),"--")</f>
        <v>--</v>
      </c>
      <c r="J409" s="43" t="str">
        <f>IFERROR(ABS(E409/VLOOKUP(2*$B409,$B410:E443,4,TRUE)),"--")</f>
        <v>--</v>
      </c>
      <c r="K409" s="43" t="str">
        <f>IFERROR(ABS(F409/VLOOKUP(2*$B409,$B410:F443,5,TRUE)),"--")</f>
        <v>--</v>
      </c>
      <c r="L409" s="43" t="str">
        <f>IFERROR(ABS(G409/VLOOKUP(2*$B409,$B410:G443,6,TRUE)),"--")</f>
        <v>--</v>
      </c>
      <c r="M409" s="38">
        <f>IF(AND(1+$Q$6&gt;H409,1-$Q$6&lt;H409,1+$Q$6&gt;I409,1-$Q$6&lt;I409,1+$Q$6&gt;J409,1-$Q$6&lt;J409,1+$Q$6&gt;K409,1-$Q$6&lt;K409,1+$Q$6&gt;L409,1-$Q$6&lt;L409),IF(SUM($M$2:M408)=0,1,0),0)</f>
        <v>0</v>
      </c>
      <c r="N409" s="38">
        <f>IF(AND(1+$Q$7&gt;H409,1-$Q$7&lt;H409,1+$Q$7&gt;I409,1-$Q$7&lt;I409,1+$Q$7&gt;J409,1-$Q$7&lt;J409,1+$Q$7&gt;K409,1-$Q$7&lt;K409,1+$Q$7&gt;L409,1-$Q$7&lt;L409),IF(SUM($N$2:N408)=0,1,0),0)</f>
        <v>0</v>
      </c>
      <c r="O409" s="34">
        <f t="shared" si="6"/>
        <v>0</v>
      </c>
    </row>
    <row r="410" spans="8:15" ht="20.100000000000001" customHeight="1" x14ac:dyDescent="0.25">
      <c r="H410" s="43" t="str">
        <f>IFERROR(ABS(C410/VLOOKUP(2*$B410,$B411:C444,2,TRUE)),"--")</f>
        <v>--</v>
      </c>
      <c r="I410" s="43" t="str">
        <f>IFERROR(ABS(D410/VLOOKUP(2*$B410,$B411:D444,3,TRUE)),"--")</f>
        <v>--</v>
      </c>
      <c r="J410" s="43" t="str">
        <f>IFERROR(ABS(E410/VLOOKUP(2*$B410,$B411:E444,4,TRUE)),"--")</f>
        <v>--</v>
      </c>
      <c r="K410" s="43" t="str">
        <f>IFERROR(ABS(F410/VLOOKUP(2*$B410,$B411:F444,5,TRUE)),"--")</f>
        <v>--</v>
      </c>
      <c r="L410" s="43" t="str">
        <f>IFERROR(ABS(G410/VLOOKUP(2*$B410,$B411:G444,6,TRUE)),"--")</f>
        <v>--</v>
      </c>
      <c r="M410" s="38">
        <f>IF(AND(1+$Q$6&gt;H410,1-$Q$6&lt;H410,1+$Q$6&gt;I410,1-$Q$6&lt;I410,1+$Q$6&gt;J410,1-$Q$6&lt;J410,1+$Q$6&gt;K410,1-$Q$6&lt;K410,1+$Q$6&gt;L410,1-$Q$6&lt;L410),IF(SUM($M$2:M409)=0,1,0),0)</f>
        <v>0</v>
      </c>
      <c r="N410" s="38">
        <f>IF(AND(1+$Q$7&gt;H410,1-$Q$7&lt;H410,1+$Q$7&gt;I410,1-$Q$7&lt;I410,1+$Q$7&gt;J410,1-$Q$7&lt;J410,1+$Q$7&gt;K410,1-$Q$7&lt;K410,1+$Q$7&gt;L410,1-$Q$7&lt;L410),IF(SUM($N$2:N409)=0,1,0),0)</f>
        <v>0</v>
      </c>
      <c r="O410" s="34">
        <f t="shared" si="6"/>
        <v>0</v>
      </c>
    </row>
    <row r="411" spans="8:15" ht="20.100000000000001" customHeight="1" x14ac:dyDescent="0.25">
      <c r="H411" s="43" t="str">
        <f>IFERROR(ABS(C411/VLOOKUP(2*$B411,$B412:C445,2,TRUE)),"--")</f>
        <v>--</v>
      </c>
      <c r="I411" s="43" t="str">
        <f>IFERROR(ABS(D411/VLOOKUP(2*$B411,$B412:D445,3,TRUE)),"--")</f>
        <v>--</v>
      </c>
      <c r="J411" s="43" t="str">
        <f>IFERROR(ABS(E411/VLOOKUP(2*$B411,$B412:E445,4,TRUE)),"--")</f>
        <v>--</v>
      </c>
      <c r="K411" s="43" t="str">
        <f>IFERROR(ABS(F411/VLOOKUP(2*$B411,$B412:F445,5,TRUE)),"--")</f>
        <v>--</v>
      </c>
      <c r="L411" s="43" t="str">
        <f>IFERROR(ABS(G411/VLOOKUP(2*$B411,$B412:G445,6,TRUE)),"--")</f>
        <v>--</v>
      </c>
      <c r="M411" s="38">
        <f>IF(AND(1+$Q$6&gt;H411,1-$Q$6&lt;H411,1+$Q$6&gt;I411,1-$Q$6&lt;I411,1+$Q$6&gt;J411,1-$Q$6&lt;J411,1+$Q$6&gt;K411,1-$Q$6&lt;K411,1+$Q$6&gt;L411,1-$Q$6&lt;L411),IF(SUM($M$2:M410)=0,1,0),0)</f>
        <v>0</v>
      </c>
      <c r="N411" s="38">
        <f>IF(AND(1+$Q$7&gt;H411,1-$Q$7&lt;H411,1+$Q$7&gt;I411,1-$Q$7&lt;I411,1+$Q$7&gt;J411,1-$Q$7&lt;J411,1+$Q$7&gt;K411,1-$Q$7&lt;K411,1+$Q$7&gt;L411,1-$Q$7&lt;L411),IF(SUM($N$2:N410)=0,1,0),0)</f>
        <v>0</v>
      </c>
      <c r="O411" s="34">
        <f t="shared" si="6"/>
        <v>0</v>
      </c>
    </row>
    <row r="412" spans="8:15" ht="20.100000000000001" customHeight="1" x14ac:dyDescent="0.25">
      <c r="H412" s="43" t="str">
        <f>IFERROR(ABS(C412/VLOOKUP(2*$B412,$B413:C446,2,TRUE)),"--")</f>
        <v>--</v>
      </c>
      <c r="I412" s="43" t="str">
        <f>IFERROR(ABS(D412/VLOOKUP(2*$B412,$B413:D446,3,TRUE)),"--")</f>
        <v>--</v>
      </c>
      <c r="J412" s="43" t="str">
        <f>IFERROR(ABS(E412/VLOOKUP(2*$B412,$B413:E446,4,TRUE)),"--")</f>
        <v>--</v>
      </c>
      <c r="K412" s="43" t="str">
        <f>IFERROR(ABS(F412/VLOOKUP(2*$B412,$B413:F446,5,TRUE)),"--")</f>
        <v>--</v>
      </c>
      <c r="L412" s="43" t="str">
        <f>IFERROR(ABS(G412/VLOOKUP(2*$B412,$B413:G446,6,TRUE)),"--")</f>
        <v>--</v>
      </c>
      <c r="M412" s="38">
        <f>IF(AND(1+$Q$6&gt;H412,1-$Q$6&lt;H412,1+$Q$6&gt;I412,1-$Q$6&lt;I412,1+$Q$6&gt;J412,1-$Q$6&lt;J412,1+$Q$6&gt;K412,1-$Q$6&lt;K412,1+$Q$6&gt;L412,1-$Q$6&lt;L412),IF(SUM($M$2:M411)=0,1,0),0)</f>
        <v>0</v>
      </c>
      <c r="N412" s="38">
        <f>IF(AND(1+$Q$7&gt;H412,1-$Q$7&lt;H412,1+$Q$7&gt;I412,1-$Q$7&lt;I412,1+$Q$7&gt;J412,1-$Q$7&lt;J412,1+$Q$7&gt;K412,1-$Q$7&lt;K412,1+$Q$7&gt;L412,1-$Q$7&lt;L412),IF(SUM($N$2:N411)=0,1,0),0)</f>
        <v>0</v>
      </c>
      <c r="O412" s="34">
        <f t="shared" si="6"/>
        <v>0</v>
      </c>
    </row>
    <row r="413" spans="8:15" ht="20.100000000000001" customHeight="1" x14ac:dyDescent="0.25">
      <c r="H413" s="43" t="str">
        <f>IFERROR(ABS(C413/VLOOKUP(2*$B413,$B414:C447,2,TRUE)),"--")</f>
        <v>--</v>
      </c>
      <c r="I413" s="43" t="str">
        <f>IFERROR(ABS(D413/VLOOKUP(2*$B413,$B414:D447,3,TRUE)),"--")</f>
        <v>--</v>
      </c>
      <c r="J413" s="43" t="str">
        <f>IFERROR(ABS(E413/VLOOKUP(2*$B413,$B414:E447,4,TRUE)),"--")</f>
        <v>--</v>
      </c>
      <c r="K413" s="43" t="str">
        <f>IFERROR(ABS(F413/VLOOKUP(2*$B413,$B414:F447,5,TRUE)),"--")</f>
        <v>--</v>
      </c>
      <c r="L413" s="43" t="str">
        <f>IFERROR(ABS(G413/VLOOKUP(2*$B413,$B414:G447,6,TRUE)),"--")</f>
        <v>--</v>
      </c>
      <c r="M413" s="38">
        <f>IF(AND(1+$Q$6&gt;H413,1-$Q$6&lt;H413,1+$Q$6&gt;I413,1-$Q$6&lt;I413,1+$Q$6&gt;J413,1-$Q$6&lt;J413,1+$Q$6&gt;K413,1-$Q$6&lt;K413,1+$Q$6&gt;L413,1-$Q$6&lt;L413),IF(SUM($M$2:M412)=0,1,0),0)</f>
        <v>0</v>
      </c>
      <c r="N413" s="38">
        <f>IF(AND(1+$Q$7&gt;H413,1-$Q$7&lt;H413,1+$Q$7&gt;I413,1-$Q$7&lt;I413,1+$Q$7&gt;J413,1-$Q$7&lt;J413,1+$Q$7&gt;K413,1-$Q$7&lt;K413,1+$Q$7&gt;L413,1-$Q$7&lt;L413),IF(SUM($N$2:N412)=0,1,0),0)</f>
        <v>0</v>
      </c>
      <c r="O413" s="34">
        <f t="shared" si="6"/>
        <v>0</v>
      </c>
    </row>
    <row r="414" spans="8:15" ht="20.100000000000001" customHeight="1" x14ac:dyDescent="0.25">
      <c r="H414" s="43" t="str">
        <f>IFERROR(ABS(C414/VLOOKUP(2*$B414,$B415:C448,2,TRUE)),"--")</f>
        <v>--</v>
      </c>
      <c r="I414" s="43" t="str">
        <f>IFERROR(ABS(D414/VLOOKUP(2*$B414,$B415:D448,3,TRUE)),"--")</f>
        <v>--</v>
      </c>
      <c r="J414" s="43" t="str">
        <f>IFERROR(ABS(E414/VLOOKUP(2*$B414,$B415:E448,4,TRUE)),"--")</f>
        <v>--</v>
      </c>
      <c r="K414" s="43" t="str">
        <f>IFERROR(ABS(F414/VLOOKUP(2*$B414,$B415:F448,5,TRUE)),"--")</f>
        <v>--</v>
      </c>
      <c r="L414" s="43" t="str">
        <f>IFERROR(ABS(G414/VLOOKUP(2*$B414,$B415:G448,6,TRUE)),"--")</f>
        <v>--</v>
      </c>
      <c r="M414" s="38">
        <f>IF(AND(1+$Q$6&gt;H414,1-$Q$6&lt;H414,1+$Q$6&gt;I414,1-$Q$6&lt;I414,1+$Q$6&gt;J414,1-$Q$6&lt;J414,1+$Q$6&gt;K414,1-$Q$6&lt;K414,1+$Q$6&gt;L414,1-$Q$6&lt;L414),IF(SUM($M$2:M413)=0,1,0),0)</f>
        <v>0</v>
      </c>
      <c r="N414" s="38">
        <f>IF(AND(1+$Q$7&gt;H414,1-$Q$7&lt;H414,1+$Q$7&gt;I414,1-$Q$7&lt;I414,1+$Q$7&gt;J414,1-$Q$7&lt;J414,1+$Q$7&gt;K414,1-$Q$7&lt;K414,1+$Q$7&gt;L414,1-$Q$7&lt;L414),IF(SUM($N$2:N413)=0,1,0),0)</f>
        <v>0</v>
      </c>
      <c r="O414" s="34">
        <f t="shared" si="6"/>
        <v>0</v>
      </c>
    </row>
    <row r="415" spans="8:15" ht="20.100000000000001" customHeight="1" x14ac:dyDescent="0.25">
      <c r="H415" s="43" t="str">
        <f>IFERROR(ABS(C415/VLOOKUP(2*$B415,$B416:C449,2,TRUE)),"--")</f>
        <v>--</v>
      </c>
      <c r="I415" s="43" t="str">
        <f>IFERROR(ABS(D415/VLOOKUP(2*$B415,$B416:D449,3,TRUE)),"--")</f>
        <v>--</v>
      </c>
      <c r="J415" s="43" t="str">
        <f>IFERROR(ABS(E415/VLOOKUP(2*$B415,$B416:E449,4,TRUE)),"--")</f>
        <v>--</v>
      </c>
      <c r="K415" s="43" t="str">
        <f>IFERROR(ABS(F415/VLOOKUP(2*$B415,$B416:F449,5,TRUE)),"--")</f>
        <v>--</v>
      </c>
      <c r="L415" s="43" t="str">
        <f>IFERROR(ABS(G415/VLOOKUP(2*$B415,$B416:G449,6,TRUE)),"--")</f>
        <v>--</v>
      </c>
      <c r="M415" s="38">
        <f>IF(AND(1+$Q$6&gt;H415,1-$Q$6&lt;H415,1+$Q$6&gt;I415,1-$Q$6&lt;I415,1+$Q$6&gt;J415,1-$Q$6&lt;J415,1+$Q$6&gt;K415,1-$Q$6&lt;K415,1+$Q$6&gt;L415,1-$Q$6&lt;L415),IF(SUM($M$2:M414)=0,1,0),0)</f>
        <v>0</v>
      </c>
      <c r="N415" s="38">
        <f>IF(AND(1+$Q$7&gt;H415,1-$Q$7&lt;H415,1+$Q$7&gt;I415,1-$Q$7&lt;I415,1+$Q$7&gt;J415,1-$Q$7&lt;J415,1+$Q$7&gt;K415,1-$Q$7&lt;K415,1+$Q$7&gt;L415,1-$Q$7&lt;L415),IF(SUM($N$2:N414)=0,1,0),0)</f>
        <v>0</v>
      </c>
      <c r="O415" s="34">
        <f t="shared" si="6"/>
        <v>0</v>
      </c>
    </row>
    <row r="416" spans="8:15" ht="20.100000000000001" customHeight="1" x14ac:dyDescent="0.25">
      <c r="H416" s="43" t="str">
        <f>IFERROR(ABS(C416/VLOOKUP(2*$B416,$B417:C450,2,TRUE)),"--")</f>
        <v>--</v>
      </c>
      <c r="I416" s="43" t="str">
        <f>IFERROR(ABS(D416/VLOOKUP(2*$B416,$B417:D450,3,TRUE)),"--")</f>
        <v>--</v>
      </c>
      <c r="J416" s="43" t="str">
        <f>IFERROR(ABS(E416/VLOOKUP(2*$B416,$B417:E450,4,TRUE)),"--")</f>
        <v>--</v>
      </c>
      <c r="K416" s="43" t="str">
        <f>IFERROR(ABS(F416/VLOOKUP(2*$B416,$B417:F450,5,TRUE)),"--")</f>
        <v>--</v>
      </c>
      <c r="L416" s="43" t="str">
        <f>IFERROR(ABS(G416/VLOOKUP(2*$B416,$B417:G450,6,TRUE)),"--")</f>
        <v>--</v>
      </c>
      <c r="M416" s="38">
        <f>IF(AND(1+$Q$6&gt;H416,1-$Q$6&lt;H416,1+$Q$6&gt;I416,1-$Q$6&lt;I416,1+$Q$6&gt;J416,1-$Q$6&lt;J416,1+$Q$6&gt;K416,1-$Q$6&lt;K416,1+$Q$6&gt;L416,1-$Q$6&lt;L416),IF(SUM($M$2:M415)=0,1,0),0)</f>
        <v>0</v>
      </c>
      <c r="N416" s="38">
        <f>IF(AND(1+$Q$7&gt;H416,1-$Q$7&lt;H416,1+$Q$7&gt;I416,1-$Q$7&lt;I416,1+$Q$7&gt;J416,1-$Q$7&lt;J416,1+$Q$7&gt;K416,1-$Q$7&lt;K416,1+$Q$7&gt;L416,1-$Q$7&lt;L416),IF(SUM($N$2:N415)=0,1,0),0)</f>
        <v>0</v>
      </c>
      <c r="O416" s="34">
        <f t="shared" si="6"/>
        <v>0</v>
      </c>
    </row>
    <row r="417" spans="8:15" ht="20.100000000000001" customHeight="1" x14ac:dyDescent="0.25">
      <c r="H417" s="43" t="str">
        <f>IFERROR(ABS(C417/VLOOKUP(2*$B417,$B418:C451,2,TRUE)),"--")</f>
        <v>--</v>
      </c>
      <c r="I417" s="43" t="str">
        <f>IFERROR(ABS(D417/VLOOKUP(2*$B417,$B418:D451,3,TRUE)),"--")</f>
        <v>--</v>
      </c>
      <c r="J417" s="43" t="str">
        <f>IFERROR(ABS(E417/VLOOKUP(2*$B417,$B418:E451,4,TRUE)),"--")</f>
        <v>--</v>
      </c>
      <c r="K417" s="43" t="str">
        <f>IFERROR(ABS(F417/VLOOKUP(2*$B417,$B418:F451,5,TRUE)),"--")</f>
        <v>--</v>
      </c>
      <c r="L417" s="43" t="str">
        <f>IFERROR(ABS(G417/VLOOKUP(2*$B417,$B418:G451,6,TRUE)),"--")</f>
        <v>--</v>
      </c>
      <c r="M417" s="38">
        <f>IF(AND(1+$Q$6&gt;H417,1-$Q$6&lt;H417,1+$Q$6&gt;I417,1-$Q$6&lt;I417,1+$Q$6&gt;J417,1-$Q$6&lt;J417,1+$Q$6&gt;K417,1-$Q$6&lt;K417,1+$Q$6&gt;L417,1-$Q$6&lt;L417),IF(SUM($M$2:M416)=0,1,0),0)</f>
        <v>0</v>
      </c>
      <c r="N417" s="38">
        <f>IF(AND(1+$Q$7&gt;H417,1-$Q$7&lt;H417,1+$Q$7&gt;I417,1-$Q$7&lt;I417,1+$Q$7&gt;J417,1-$Q$7&lt;J417,1+$Q$7&gt;K417,1-$Q$7&lt;K417,1+$Q$7&gt;L417,1-$Q$7&lt;L417),IF(SUM($N$2:N416)=0,1,0),0)</f>
        <v>0</v>
      </c>
      <c r="O417" s="34">
        <f t="shared" si="6"/>
        <v>0</v>
      </c>
    </row>
    <row r="418" spans="8:15" ht="20.100000000000001" customHeight="1" x14ac:dyDescent="0.25">
      <c r="H418" s="43" t="str">
        <f>IFERROR(ABS(C418/VLOOKUP(2*$B418,$B419:C452,2,TRUE)),"--")</f>
        <v>--</v>
      </c>
      <c r="I418" s="43" t="str">
        <f>IFERROR(ABS(D418/VLOOKUP(2*$B418,$B419:D452,3,TRUE)),"--")</f>
        <v>--</v>
      </c>
      <c r="J418" s="43" t="str">
        <f>IFERROR(ABS(E418/VLOOKUP(2*$B418,$B419:E452,4,TRUE)),"--")</f>
        <v>--</v>
      </c>
      <c r="K418" s="43" t="str">
        <f>IFERROR(ABS(F418/VLOOKUP(2*$B418,$B419:F452,5,TRUE)),"--")</f>
        <v>--</v>
      </c>
      <c r="L418" s="43" t="str">
        <f>IFERROR(ABS(G418/VLOOKUP(2*$B418,$B419:G452,6,TRUE)),"--")</f>
        <v>--</v>
      </c>
      <c r="M418" s="38">
        <f>IF(AND(1+$Q$6&gt;H418,1-$Q$6&lt;H418,1+$Q$6&gt;I418,1-$Q$6&lt;I418,1+$Q$6&gt;J418,1-$Q$6&lt;J418,1+$Q$6&gt;K418,1-$Q$6&lt;K418,1+$Q$6&gt;L418,1-$Q$6&lt;L418),IF(SUM($M$2:M417)=0,1,0),0)</f>
        <v>0</v>
      </c>
      <c r="N418" s="38">
        <f>IF(AND(1+$Q$7&gt;H418,1-$Q$7&lt;H418,1+$Q$7&gt;I418,1-$Q$7&lt;I418,1+$Q$7&gt;J418,1-$Q$7&lt;J418,1+$Q$7&gt;K418,1-$Q$7&lt;K418,1+$Q$7&gt;L418,1-$Q$7&lt;L418),IF(SUM($N$2:N417)=0,1,0),0)</f>
        <v>0</v>
      </c>
      <c r="O418" s="34">
        <f t="shared" si="6"/>
        <v>0</v>
      </c>
    </row>
    <row r="419" spans="8:15" ht="20.100000000000001" customHeight="1" x14ac:dyDescent="0.25">
      <c r="H419" s="43" t="str">
        <f>IFERROR(ABS(C419/VLOOKUP(2*$B419,$B420:C453,2,TRUE)),"--")</f>
        <v>--</v>
      </c>
      <c r="I419" s="43" t="str">
        <f>IFERROR(ABS(D419/VLOOKUP(2*$B419,$B420:D453,3,TRUE)),"--")</f>
        <v>--</v>
      </c>
      <c r="J419" s="43" t="str">
        <f>IFERROR(ABS(E419/VLOOKUP(2*$B419,$B420:E453,4,TRUE)),"--")</f>
        <v>--</v>
      </c>
      <c r="K419" s="43" t="str">
        <f>IFERROR(ABS(F419/VLOOKUP(2*$B419,$B420:F453,5,TRUE)),"--")</f>
        <v>--</v>
      </c>
      <c r="L419" s="43" t="str">
        <f>IFERROR(ABS(G419/VLOOKUP(2*$B419,$B420:G453,6,TRUE)),"--")</f>
        <v>--</v>
      </c>
      <c r="M419" s="38">
        <f>IF(AND(1+$Q$6&gt;H419,1-$Q$6&lt;H419,1+$Q$6&gt;I419,1-$Q$6&lt;I419,1+$Q$6&gt;J419,1-$Q$6&lt;J419,1+$Q$6&gt;K419,1-$Q$6&lt;K419,1+$Q$6&gt;L419,1-$Q$6&lt;L419),IF(SUM($M$2:M418)=0,1,0),0)</f>
        <v>0</v>
      </c>
      <c r="N419" s="38">
        <f>IF(AND(1+$Q$7&gt;H419,1-$Q$7&lt;H419,1+$Q$7&gt;I419,1-$Q$7&lt;I419,1+$Q$7&gt;J419,1-$Q$7&lt;J419,1+$Q$7&gt;K419,1-$Q$7&lt;K419,1+$Q$7&gt;L419,1-$Q$7&lt;L419),IF(SUM($N$2:N418)=0,1,0),0)</f>
        <v>0</v>
      </c>
      <c r="O419" s="34">
        <f t="shared" si="6"/>
        <v>0</v>
      </c>
    </row>
    <row r="420" spans="8:15" ht="20.100000000000001" customHeight="1" x14ac:dyDescent="0.25">
      <c r="H420" s="43" t="str">
        <f>IFERROR(ABS(C420/VLOOKUP(2*$B420,$B421:C454,2,TRUE)),"--")</f>
        <v>--</v>
      </c>
      <c r="I420" s="43" t="str">
        <f>IFERROR(ABS(D420/VLOOKUP(2*$B420,$B421:D454,3,TRUE)),"--")</f>
        <v>--</v>
      </c>
      <c r="J420" s="43" t="str">
        <f>IFERROR(ABS(E420/VLOOKUP(2*$B420,$B421:E454,4,TRUE)),"--")</f>
        <v>--</v>
      </c>
      <c r="K420" s="43" t="str">
        <f>IFERROR(ABS(F420/VLOOKUP(2*$B420,$B421:F454,5,TRUE)),"--")</f>
        <v>--</v>
      </c>
      <c r="L420" s="43" t="str">
        <f>IFERROR(ABS(G420/VLOOKUP(2*$B420,$B421:G454,6,TRUE)),"--")</f>
        <v>--</v>
      </c>
      <c r="M420" s="38">
        <f>IF(AND(1+$Q$6&gt;H420,1-$Q$6&lt;H420,1+$Q$6&gt;I420,1-$Q$6&lt;I420,1+$Q$6&gt;J420,1-$Q$6&lt;J420,1+$Q$6&gt;K420,1-$Q$6&lt;K420,1+$Q$6&gt;L420,1-$Q$6&lt;L420),IF(SUM($M$2:M419)=0,1,0),0)</f>
        <v>0</v>
      </c>
      <c r="N420" s="38">
        <f>IF(AND(1+$Q$7&gt;H420,1-$Q$7&lt;H420,1+$Q$7&gt;I420,1-$Q$7&lt;I420,1+$Q$7&gt;J420,1-$Q$7&lt;J420,1+$Q$7&gt;K420,1-$Q$7&lt;K420,1+$Q$7&gt;L420,1-$Q$7&lt;L420),IF(SUM($N$2:N419)=0,1,0),0)</f>
        <v>0</v>
      </c>
      <c r="O420" s="34">
        <f t="shared" si="6"/>
        <v>0</v>
      </c>
    </row>
    <row r="421" spans="8:15" ht="20.100000000000001" customHeight="1" x14ac:dyDescent="0.25">
      <c r="H421" s="43" t="str">
        <f>IFERROR(ABS(C421/VLOOKUP(2*$B421,$B422:C455,2,TRUE)),"--")</f>
        <v>--</v>
      </c>
      <c r="I421" s="43" t="str">
        <f>IFERROR(ABS(D421/VLOOKUP(2*$B421,$B422:D455,3,TRUE)),"--")</f>
        <v>--</v>
      </c>
      <c r="J421" s="43" t="str">
        <f>IFERROR(ABS(E421/VLOOKUP(2*$B421,$B422:E455,4,TRUE)),"--")</f>
        <v>--</v>
      </c>
      <c r="K421" s="43" t="str">
        <f>IFERROR(ABS(F421/VLOOKUP(2*$B421,$B422:F455,5,TRUE)),"--")</f>
        <v>--</v>
      </c>
      <c r="L421" s="43" t="str">
        <f>IFERROR(ABS(G421/VLOOKUP(2*$B421,$B422:G455,6,TRUE)),"--")</f>
        <v>--</v>
      </c>
      <c r="M421" s="38">
        <f>IF(AND(1+$Q$6&gt;H421,1-$Q$6&lt;H421,1+$Q$6&gt;I421,1-$Q$6&lt;I421,1+$Q$6&gt;J421,1-$Q$6&lt;J421,1+$Q$6&gt;K421,1-$Q$6&lt;K421,1+$Q$6&gt;L421,1-$Q$6&lt;L421),IF(SUM($M$2:M420)=0,1,0),0)</f>
        <v>0</v>
      </c>
      <c r="N421" s="38">
        <f>IF(AND(1+$Q$7&gt;H421,1-$Q$7&lt;H421,1+$Q$7&gt;I421,1-$Q$7&lt;I421,1+$Q$7&gt;J421,1-$Q$7&lt;J421,1+$Q$7&gt;K421,1-$Q$7&lt;K421,1+$Q$7&gt;L421,1-$Q$7&lt;L421),IF(SUM($N$2:N420)=0,1,0),0)</f>
        <v>0</v>
      </c>
      <c r="O421" s="34">
        <f t="shared" si="6"/>
        <v>0</v>
      </c>
    </row>
    <row r="422" spans="8:15" ht="20.100000000000001" customHeight="1" x14ac:dyDescent="0.25">
      <c r="H422" s="43" t="str">
        <f>IFERROR(ABS(C422/VLOOKUP(2*$B422,$B423:C456,2,TRUE)),"--")</f>
        <v>--</v>
      </c>
      <c r="I422" s="43" t="str">
        <f>IFERROR(ABS(D422/VLOOKUP(2*$B422,$B423:D456,3,TRUE)),"--")</f>
        <v>--</v>
      </c>
      <c r="J422" s="43" t="str">
        <f>IFERROR(ABS(E422/VLOOKUP(2*$B422,$B423:E456,4,TRUE)),"--")</f>
        <v>--</v>
      </c>
      <c r="K422" s="43" t="str">
        <f>IFERROR(ABS(F422/VLOOKUP(2*$B422,$B423:F456,5,TRUE)),"--")</f>
        <v>--</v>
      </c>
      <c r="L422" s="43" t="str">
        <f>IFERROR(ABS(G422/VLOOKUP(2*$B422,$B423:G456,6,TRUE)),"--")</f>
        <v>--</v>
      </c>
      <c r="M422" s="38">
        <f>IF(AND(1+$Q$6&gt;H422,1-$Q$6&lt;H422,1+$Q$6&gt;I422,1-$Q$6&lt;I422,1+$Q$6&gt;J422,1-$Q$6&lt;J422,1+$Q$6&gt;K422,1-$Q$6&lt;K422,1+$Q$6&gt;L422,1-$Q$6&lt;L422),IF(SUM($M$2:M421)=0,1,0),0)</f>
        <v>0</v>
      </c>
      <c r="N422" s="38">
        <f>IF(AND(1+$Q$7&gt;H422,1-$Q$7&lt;H422,1+$Q$7&gt;I422,1-$Q$7&lt;I422,1+$Q$7&gt;J422,1-$Q$7&lt;J422,1+$Q$7&gt;K422,1-$Q$7&lt;K422,1+$Q$7&gt;L422,1-$Q$7&lt;L422),IF(SUM($N$2:N421)=0,1,0),0)</f>
        <v>0</v>
      </c>
      <c r="O422" s="34">
        <f t="shared" si="6"/>
        <v>0</v>
      </c>
    </row>
    <row r="423" spans="8:15" ht="20.100000000000001" customHeight="1" x14ac:dyDescent="0.25">
      <c r="H423" s="43" t="str">
        <f>IFERROR(ABS(C423/VLOOKUP(2*$B423,$B424:C457,2,TRUE)),"--")</f>
        <v>--</v>
      </c>
      <c r="I423" s="43" t="str">
        <f>IFERROR(ABS(D423/VLOOKUP(2*$B423,$B424:D457,3,TRUE)),"--")</f>
        <v>--</v>
      </c>
      <c r="J423" s="43" t="str">
        <f>IFERROR(ABS(E423/VLOOKUP(2*$B423,$B424:E457,4,TRUE)),"--")</f>
        <v>--</v>
      </c>
      <c r="K423" s="43" t="str">
        <f>IFERROR(ABS(F423/VLOOKUP(2*$B423,$B424:F457,5,TRUE)),"--")</f>
        <v>--</v>
      </c>
      <c r="L423" s="43" t="str">
        <f>IFERROR(ABS(G423/VLOOKUP(2*$B423,$B424:G457,6,TRUE)),"--")</f>
        <v>--</v>
      </c>
      <c r="M423" s="38">
        <f>IF(AND(1+$Q$6&gt;H423,1-$Q$6&lt;H423,1+$Q$6&gt;I423,1-$Q$6&lt;I423,1+$Q$6&gt;J423,1-$Q$6&lt;J423,1+$Q$6&gt;K423,1-$Q$6&lt;K423,1+$Q$6&gt;L423,1-$Q$6&lt;L423),IF(SUM($M$2:M422)=0,1,0),0)</f>
        <v>0</v>
      </c>
      <c r="N423" s="38">
        <f>IF(AND(1+$Q$7&gt;H423,1-$Q$7&lt;H423,1+$Q$7&gt;I423,1-$Q$7&lt;I423,1+$Q$7&gt;J423,1-$Q$7&lt;J423,1+$Q$7&gt;K423,1-$Q$7&lt;K423,1+$Q$7&gt;L423,1-$Q$7&lt;L423),IF(SUM($N$2:N422)=0,1,0),0)</f>
        <v>0</v>
      </c>
      <c r="O423" s="34">
        <f t="shared" si="6"/>
        <v>0</v>
      </c>
    </row>
    <row r="424" spans="8:15" ht="20.100000000000001" customHeight="1" x14ac:dyDescent="0.25">
      <c r="H424" s="43" t="str">
        <f>IFERROR(ABS(C424/VLOOKUP(2*$B424,$B425:C458,2,TRUE)),"--")</f>
        <v>--</v>
      </c>
      <c r="I424" s="43" t="str">
        <f>IFERROR(ABS(D424/VLOOKUP(2*$B424,$B425:D458,3,TRUE)),"--")</f>
        <v>--</v>
      </c>
      <c r="J424" s="43" t="str">
        <f>IFERROR(ABS(E424/VLOOKUP(2*$B424,$B425:E458,4,TRUE)),"--")</f>
        <v>--</v>
      </c>
      <c r="K424" s="43" t="str">
        <f>IFERROR(ABS(F424/VLOOKUP(2*$B424,$B425:F458,5,TRUE)),"--")</f>
        <v>--</v>
      </c>
      <c r="L424" s="43" t="str">
        <f>IFERROR(ABS(G424/VLOOKUP(2*$B424,$B425:G458,6,TRUE)),"--")</f>
        <v>--</v>
      </c>
      <c r="M424" s="38">
        <f>IF(AND(1+$Q$6&gt;H424,1-$Q$6&lt;H424,1+$Q$6&gt;I424,1-$Q$6&lt;I424,1+$Q$6&gt;J424,1-$Q$6&lt;J424,1+$Q$6&gt;K424,1-$Q$6&lt;K424,1+$Q$6&gt;L424,1-$Q$6&lt;L424),IF(SUM($M$2:M423)=0,1,0),0)</f>
        <v>0</v>
      </c>
      <c r="N424" s="38">
        <f>IF(AND(1+$Q$7&gt;H424,1-$Q$7&lt;H424,1+$Q$7&gt;I424,1-$Q$7&lt;I424,1+$Q$7&gt;J424,1-$Q$7&lt;J424,1+$Q$7&gt;K424,1-$Q$7&lt;K424,1+$Q$7&gt;L424,1-$Q$7&lt;L424),IF(SUM($N$2:N423)=0,1,0),0)</f>
        <v>0</v>
      </c>
      <c r="O424" s="34">
        <f t="shared" si="6"/>
        <v>0</v>
      </c>
    </row>
    <row r="425" spans="8:15" ht="20.100000000000001" customHeight="1" x14ac:dyDescent="0.25">
      <c r="H425" s="43" t="str">
        <f>IFERROR(ABS(C425/VLOOKUP(2*$B425,$B426:C459,2,TRUE)),"--")</f>
        <v>--</v>
      </c>
      <c r="I425" s="43" t="str">
        <f>IFERROR(ABS(D425/VLOOKUP(2*$B425,$B426:D459,3,TRUE)),"--")</f>
        <v>--</v>
      </c>
      <c r="J425" s="43" t="str">
        <f>IFERROR(ABS(E425/VLOOKUP(2*$B425,$B426:E459,4,TRUE)),"--")</f>
        <v>--</v>
      </c>
      <c r="K425" s="43" t="str">
        <f>IFERROR(ABS(F425/VLOOKUP(2*$B425,$B426:F459,5,TRUE)),"--")</f>
        <v>--</v>
      </c>
      <c r="L425" s="43" t="str">
        <f>IFERROR(ABS(G425/VLOOKUP(2*$B425,$B426:G459,6,TRUE)),"--")</f>
        <v>--</v>
      </c>
      <c r="M425" s="38">
        <f>IF(AND(1+$Q$6&gt;H425,1-$Q$6&lt;H425,1+$Q$6&gt;I425,1-$Q$6&lt;I425,1+$Q$6&gt;J425,1-$Q$6&lt;J425,1+$Q$6&gt;K425,1-$Q$6&lt;K425,1+$Q$6&gt;L425,1-$Q$6&lt;L425),IF(SUM($M$2:M424)=0,1,0),0)</f>
        <v>0</v>
      </c>
      <c r="N425" s="38">
        <f>IF(AND(1+$Q$7&gt;H425,1-$Q$7&lt;H425,1+$Q$7&gt;I425,1-$Q$7&lt;I425,1+$Q$7&gt;J425,1-$Q$7&lt;J425,1+$Q$7&gt;K425,1-$Q$7&lt;K425,1+$Q$7&gt;L425,1-$Q$7&lt;L425),IF(SUM($N$2:N424)=0,1,0),0)</f>
        <v>0</v>
      </c>
      <c r="O425" s="34">
        <f t="shared" si="6"/>
        <v>0</v>
      </c>
    </row>
    <row r="426" spans="8:15" ht="20.100000000000001" customHeight="1" x14ac:dyDescent="0.25">
      <c r="H426" s="43" t="str">
        <f>IFERROR(ABS(C426/VLOOKUP(2*$B426,$B427:C460,2,TRUE)),"--")</f>
        <v>--</v>
      </c>
      <c r="I426" s="43" t="str">
        <f>IFERROR(ABS(D426/VLOOKUP(2*$B426,$B427:D460,3,TRUE)),"--")</f>
        <v>--</v>
      </c>
      <c r="J426" s="43" t="str">
        <f>IFERROR(ABS(E426/VLOOKUP(2*$B426,$B427:E460,4,TRUE)),"--")</f>
        <v>--</v>
      </c>
      <c r="K426" s="43" t="str">
        <f>IFERROR(ABS(F426/VLOOKUP(2*$B426,$B427:F460,5,TRUE)),"--")</f>
        <v>--</v>
      </c>
      <c r="L426" s="43" t="str">
        <f>IFERROR(ABS(G426/VLOOKUP(2*$B426,$B427:G460,6,TRUE)),"--")</f>
        <v>--</v>
      </c>
      <c r="M426" s="38">
        <f>IF(AND(1+$Q$6&gt;H426,1-$Q$6&lt;H426,1+$Q$6&gt;I426,1-$Q$6&lt;I426,1+$Q$6&gt;J426,1-$Q$6&lt;J426,1+$Q$6&gt;K426,1-$Q$6&lt;K426,1+$Q$6&gt;L426,1-$Q$6&lt;L426),IF(SUM($M$2:M425)=0,1,0),0)</f>
        <v>0</v>
      </c>
      <c r="N426" s="38">
        <f>IF(AND(1+$Q$7&gt;H426,1-$Q$7&lt;H426,1+$Q$7&gt;I426,1-$Q$7&lt;I426,1+$Q$7&gt;J426,1-$Q$7&lt;J426,1+$Q$7&gt;K426,1-$Q$7&lt;K426,1+$Q$7&gt;L426,1-$Q$7&lt;L426),IF(SUM($N$2:N425)=0,1,0),0)</f>
        <v>0</v>
      </c>
      <c r="O426" s="34">
        <f t="shared" si="6"/>
        <v>0</v>
      </c>
    </row>
    <row r="427" spans="8:15" ht="20.100000000000001" customHeight="1" x14ac:dyDescent="0.25">
      <c r="H427" s="43" t="str">
        <f>IFERROR(ABS(C427/VLOOKUP(2*$B427,$B428:C461,2,TRUE)),"--")</f>
        <v>--</v>
      </c>
      <c r="I427" s="43" t="str">
        <f>IFERROR(ABS(D427/VLOOKUP(2*$B427,$B428:D461,3,TRUE)),"--")</f>
        <v>--</v>
      </c>
      <c r="J427" s="43" t="str">
        <f>IFERROR(ABS(E427/VLOOKUP(2*$B427,$B428:E461,4,TRUE)),"--")</f>
        <v>--</v>
      </c>
      <c r="K427" s="43" t="str">
        <f>IFERROR(ABS(F427/VLOOKUP(2*$B427,$B428:F461,5,TRUE)),"--")</f>
        <v>--</v>
      </c>
      <c r="L427" s="43" t="str">
        <f>IFERROR(ABS(G427/VLOOKUP(2*$B427,$B428:G461,6,TRUE)),"--")</f>
        <v>--</v>
      </c>
      <c r="M427" s="38">
        <f>IF(AND(1+$Q$6&gt;H427,1-$Q$6&lt;H427,1+$Q$6&gt;I427,1-$Q$6&lt;I427,1+$Q$6&gt;J427,1-$Q$6&lt;J427,1+$Q$6&gt;K427,1-$Q$6&lt;K427,1+$Q$6&gt;L427,1-$Q$6&lt;L427),IF(SUM($M$2:M426)=0,1,0),0)</f>
        <v>0</v>
      </c>
      <c r="N427" s="38">
        <f>IF(AND(1+$Q$7&gt;H427,1-$Q$7&lt;H427,1+$Q$7&gt;I427,1-$Q$7&lt;I427,1+$Q$7&gt;J427,1-$Q$7&lt;J427,1+$Q$7&gt;K427,1-$Q$7&lt;K427,1+$Q$7&gt;L427,1-$Q$7&lt;L427),IF(SUM($N$2:N426)=0,1,0),0)</f>
        <v>0</v>
      </c>
      <c r="O427" s="34">
        <f t="shared" si="6"/>
        <v>0</v>
      </c>
    </row>
    <row r="428" spans="8:15" ht="20.100000000000001" customHeight="1" x14ac:dyDescent="0.25">
      <c r="H428" s="43" t="str">
        <f>IFERROR(ABS(C428/VLOOKUP(2*$B428,$B429:C462,2,TRUE)),"--")</f>
        <v>--</v>
      </c>
      <c r="I428" s="43" t="str">
        <f>IFERROR(ABS(D428/VLOOKUP(2*$B428,$B429:D462,3,TRUE)),"--")</f>
        <v>--</v>
      </c>
      <c r="J428" s="43" t="str">
        <f>IFERROR(ABS(E428/VLOOKUP(2*$B428,$B429:E462,4,TRUE)),"--")</f>
        <v>--</v>
      </c>
      <c r="K428" s="43" t="str">
        <f>IFERROR(ABS(F428/VLOOKUP(2*$B428,$B429:F462,5,TRUE)),"--")</f>
        <v>--</v>
      </c>
      <c r="L428" s="43" t="str">
        <f>IFERROR(ABS(G428/VLOOKUP(2*$B428,$B429:G462,6,TRUE)),"--")</f>
        <v>--</v>
      </c>
      <c r="M428" s="38">
        <f>IF(AND(1+$Q$6&gt;H428,1-$Q$6&lt;H428,1+$Q$6&gt;I428,1-$Q$6&lt;I428,1+$Q$6&gt;J428,1-$Q$6&lt;J428,1+$Q$6&gt;K428,1-$Q$6&lt;K428,1+$Q$6&gt;L428,1-$Q$6&lt;L428),IF(SUM($M$2:M427)=0,1,0),0)</f>
        <v>0</v>
      </c>
      <c r="N428" s="38">
        <f>IF(AND(1+$Q$7&gt;H428,1-$Q$7&lt;H428,1+$Q$7&gt;I428,1-$Q$7&lt;I428,1+$Q$7&gt;J428,1-$Q$7&lt;J428,1+$Q$7&gt;K428,1-$Q$7&lt;K428,1+$Q$7&gt;L428,1-$Q$7&lt;L428),IF(SUM($N$2:N427)=0,1,0),0)</f>
        <v>0</v>
      </c>
      <c r="O428" s="34">
        <f t="shared" si="6"/>
        <v>0</v>
      </c>
    </row>
    <row r="429" spans="8:15" ht="20.100000000000001" customHeight="1" x14ac:dyDescent="0.25">
      <c r="H429" s="43" t="str">
        <f>IFERROR(ABS(C429/VLOOKUP(2*$B429,$B430:C463,2,TRUE)),"--")</f>
        <v>--</v>
      </c>
      <c r="I429" s="43" t="str">
        <f>IFERROR(ABS(D429/VLOOKUP(2*$B429,$B430:D463,3,TRUE)),"--")</f>
        <v>--</v>
      </c>
      <c r="J429" s="43" t="str">
        <f>IFERROR(ABS(E429/VLOOKUP(2*$B429,$B430:E463,4,TRUE)),"--")</f>
        <v>--</v>
      </c>
      <c r="K429" s="43" t="str">
        <f>IFERROR(ABS(F429/VLOOKUP(2*$B429,$B430:F463,5,TRUE)),"--")</f>
        <v>--</v>
      </c>
      <c r="L429" s="43" t="str">
        <f>IFERROR(ABS(G429/VLOOKUP(2*$B429,$B430:G463,6,TRUE)),"--")</f>
        <v>--</v>
      </c>
      <c r="M429" s="38">
        <f>IF(AND(1+$Q$6&gt;H429,1-$Q$6&lt;H429,1+$Q$6&gt;I429,1-$Q$6&lt;I429,1+$Q$6&gt;J429,1-$Q$6&lt;J429,1+$Q$6&gt;K429,1-$Q$6&lt;K429,1+$Q$6&gt;L429,1-$Q$6&lt;L429),IF(SUM($M$2:M428)=0,1,0),0)</f>
        <v>0</v>
      </c>
      <c r="N429" s="38">
        <f>IF(AND(1+$Q$7&gt;H429,1-$Q$7&lt;H429,1+$Q$7&gt;I429,1-$Q$7&lt;I429,1+$Q$7&gt;J429,1-$Q$7&lt;J429,1+$Q$7&gt;K429,1-$Q$7&lt;K429,1+$Q$7&gt;L429,1-$Q$7&lt;L429),IF(SUM($N$2:N428)=0,1,0),0)</f>
        <v>0</v>
      </c>
      <c r="O429" s="34">
        <f t="shared" si="6"/>
        <v>0</v>
      </c>
    </row>
    <row r="430" spans="8:15" ht="20.100000000000001" customHeight="1" x14ac:dyDescent="0.25">
      <c r="H430" s="43" t="str">
        <f>IFERROR(ABS(C430/VLOOKUP(2*$B430,$B431:C464,2,TRUE)),"--")</f>
        <v>--</v>
      </c>
      <c r="I430" s="43" t="str">
        <f>IFERROR(ABS(D430/VLOOKUP(2*$B430,$B431:D464,3,TRUE)),"--")</f>
        <v>--</v>
      </c>
      <c r="J430" s="43" t="str">
        <f>IFERROR(ABS(E430/VLOOKUP(2*$B430,$B431:E464,4,TRUE)),"--")</f>
        <v>--</v>
      </c>
      <c r="K430" s="43" t="str">
        <f>IFERROR(ABS(F430/VLOOKUP(2*$B430,$B431:F464,5,TRUE)),"--")</f>
        <v>--</v>
      </c>
      <c r="L430" s="43" t="str">
        <f>IFERROR(ABS(G430/VLOOKUP(2*$B430,$B431:G464,6,TRUE)),"--")</f>
        <v>--</v>
      </c>
      <c r="M430" s="38">
        <f>IF(AND(1+$Q$6&gt;H430,1-$Q$6&lt;H430,1+$Q$6&gt;I430,1-$Q$6&lt;I430,1+$Q$6&gt;J430,1-$Q$6&lt;J430,1+$Q$6&gt;K430,1-$Q$6&lt;K430,1+$Q$6&gt;L430,1-$Q$6&lt;L430),IF(SUM($M$2:M429)=0,1,0),0)</f>
        <v>0</v>
      </c>
      <c r="N430" s="38">
        <f>IF(AND(1+$Q$7&gt;H430,1-$Q$7&lt;H430,1+$Q$7&gt;I430,1-$Q$7&lt;I430,1+$Q$7&gt;J430,1-$Q$7&lt;J430,1+$Q$7&gt;K430,1-$Q$7&lt;K430,1+$Q$7&gt;L430,1-$Q$7&lt;L430),IF(SUM($N$2:N429)=0,1,0),0)</f>
        <v>0</v>
      </c>
      <c r="O430" s="34">
        <f t="shared" si="6"/>
        <v>0</v>
      </c>
    </row>
    <row r="431" spans="8:15" ht="20.100000000000001" customHeight="1" x14ac:dyDescent="0.25">
      <c r="H431" s="43" t="str">
        <f>IFERROR(ABS(C431/VLOOKUP(2*$B431,$B432:C465,2,TRUE)),"--")</f>
        <v>--</v>
      </c>
      <c r="I431" s="43" t="str">
        <f>IFERROR(ABS(D431/VLOOKUP(2*$B431,$B432:D465,3,TRUE)),"--")</f>
        <v>--</v>
      </c>
      <c r="J431" s="43" t="str">
        <f>IFERROR(ABS(E431/VLOOKUP(2*$B431,$B432:E465,4,TRUE)),"--")</f>
        <v>--</v>
      </c>
      <c r="K431" s="43" t="str">
        <f>IFERROR(ABS(F431/VLOOKUP(2*$B431,$B432:F465,5,TRUE)),"--")</f>
        <v>--</v>
      </c>
      <c r="L431" s="43" t="str">
        <f>IFERROR(ABS(G431/VLOOKUP(2*$B431,$B432:G465,6,TRUE)),"--")</f>
        <v>--</v>
      </c>
      <c r="M431" s="38">
        <f>IF(AND(1+$Q$6&gt;H431,1-$Q$6&lt;H431,1+$Q$6&gt;I431,1-$Q$6&lt;I431,1+$Q$6&gt;J431,1-$Q$6&lt;J431,1+$Q$6&gt;K431,1-$Q$6&lt;K431,1+$Q$6&gt;L431,1-$Q$6&lt;L431),IF(SUM($M$2:M430)=0,1,0),0)</f>
        <v>0</v>
      </c>
      <c r="N431" s="38">
        <f>IF(AND(1+$Q$7&gt;H431,1-$Q$7&lt;H431,1+$Q$7&gt;I431,1-$Q$7&lt;I431,1+$Q$7&gt;J431,1-$Q$7&lt;J431,1+$Q$7&gt;K431,1-$Q$7&lt;K431,1+$Q$7&gt;L431,1-$Q$7&lt;L431),IF(SUM($N$2:N430)=0,1,0),0)</f>
        <v>0</v>
      </c>
      <c r="O431" s="34">
        <f t="shared" si="6"/>
        <v>0</v>
      </c>
    </row>
    <row r="432" spans="8:15" ht="20.100000000000001" customHeight="1" x14ac:dyDescent="0.25">
      <c r="H432" s="43" t="str">
        <f>IFERROR(ABS(C432/VLOOKUP(2*$B432,$B433:C466,2,TRUE)),"--")</f>
        <v>--</v>
      </c>
      <c r="I432" s="43" t="str">
        <f>IFERROR(ABS(D432/VLOOKUP(2*$B432,$B433:D466,3,TRUE)),"--")</f>
        <v>--</v>
      </c>
      <c r="J432" s="43" t="str">
        <f>IFERROR(ABS(E432/VLOOKUP(2*$B432,$B433:E466,4,TRUE)),"--")</f>
        <v>--</v>
      </c>
      <c r="K432" s="43" t="str">
        <f>IFERROR(ABS(F432/VLOOKUP(2*$B432,$B433:F466,5,TRUE)),"--")</f>
        <v>--</v>
      </c>
      <c r="L432" s="43" t="str">
        <f>IFERROR(ABS(G432/VLOOKUP(2*$B432,$B433:G466,6,TRUE)),"--")</f>
        <v>--</v>
      </c>
      <c r="M432" s="38">
        <f>IF(AND(1+$Q$6&gt;H432,1-$Q$6&lt;H432,1+$Q$6&gt;I432,1-$Q$6&lt;I432,1+$Q$6&gt;J432,1-$Q$6&lt;J432,1+$Q$6&gt;K432,1-$Q$6&lt;K432,1+$Q$6&gt;L432,1-$Q$6&lt;L432),IF(SUM($M$2:M431)=0,1,0),0)</f>
        <v>0</v>
      </c>
      <c r="N432" s="38">
        <f>IF(AND(1+$Q$7&gt;H432,1-$Q$7&lt;H432,1+$Q$7&gt;I432,1-$Q$7&lt;I432,1+$Q$7&gt;J432,1-$Q$7&lt;J432,1+$Q$7&gt;K432,1-$Q$7&lt;K432,1+$Q$7&gt;L432,1-$Q$7&lt;L432),IF(SUM($N$2:N431)=0,1,0),0)</f>
        <v>0</v>
      </c>
      <c r="O432" s="34">
        <f t="shared" si="6"/>
        <v>0</v>
      </c>
    </row>
    <row r="433" spans="8:15" ht="20.100000000000001" customHeight="1" x14ac:dyDescent="0.25">
      <c r="H433" s="43" t="str">
        <f>IFERROR(ABS(C433/VLOOKUP(2*$B433,$B434:C467,2,TRUE)),"--")</f>
        <v>--</v>
      </c>
      <c r="I433" s="43" t="str">
        <f>IFERROR(ABS(D433/VLOOKUP(2*$B433,$B434:D467,3,TRUE)),"--")</f>
        <v>--</v>
      </c>
      <c r="J433" s="43" t="str">
        <f>IFERROR(ABS(E433/VLOOKUP(2*$B433,$B434:E467,4,TRUE)),"--")</f>
        <v>--</v>
      </c>
      <c r="K433" s="43" t="str">
        <f>IFERROR(ABS(F433/VLOOKUP(2*$B433,$B434:F467,5,TRUE)),"--")</f>
        <v>--</v>
      </c>
      <c r="L433" s="43" t="str">
        <f>IFERROR(ABS(G433/VLOOKUP(2*$B433,$B434:G467,6,TRUE)),"--")</f>
        <v>--</v>
      </c>
      <c r="M433" s="38">
        <f>IF(AND(1+$Q$6&gt;H433,1-$Q$6&lt;H433,1+$Q$6&gt;I433,1-$Q$6&lt;I433,1+$Q$6&gt;J433,1-$Q$6&lt;J433,1+$Q$6&gt;K433,1-$Q$6&lt;K433,1+$Q$6&gt;L433,1-$Q$6&lt;L433),IF(SUM($M$2:M432)=0,1,0),0)</f>
        <v>0</v>
      </c>
      <c r="N433" s="38">
        <f>IF(AND(1+$Q$7&gt;H433,1-$Q$7&lt;H433,1+$Q$7&gt;I433,1-$Q$7&lt;I433,1+$Q$7&gt;J433,1-$Q$7&lt;J433,1+$Q$7&gt;K433,1-$Q$7&lt;K433,1+$Q$7&gt;L433,1-$Q$7&lt;L433),IF(SUM($N$2:N432)=0,1,0),0)</f>
        <v>0</v>
      </c>
      <c r="O433" s="34">
        <f t="shared" si="6"/>
        <v>0</v>
      </c>
    </row>
    <row r="434" spans="8:15" ht="20.100000000000001" customHeight="1" x14ac:dyDescent="0.25">
      <c r="H434" s="43" t="str">
        <f>IFERROR(ABS(C434/VLOOKUP(2*$B434,$B435:C468,2,TRUE)),"--")</f>
        <v>--</v>
      </c>
      <c r="I434" s="43" t="str">
        <f>IFERROR(ABS(D434/VLOOKUP(2*$B434,$B435:D468,3,TRUE)),"--")</f>
        <v>--</v>
      </c>
      <c r="J434" s="43" t="str">
        <f>IFERROR(ABS(E434/VLOOKUP(2*$B434,$B435:E468,4,TRUE)),"--")</f>
        <v>--</v>
      </c>
      <c r="K434" s="43" t="str">
        <f>IFERROR(ABS(F434/VLOOKUP(2*$B434,$B435:F468,5,TRUE)),"--")</f>
        <v>--</v>
      </c>
      <c r="L434" s="43" t="str">
        <f>IFERROR(ABS(G434/VLOOKUP(2*$B434,$B435:G468,6,TRUE)),"--")</f>
        <v>--</v>
      </c>
      <c r="M434" s="38">
        <f>IF(AND(1+$Q$6&gt;H434,1-$Q$6&lt;H434,1+$Q$6&gt;I434,1-$Q$6&lt;I434,1+$Q$6&gt;J434,1-$Q$6&lt;J434,1+$Q$6&gt;K434,1-$Q$6&lt;K434,1+$Q$6&gt;L434,1-$Q$6&lt;L434),IF(SUM($M$2:M433)=0,1,0),0)</f>
        <v>0</v>
      </c>
      <c r="N434" s="38">
        <f>IF(AND(1+$Q$7&gt;H434,1-$Q$7&lt;H434,1+$Q$7&gt;I434,1-$Q$7&lt;I434,1+$Q$7&gt;J434,1-$Q$7&lt;J434,1+$Q$7&gt;K434,1-$Q$7&lt;K434,1+$Q$7&gt;L434,1-$Q$7&lt;L434),IF(SUM($N$2:N433)=0,1,0),0)</f>
        <v>0</v>
      </c>
      <c r="O434" s="34">
        <f t="shared" si="6"/>
        <v>0</v>
      </c>
    </row>
    <row r="435" spans="8:15" ht="20.100000000000001" customHeight="1" x14ac:dyDescent="0.25">
      <c r="H435" s="43" t="str">
        <f>IFERROR(ABS(C435/VLOOKUP(2*$B435,$B436:C469,2,TRUE)),"--")</f>
        <v>--</v>
      </c>
      <c r="I435" s="43" t="str">
        <f>IFERROR(ABS(D435/VLOOKUP(2*$B435,$B436:D469,3,TRUE)),"--")</f>
        <v>--</v>
      </c>
      <c r="J435" s="43" t="str">
        <f>IFERROR(ABS(E435/VLOOKUP(2*$B435,$B436:E469,4,TRUE)),"--")</f>
        <v>--</v>
      </c>
      <c r="K435" s="43" t="str">
        <f>IFERROR(ABS(F435/VLOOKUP(2*$B435,$B436:F469,5,TRUE)),"--")</f>
        <v>--</v>
      </c>
      <c r="L435" s="43" t="str">
        <f>IFERROR(ABS(G435/VLOOKUP(2*$B435,$B436:G469,6,TRUE)),"--")</f>
        <v>--</v>
      </c>
      <c r="M435" s="38">
        <f>IF(AND(1+$Q$6&gt;H435,1-$Q$6&lt;H435,1+$Q$6&gt;I435,1-$Q$6&lt;I435,1+$Q$6&gt;J435,1-$Q$6&lt;J435,1+$Q$6&gt;K435,1-$Q$6&lt;K435,1+$Q$6&gt;L435,1-$Q$6&lt;L435),IF(SUM($M$2:M434)=0,1,0),0)</f>
        <v>0</v>
      </c>
      <c r="N435" s="38">
        <f>IF(AND(1+$Q$7&gt;H435,1-$Q$7&lt;H435,1+$Q$7&gt;I435,1-$Q$7&lt;I435,1+$Q$7&gt;J435,1-$Q$7&lt;J435,1+$Q$7&gt;K435,1-$Q$7&lt;K435,1+$Q$7&gt;L435,1-$Q$7&lt;L435),IF(SUM($N$2:N434)=0,1,0),0)</f>
        <v>0</v>
      </c>
      <c r="O435" s="34">
        <f t="shared" si="6"/>
        <v>0</v>
      </c>
    </row>
    <row r="436" spans="8:15" ht="20.100000000000001" customHeight="1" x14ac:dyDescent="0.25">
      <c r="H436" s="43" t="str">
        <f>IFERROR(ABS(C436/VLOOKUP(2*$B436,$B437:C470,2,TRUE)),"--")</f>
        <v>--</v>
      </c>
      <c r="I436" s="43" t="str">
        <f>IFERROR(ABS(D436/VLOOKUP(2*$B436,$B437:D470,3,TRUE)),"--")</f>
        <v>--</v>
      </c>
      <c r="J436" s="43" t="str">
        <f>IFERROR(ABS(E436/VLOOKUP(2*$B436,$B437:E470,4,TRUE)),"--")</f>
        <v>--</v>
      </c>
      <c r="K436" s="43" t="str">
        <f>IFERROR(ABS(F436/VLOOKUP(2*$B436,$B437:F470,5,TRUE)),"--")</f>
        <v>--</v>
      </c>
      <c r="L436" s="43" t="str">
        <f>IFERROR(ABS(G436/VLOOKUP(2*$B436,$B437:G470,6,TRUE)),"--")</f>
        <v>--</v>
      </c>
      <c r="M436" s="38">
        <f>IF(AND(1+$Q$6&gt;H436,1-$Q$6&lt;H436,1+$Q$6&gt;I436,1-$Q$6&lt;I436,1+$Q$6&gt;J436,1-$Q$6&lt;J436,1+$Q$6&gt;K436,1-$Q$6&lt;K436,1+$Q$6&gt;L436,1-$Q$6&lt;L436),IF(SUM($M$2:M435)=0,1,0),0)</f>
        <v>0</v>
      </c>
      <c r="N436" s="38">
        <f>IF(AND(1+$Q$7&gt;H436,1-$Q$7&lt;H436,1+$Q$7&gt;I436,1-$Q$7&lt;I436,1+$Q$7&gt;J436,1-$Q$7&lt;J436,1+$Q$7&gt;K436,1-$Q$7&lt;K436,1+$Q$7&gt;L436,1-$Q$7&lt;L436),IF(SUM($N$2:N435)=0,1,0),0)</f>
        <v>0</v>
      </c>
      <c r="O436" s="34">
        <f t="shared" si="6"/>
        <v>0</v>
      </c>
    </row>
    <row r="437" spans="8:15" ht="20.100000000000001" customHeight="1" x14ac:dyDescent="0.25">
      <c r="H437" s="43" t="str">
        <f>IFERROR(ABS(C437/VLOOKUP(2*$B437,$B438:C471,2,TRUE)),"--")</f>
        <v>--</v>
      </c>
      <c r="I437" s="43" t="str">
        <f>IFERROR(ABS(D437/VLOOKUP(2*$B437,$B438:D471,3,TRUE)),"--")</f>
        <v>--</v>
      </c>
      <c r="J437" s="43" t="str">
        <f>IFERROR(ABS(E437/VLOOKUP(2*$B437,$B438:E471,4,TRUE)),"--")</f>
        <v>--</v>
      </c>
      <c r="K437" s="43" t="str">
        <f>IFERROR(ABS(F437/VLOOKUP(2*$B437,$B438:F471,5,TRUE)),"--")</f>
        <v>--</v>
      </c>
      <c r="L437" s="43" t="str">
        <f>IFERROR(ABS(G437/VLOOKUP(2*$B437,$B438:G471,6,TRUE)),"--")</f>
        <v>--</v>
      </c>
      <c r="M437" s="38">
        <f>IF(AND(1+$Q$6&gt;H437,1-$Q$6&lt;H437,1+$Q$6&gt;I437,1-$Q$6&lt;I437,1+$Q$6&gt;J437,1-$Q$6&lt;J437,1+$Q$6&gt;K437,1-$Q$6&lt;K437,1+$Q$6&gt;L437,1-$Q$6&lt;L437),IF(SUM($M$2:M436)=0,1,0),0)</f>
        <v>0</v>
      </c>
      <c r="N437" s="38">
        <f>IF(AND(1+$Q$7&gt;H437,1-$Q$7&lt;H437,1+$Q$7&gt;I437,1-$Q$7&lt;I437,1+$Q$7&gt;J437,1-$Q$7&lt;J437,1+$Q$7&gt;K437,1-$Q$7&lt;K437,1+$Q$7&gt;L437,1-$Q$7&lt;L437),IF(SUM($N$2:N436)=0,1,0),0)</f>
        <v>0</v>
      </c>
      <c r="O437" s="34">
        <f t="shared" si="6"/>
        <v>0</v>
      </c>
    </row>
    <row r="438" spans="8:15" ht="20.100000000000001" customHeight="1" x14ac:dyDescent="0.25">
      <c r="H438" s="43" t="str">
        <f>IFERROR(ABS(C438/VLOOKUP(2*$B438,$B439:C472,2,TRUE)),"--")</f>
        <v>--</v>
      </c>
      <c r="I438" s="43" t="str">
        <f>IFERROR(ABS(D438/VLOOKUP(2*$B438,$B439:D472,3,TRUE)),"--")</f>
        <v>--</v>
      </c>
      <c r="J438" s="43" t="str">
        <f>IFERROR(ABS(E438/VLOOKUP(2*$B438,$B439:E472,4,TRUE)),"--")</f>
        <v>--</v>
      </c>
      <c r="K438" s="43" t="str">
        <f>IFERROR(ABS(F438/VLOOKUP(2*$B438,$B439:F472,5,TRUE)),"--")</f>
        <v>--</v>
      </c>
      <c r="L438" s="43" t="str">
        <f>IFERROR(ABS(G438/VLOOKUP(2*$B438,$B439:G472,6,TRUE)),"--")</f>
        <v>--</v>
      </c>
      <c r="M438" s="38">
        <f>IF(AND(1+$Q$6&gt;H438,1-$Q$6&lt;H438,1+$Q$6&gt;I438,1-$Q$6&lt;I438,1+$Q$6&gt;J438,1-$Q$6&lt;J438,1+$Q$6&gt;K438,1-$Q$6&lt;K438,1+$Q$6&gt;L438,1-$Q$6&lt;L438),IF(SUM($M$2:M437)=0,1,0),0)</f>
        <v>0</v>
      </c>
      <c r="N438" s="38">
        <f>IF(AND(1+$Q$7&gt;H438,1-$Q$7&lt;H438,1+$Q$7&gt;I438,1-$Q$7&lt;I438,1+$Q$7&gt;J438,1-$Q$7&lt;J438,1+$Q$7&gt;K438,1-$Q$7&lt;K438,1+$Q$7&gt;L438,1-$Q$7&lt;L438),IF(SUM($N$2:N437)=0,1,0),0)</f>
        <v>0</v>
      </c>
      <c r="O438" s="34">
        <f t="shared" si="6"/>
        <v>0</v>
      </c>
    </row>
    <row r="439" spans="8:15" ht="20.100000000000001" customHeight="1" x14ac:dyDescent="0.25">
      <c r="H439" s="43" t="str">
        <f>IFERROR(ABS(C439/VLOOKUP(2*$B439,$B440:C473,2,TRUE)),"--")</f>
        <v>--</v>
      </c>
      <c r="I439" s="43" t="str">
        <f>IFERROR(ABS(D439/VLOOKUP(2*$B439,$B440:D473,3,TRUE)),"--")</f>
        <v>--</v>
      </c>
      <c r="J439" s="43" t="str">
        <f>IFERROR(ABS(E439/VLOOKUP(2*$B439,$B440:E473,4,TRUE)),"--")</f>
        <v>--</v>
      </c>
      <c r="K439" s="43" t="str">
        <f>IFERROR(ABS(F439/VLOOKUP(2*$B439,$B440:F473,5,TRUE)),"--")</f>
        <v>--</v>
      </c>
      <c r="L439" s="43" t="str">
        <f>IFERROR(ABS(G439/VLOOKUP(2*$B439,$B440:G473,6,TRUE)),"--")</f>
        <v>--</v>
      </c>
      <c r="M439" s="38">
        <f>IF(AND(1+$Q$6&gt;H439,1-$Q$6&lt;H439,1+$Q$6&gt;I439,1-$Q$6&lt;I439,1+$Q$6&gt;J439,1-$Q$6&lt;J439,1+$Q$6&gt;K439,1-$Q$6&lt;K439,1+$Q$6&gt;L439,1-$Q$6&lt;L439),IF(SUM($M$2:M438)=0,1,0),0)</f>
        <v>0</v>
      </c>
      <c r="N439" s="38">
        <f>IF(AND(1+$Q$7&gt;H439,1-$Q$7&lt;H439,1+$Q$7&gt;I439,1-$Q$7&lt;I439,1+$Q$7&gt;J439,1-$Q$7&lt;J439,1+$Q$7&gt;K439,1-$Q$7&lt;K439,1+$Q$7&gt;L439,1-$Q$7&lt;L439),IF(SUM($N$2:N438)=0,1,0),0)</f>
        <v>0</v>
      </c>
      <c r="O439" s="34">
        <f t="shared" si="6"/>
        <v>0</v>
      </c>
    </row>
    <row r="440" spans="8:15" ht="20.100000000000001" customHeight="1" x14ac:dyDescent="0.25">
      <c r="H440" s="43" t="str">
        <f>IFERROR(ABS(C440/VLOOKUP(2*$B440,$B441:C474,2,TRUE)),"--")</f>
        <v>--</v>
      </c>
      <c r="I440" s="43" t="str">
        <f>IFERROR(ABS(D440/VLOOKUP(2*$B440,$B441:D474,3,TRUE)),"--")</f>
        <v>--</v>
      </c>
      <c r="J440" s="43" t="str">
        <f>IFERROR(ABS(E440/VLOOKUP(2*$B440,$B441:E474,4,TRUE)),"--")</f>
        <v>--</v>
      </c>
      <c r="K440" s="43" t="str">
        <f>IFERROR(ABS(F440/VLOOKUP(2*$B440,$B441:F474,5,TRUE)),"--")</f>
        <v>--</v>
      </c>
      <c r="L440" s="43" t="str">
        <f>IFERROR(ABS(G440/VLOOKUP(2*$B440,$B441:G474,6,TRUE)),"--")</f>
        <v>--</v>
      </c>
      <c r="M440" s="38">
        <f>IF(AND(1+$Q$6&gt;H440,1-$Q$6&lt;H440,1+$Q$6&gt;I440,1-$Q$6&lt;I440,1+$Q$6&gt;J440,1-$Q$6&lt;J440,1+$Q$6&gt;K440,1-$Q$6&lt;K440,1+$Q$6&gt;L440,1-$Q$6&lt;L440),IF(SUM($M$2:M439)=0,1,0),0)</f>
        <v>0</v>
      </c>
      <c r="N440" s="38">
        <f>IF(AND(1+$Q$7&gt;H440,1-$Q$7&lt;H440,1+$Q$7&gt;I440,1-$Q$7&lt;I440,1+$Q$7&gt;J440,1-$Q$7&lt;J440,1+$Q$7&gt;K440,1-$Q$7&lt;K440,1+$Q$7&gt;L440,1-$Q$7&lt;L440),IF(SUM($N$2:N439)=0,1,0),0)</f>
        <v>0</v>
      </c>
      <c r="O440" s="34">
        <f t="shared" si="6"/>
        <v>0</v>
      </c>
    </row>
    <row r="441" spans="8:15" ht="20.100000000000001" customHeight="1" x14ac:dyDescent="0.25">
      <c r="H441" s="43" t="str">
        <f>IFERROR(ABS(C441/VLOOKUP(2*$B441,$B442:C475,2,TRUE)),"--")</f>
        <v>--</v>
      </c>
      <c r="I441" s="43" t="str">
        <f>IFERROR(ABS(D441/VLOOKUP(2*$B441,$B442:D475,3,TRUE)),"--")</f>
        <v>--</v>
      </c>
      <c r="J441" s="43" t="str">
        <f>IFERROR(ABS(E441/VLOOKUP(2*$B441,$B442:E475,4,TRUE)),"--")</f>
        <v>--</v>
      </c>
      <c r="K441" s="43" t="str">
        <f>IFERROR(ABS(F441/VLOOKUP(2*$B441,$B442:F475,5,TRUE)),"--")</f>
        <v>--</v>
      </c>
      <c r="L441" s="43" t="str">
        <f>IFERROR(ABS(G441/VLOOKUP(2*$B441,$B442:G475,6,TRUE)),"--")</f>
        <v>--</v>
      </c>
      <c r="M441" s="38">
        <f>IF(AND(1+$Q$6&gt;H441,1-$Q$6&lt;H441,1+$Q$6&gt;I441,1-$Q$6&lt;I441,1+$Q$6&gt;J441,1-$Q$6&lt;J441,1+$Q$6&gt;K441,1-$Q$6&lt;K441,1+$Q$6&gt;L441,1-$Q$6&lt;L441),IF(SUM($M$2:M440)=0,1,0),0)</f>
        <v>0</v>
      </c>
      <c r="N441" s="38">
        <f>IF(AND(1+$Q$7&gt;H441,1-$Q$7&lt;H441,1+$Q$7&gt;I441,1-$Q$7&lt;I441,1+$Q$7&gt;J441,1-$Q$7&lt;J441,1+$Q$7&gt;K441,1-$Q$7&lt;K441,1+$Q$7&gt;L441,1-$Q$7&lt;L441),IF(SUM($N$2:N440)=0,1,0),0)</f>
        <v>0</v>
      </c>
      <c r="O441" s="34">
        <f t="shared" si="6"/>
        <v>0</v>
      </c>
    </row>
    <row r="442" spans="8:15" ht="20.100000000000001" customHeight="1" x14ac:dyDescent="0.25">
      <c r="H442" s="43" t="str">
        <f>IFERROR(ABS(C442/VLOOKUP(2*$B442,$B443:C476,2,TRUE)),"--")</f>
        <v>--</v>
      </c>
      <c r="I442" s="43" t="str">
        <f>IFERROR(ABS(D442/VLOOKUP(2*$B442,$B443:D476,3,TRUE)),"--")</f>
        <v>--</v>
      </c>
      <c r="J442" s="43" t="str">
        <f>IFERROR(ABS(E442/VLOOKUP(2*$B442,$B443:E476,4,TRUE)),"--")</f>
        <v>--</v>
      </c>
      <c r="K442" s="43" t="str">
        <f>IFERROR(ABS(F442/VLOOKUP(2*$B442,$B443:F476,5,TRUE)),"--")</f>
        <v>--</v>
      </c>
      <c r="L442" s="43" t="str">
        <f>IFERROR(ABS(G442/VLOOKUP(2*$B442,$B443:G476,6,TRUE)),"--")</f>
        <v>--</v>
      </c>
      <c r="M442" s="38">
        <f>IF(AND(1+$Q$6&gt;H442,1-$Q$6&lt;H442,1+$Q$6&gt;I442,1-$Q$6&lt;I442,1+$Q$6&gt;J442,1-$Q$6&lt;J442,1+$Q$6&gt;K442,1-$Q$6&lt;K442,1+$Q$6&gt;L442,1-$Q$6&lt;L442),IF(SUM($M$2:M441)=0,1,0),0)</f>
        <v>0</v>
      </c>
      <c r="N442" s="38">
        <f>IF(AND(1+$Q$7&gt;H442,1-$Q$7&lt;H442,1+$Q$7&gt;I442,1-$Q$7&lt;I442,1+$Q$7&gt;J442,1-$Q$7&lt;J442,1+$Q$7&gt;K442,1-$Q$7&lt;K442,1+$Q$7&gt;L442,1-$Q$7&lt;L442),IF(SUM($N$2:N441)=0,1,0),0)</f>
        <v>0</v>
      </c>
      <c r="O442" s="34">
        <f t="shared" si="6"/>
        <v>0</v>
      </c>
    </row>
    <row r="443" spans="8:15" ht="20.100000000000001" customHeight="1" x14ac:dyDescent="0.25">
      <c r="H443" s="43" t="str">
        <f>IFERROR(ABS(C443/VLOOKUP(2*$B443,$B444:C477,2,TRUE)),"--")</f>
        <v>--</v>
      </c>
      <c r="I443" s="43" t="str">
        <f>IFERROR(ABS(D443/VLOOKUP(2*$B443,$B444:D477,3,TRUE)),"--")</f>
        <v>--</v>
      </c>
      <c r="J443" s="43" t="str">
        <f>IFERROR(ABS(E443/VLOOKUP(2*$B443,$B444:E477,4,TRUE)),"--")</f>
        <v>--</v>
      </c>
      <c r="K443" s="43" t="str">
        <f>IFERROR(ABS(F443/VLOOKUP(2*$B443,$B444:F477,5,TRUE)),"--")</f>
        <v>--</v>
      </c>
      <c r="L443" s="43" t="str">
        <f>IFERROR(ABS(G443/VLOOKUP(2*$B443,$B444:G477,6,TRUE)),"--")</f>
        <v>--</v>
      </c>
      <c r="M443" s="38">
        <f>IF(AND(1+$Q$6&gt;H443,1-$Q$6&lt;H443,1+$Q$6&gt;I443,1-$Q$6&lt;I443,1+$Q$6&gt;J443,1-$Q$6&lt;J443,1+$Q$6&gt;K443,1-$Q$6&lt;K443,1+$Q$6&gt;L443,1-$Q$6&lt;L443),IF(SUM($M$2:M442)=0,1,0),0)</f>
        <v>0</v>
      </c>
      <c r="N443" s="38">
        <f>IF(AND(1+$Q$7&gt;H443,1-$Q$7&lt;H443,1+$Q$7&gt;I443,1-$Q$7&lt;I443,1+$Q$7&gt;J443,1-$Q$7&lt;J443,1+$Q$7&gt;K443,1-$Q$7&lt;K443,1+$Q$7&gt;L443,1-$Q$7&lt;L443),IF(SUM($N$2:N442)=0,1,0),0)</f>
        <v>0</v>
      </c>
      <c r="O443" s="34">
        <f t="shared" si="6"/>
        <v>0</v>
      </c>
    </row>
    <row r="444" spans="8:15" ht="20.100000000000001" customHeight="1" x14ac:dyDescent="0.25">
      <c r="H444" s="43" t="str">
        <f>IFERROR(ABS(C444/VLOOKUP(2*$B444,$B445:C478,2,TRUE)),"--")</f>
        <v>--</v>
      </c>
      <c r="I444" s="43" t="str">
        <f>IFERROR(ABS(D444/VLOOKUP(2*$B444,$B445:D478,3,TRUE)),"--")</f>
        <v>--</v>
      </c>
      <c r="J444" s="43" t="str">
        <f>IFERROR(ABS(E444/VLOOKUP(2*$B444,$B445:E478,4,TRUE)),"--")</f>
        <v>--</v>
      </c>
      <c r="K444" s="43" t="str">
        <f>IFERROR(ABS(F444/VLOOKUP(2*$B444,$B445:F478,5,TRUE)),"--")</f>
        <v>--</v>
      </c>
      <c r="L444" s="43" t="str">
        <f>IFERROR(ABS(G444/VLOOKUP(2*$B444,$B445:G478,6,TRUE)),"--")</f>
        <v>--</v>
      </c>
      <c r="M444" s="38">
        <f>IF(AND(1+$Q$6&gt;H444,1-$Q$6&lt;H444,1+$Q$6&gt;I444,1-$Q$6&lt;I444,1+$Q$6&gt;J444,1-$Q$6&lt;J444,1+$Q$6&gt;K444,1-$Q$6&lt;K444,1+$Q$6&gt;L444,1-$Q$6&lt;L444),IF(SUM($M$2:M443)=0,1,0),0)</f>
        <v>0</v>
      </c>
      <c r="N444" s="38">
        <f>IF(AND(1+$Q$7&gt;H444,1-$Q$7&lt;H444,1+$Q$7&gt;I444,1-$Q$7&lt;I444,1+$Q$7&gt;J444,1-$Q$7&lt;J444,1+$Q$7&gt;K444,1-$Q$7&lt;K444,1+$Q$7&gt;L444,1-$Q$7&lt;L444),IF(SUM($N$2:N443)=0,1,0),0)</f>
        <v>0</v>
      </c>
      <c r="O444" s="34">
        <f t="shared" si="6"/>
        <v>0</v>
      </c>
    </row>
    <row r="445" spans="8:15" ht="20.100000000000001" customHeight="1" x14ac:dyDescent="0.25">
      <c r="H445" s="43" t="str">
        <f>IFERROR(ABS(C445/VLOOKUP(2*$B445,$B446:C479,2,TRUE)),"--")</f>
        <v>--</v>
      </c>
      <c r="I445" s="43" t="str">
        <f>IFERROR(ABS(D445/VLOOKUP(2*$B445,$B446:D479,3,TRUE)),"--")</f>
        <v>--</v>
      </c>
      <c r="J445" s="43" t="str">
        <f>IFERROR(ABS(E445/VLOOKUP(2*$B445,$B446:E479,4,TRUE)),"--")</f>
        <v>--</v>
      </c>
      <c r="K445" s="43" t="str">
        <f>IFERROR(ABS(F445/VLOOKUP(2*$B445,$B446:F479,5,TRUE)),"--")</f>
        <v>--</v>
      </c>
      <c r="L445" s="43" t="str">
        <f>IFERROR(ABS(G445/VLOOKUP(2*$B445,$B446:G479,6,TRUE)),"--")</f>
        <v>--</v>
      </c>
      <c r="M445" s="38">
        <f>IF(AND(1+$Q$6&gt;H445,1-$Q$6&lt;H445,1+$Q$6&gt;I445,1-$Q$6&lt;I445,1+$Q$6&gt;J445,1-$Q$6&lt;J445,1+$Q$6&gt;K445,1-$Q$6&lt;K445,1+$Q$6&gt;L445,1-$Q$6&lt;L445),IF(SUM($M$2:M444)=0,1,0),0)</f>
        <v>0</v>
      </c>
      <c r="N445" s="38">
        <f>IF(AND(1+$Q$7&gt;H445,1-$Q$7&lt;H445,1+$Q$7&gt;I445,1-$Q$7&lt;I445,1+$Q$7&gt;J445,1-$Q$7&lt;J445,1+$Q$7&gt;K445,1-$Q$7&lt;K445,1+$Q$7&gt;L445,1-$Q$7&lt;L445),IF(SUM($N$2:N444)=0,1,0),0)</f>
        <v>0</v>
      </c>
      <c r="O445" s="34">
        <f t="shared" si="6"/>
        <v>0</v>
      </c>
    </row>
    <row r="446" spans="8:15" ht="20.100000000000001" customHeight="1" x14ac:dyDescent="0.25">
      <c r="H446" s="43" t="str">
        <f>IFERROR(ABS(C446/VLOOKUP(2*$B446,$B447:C480,2,TRUE)),"--")</f>
        <v>--</v>
      </c>
      <c r="I446" s="43" t="str">
        <f>IFERROR(ABS(D446/VLOOKUP(2*$B446,$B447:D480,3,TRUE)),"--")</f>
        <v>--</v>
      </c>
      <c r="J446" s="43" t="str">
        <f>IFERROR(ABS(E446/VLOOKUP(2*$B446,$B447:E480,4,TRUE)),"--")</f>
        <v>--</v>
      </c>
      <c r="K446" s="43" t="str">
        <f>IFERROR(ABS(F446/VLOOKUP(2*$B446,$B447:F480,5,TRUE)),"--")</f>
        <v>--</v>
      </c>
      <c r="L446" s="43" t="str">
        <f>IFERROR(ABS(G446/VLOOKUP(2*$B446,$B447:G480,6,TRUE)),"--")</f>
        <v>--</v>
      </c>
      <c r="M446" s="38">
        <f>IF(AND(1+$Q$6&gt;H446,1-$Q$6&lt;H446,1+$Q$6&gt;I446,1-$Q$6&lt;I446,1+$Q$6&gt;J446,1-$Q$6&lt;J446,1+$Q$6&gt;K446,1-$Q$6&lt;K446,1+$Q$6&gt;L446,1-$Q$6&lt;L446),IF(SUM($M$2:M445)=0,1,0),0)</f>
        <v>0</v>
      </c>
      <c r="N446" s="38">
        <f>IF(AND(1+$Q$7&gt;H446,1-$Q$7&lt;H446,1+$Q$7&gt;I446,1-$Q$7&lt;I446,1+$Q$7&gt;J446,1-$Q$7&lt;J446,1+$Q$7&gt;K446,1-$Q$7&lt;K446,1+$Q$7&gt;L446,1-$Q$7&lt;L446),IF(SUM($N$2:N445)=0,1,0),0)</f>
        <v>0</v>
      </c>
      <c r="O446" s="34">
        <f t="shared" si="6"/>
        <v>0</v>
      </c>
    </row>
    <row r="447" spans="8:15" ht="20.100000000000001" customHeight="1" x14ac:dyDescent="0.25">
      <c r="H447" s="43" t="str">
        <f>IFERROR(ABS(C447/VLOOKUP(2*$B447,$B448:C481,2,TRUE)),"--")</f>
        <v>--</v>
      </c>
      <c r="I447" s="43" t="str">
        <f>IFERROR(ABS(D447/VLOOKUP(2*$B447,$B448:D481,3,TRUE)),"--")</f>
        <v>--</v>
      </c>
      <c r="J447" s="43" t="str">
        <f>IFERROR(ABS(E447/VLOOKUP(2*$B447,$B448:E481,4,TRUE)),"--")</f>
        <v>--</v>
      </c>
      <c r="K447" s="43" t="str">
        <f>IFERROR(ABS(F447/VLOOKUP(2*$B447,$B448:F481,5,TRUE)),"--")</f>
        <v>--</v>
      </c>
      <c r="L447" s="43" t="str">
        <f>IFERROR(ABS(G447/VLOOKUP(2*$B447,$B448:G481,6,TRUE)),"--")</f>
        <v>--</v>
      </c>
      <c r="M447" s="38">
        <f>IF(AND(1+$Q$6&gt;H447,1-$Q$6&lt;H447,1+$Q$6&gt;I447,1-$Q$6&lt;I447,1+$Q$6&gt;J447,1-$Q$6&lt;J447,1+$Q$6&gt;K447,1-$Q$6&lt;K447,1+$Q$6&gt;L447,1-$Q$6&lt;L447),IF(SUM($M$2:M446)=0,1,0),0)</f>
        <v>0</v>
      </c>
      <c r="N447" s="38">
        <f>IF(AND(1+$Q$7&gt;H447,1-$Q$7&lt;H447,1+$Q$7&gt;I447,1-$Q$7&lt;I447,1+$Q$7&gt;J447,1-$Q$7&lt;J447,1+$Q$7&gt;K447,1-$Q$7&lt;K447,1+$Q$7&gt;L447,1-$Q$7&lt;L447),IF(SUM($N$2:N446)=0,1,0),0)</f>
        <v>0</v>
      </c>
      <c r="O447" s="34">
        <f t="shared" si="6"/>
        <v>0</v>
      </c>
    </row>
    <row r="448" spans="8:15" ht="20.100000000000001" customHeight="1" x14ac:dyDescent="0.25">
      <c r="H448" s="43" t="str">
        <f>IFERROR(ABS(C448/VLOOKUP(2*$B448,$B449:C482,2,TRUE)),"--")</f>
        <v>--</v>
      </c>
      <c r="I448" s="43" t="str">
        <f>IFERROR(ABS(D448/VLOOKUP(2*$B448,$B449:D482,3,TRUE)),"--")</f>
        <v>--</v>
      </c>
      <c r="J448" s="43" t="str">
        <f>IFERROR(ABS(E448/VLOOKUP(2*$B448,$B449:E482,4,TRUE)),"--")</f>
        <v>--</v>
      </c>
      <c r="K448" s="43" t="str">
        <f>IFERROR(ABS(F448/VLOOKUP(2*$B448,$B449:F482,5,TRUE)),"--")</f>
        <v>--</v>
      </c>
      <c r="L448" s="43" t="str">
        <f>IFERROR(ABS(G448/VLOOKUP(2*$B448,$B449:G482,6,TRUE)),"--")</f>
        <v>--</v>
      </c>
      <c r="M448" s="38">
        <f>IF(AND(1+$Q$6&gt;H448,1-$Q$6&lt;H448,1+$Q$6&gt;I448,1-$Q$6&lt;I448,1+$Q$6&gt;J448,1-$Q$6&lt;J448,1+$Q$6&gt;K448,1-$Q$6&lt;K448,1+$Q$6&gt;L448,1-$Q$6&lt;L448),IF(SUM($M$2:M447)=0,1,0),0)</f>
        <v>0</v>
      </c>
      <c r="N448" s="38">
        <f>IF(AND(1+$Q$7&gt;H448,1-$Q$7&lt;H448,1+$Q$7&gt;I448,1-$Q$7&lt;I448,1+$Q$7&gt;J448,1-$Q$7&lt;J448,1+$Q$7&gt;K448,1-$Q$7&lt;K448,1+$Q$7&gt;L448,1-$Q$7&lt;L448),IF(SUM($N$2:N447)=0,1,0),0)</f>
        <v>0</v>
      </c>
      <c r="O448" s="34">
        <f t="shared" si="6"/>
        <v>0</v>
      </c>
    </row>
    <row r="449" spans="8:15" ht="20.100000000000001" customHeight="1" x14ac:dyDescent="0.25">
      <c r="H449" s="43" t="str">
        <f>IFERROR(ABS(C449/VLOOKUP(2*$B449,$B450:C483,2,TRUE)),"--")</f>
        <v>--</v>
      </c>
      <c r="I449" s="43" t="str">
        <f>IFERROR(ABS(D449/VLOOKUP(2*$B449,$B450:D483,3,TRUE)),"--")</f>
        <v>--</v>
      </c>
      <c r="J449" s="43" t="str">
        <f>IFERROR(ABS(E449/VLOOKUP(2*$B449,$B450:E483,4,TRUE)),"--")</f>
        <v>--</v>
      </c>
      <c r="K449" s="43" t="str">
        <f>IFERROR(ABS(F449/VLOOKUP(2*$B449,$B450:F483,5,TRUE)),"--")</f>
        <v>--</v>
      </c>
      <c r="L449" s="43" t="str">
        <f>IFERROR(ABS(G449/VLOOKUP(2*$B449,$B450:G483,6,TRUE)),"--")</f>
        <v>--</v>
      </c>
      <c r="M449" s="38">
        <f>IF(AND(1+$Q$6&gt;H449,1-$Q$6&lt;H449,1+$Q$6&gt;I449,1-$Q$6&lt;I449,1+$Q$6&gt;J449,1-$Q$6&lt;J449,1+$Q$6&gt;K449,1-$Q$6&lt;K449,1+$Q$6&gt;L449,1-$Q$6&lt;L449),IF(SUM($M$2:M448)=0,1,0),0)</f>
        <v>0</v>
      </c>
      <c r="N449" s="38">
        <f>IF(AND(1+$Q$7&gt;H449,1-$Q$7&lt;H449,1+$Q$7&gt;I449,1-$Q$7&lt;I449,1+$Q$7&gt;J449,1-$Q$7&lt;J449,1+$Q$7&gt;K449,1-$Q$7&lt;K449,1+$Q$7&gt;L449,1-$Q$7&lt;L449),IF(SUM($N$2:N448)=0,1,0),0)</f>
        <v>0</v>
      </c>
      <c r="O449" s="34">
        <f t="shared" si="6"/>
        <v>0</v>
      </c>
    </row>
    <row r="450" spans="8:15" ht="20.100000000000001" customHeight="1" x14ac:dyDescent="0.25">
      <c r="H450" s="43" t="str">
        <f>IFERROR(ABS(C450/VLOOKUP(2*$B450,$B451:C484,2,TRUE)),"--")</f>
        <v>--</v>
      </c>
      <c r="I450" s="43" t="str">
        <f>IFERROR(ABS(D450/VLOOKUP(2*$B450,$B451:D484,3,TRUE)),"--")</f>
        <v>--</v>
      </c>
      <c r="J450" s="43" t="str">
        <f>IFERROR(ABS(E450/VLOOKUP(2*$B450,$B451:E484,4,TRUE)),"--")</f>
        <v>--</v>
      </c>
      <c r="K450" s="43" t="str">
        <f>IFERROR(ABS(F450/VLOOKUP(2*$B450,$B451:F484,5,TRUE)),"--")</f>
        <v>--</v>
      </c>
      <c r="L450" s="43" t="str">
        <f>IFERROR(ABS(G450/VLOOKUP(2*$B450,$B451:G484,6,TRUE)),"--")</f>
        <v>--</v>
      </c>
      <c r="M450" s="38">
        <f>IF(AND(1+$Q$6&gt;H450,1-$Q$6&lt;H450,1+$Q$6&gt;I450,1-$Q$6&lt;I450,1+$Q$6&gt;J450,1-$Q$6&lt;J450,1+$Q$6&gt;K450,1-$Q$6&lt;K450,1+$Q$6&gt;L450,1-$Q$6&lt;L450),IF(SUM($M$2:M449)=0,1,0),0)</f>
        <v>0</v>
      </c>
      <c r="N450" s="38">
        <f>IF(AND(1+$Q$7&gt;H450,1-$Q$7&lt;H450,1+$Q$7&gt;I450,1-$Q$7&lt;I450,1+$Q$7&gt;J450,1-$Q$7&lt;J450,1+$Q$7&gt;K450,1-$Q$7&lt;K450,1+$Q$7&gt;L450,1-$Q$7&lt;L450),IF(SUM($N$2:N449)=0,1,0),0)</f>
        <v>0</v>
      </c>
      <c r="O450" s="34">
        <f t="shared" si="6"/>
        <v>0</v>
      </c>
    </row>
    <row r="451" spans="8:15" ht="20.100000000000001" customHeight="1" x14ac:dyDescent="0.25">
      <c r="H451" s="43" t="str">
        <f>IFERROR(ABS(C451/VLOOKUP(2*$B451,$B452:C485,2,TRUE)),"--")</f>
        <v>--</v>
      </c>
      <c r="I451" s="43" t="str">
        <f>IFERROR(ABS(D451/VLOOKUP(2*$B451,$B452:D485,3,TRUE)),"--")</f>
        <v>--</v>
      </c>
      <c r="J451" s="43" t="str">
        <f>IFERROR(ABS(E451/VLOOKUP(2*$B451,$B452:E485,4,TRUE)),"--")</f>
        <v>--</v>
      </c>
      <c r="K451" s="43" t="str">
        <f>IFERROR(ABS(F451/VLOOKUP(2*$B451,$B452:F485,5,TRUE)),"--")</f>
        <v>--</v>
      </c>
      <c r="L451" s="43" t="str">
        <f>IFERROR(ABS(G451/VLOOKUP(2*$B451,$B452:G485,6,TRUE)),"--")</f>
        <v>--</v>
      </c>
      <c r="M451" s="38">
        <f>IF(AND(1+$Q$6&gt;H451,1-$Q$6&lt;H451,1+$Q$6&gt;I451,1-$Q$6&lt;I451,1+$Q$6&gt;J451,1-$Q$6&lt;J451,1+$Q$6&gt;K451,1-$Q$6&lt;K451,1+$Q$6&gt;L451,1-$Q$6&lt;L451),IF(SUM($M$2:M450)=0,1,0),0)</f>
        <v>0</v>
      </c>
      <c r="N451" s="38">
        <f>IF(AND(1+$Q$7&gt;H451,1-$Q$7&lt;H451,1+$Q$7&gt;I451,1-$Q$7&lt;I451,1+$Q$7&gt;J451,1-$Q$7&lt;J451,1+$Q$7&gt;K451,1-$Q$7&lt;K451,1+$Q$7&gt;L451,1-$Q$7&lt;L451),IF(SUM($N$2:N450)=0,1,0),0)</f>
        <v>0</v>
      </c>
      <c r="O451" s="34">
        <f t="shared" ref="O451:O514" si="7">A451</f>
        <v>0</v>
      </c>
    </row>
    <row r="452" spans="8:15" ht="20.100000000000001" customHeight="1" x14ac:dyDescent="0.25">
      <c r="H452" s="43" t="str">
        <f>IFERROR(ABS(C452/VLOOKUP(2*$B452,$B453:C486,2,TRUE)),"--")</f>
        <v>--</v>
      </c>
      <c r="I452" s="43" t="str">
        <f>IFERROR(ABS(D452/VLOOKUP(2*$B452,$B453:D486,3,TRUE)),"--")</f>
        <v>--</v>
      </c>
      <c r="J452" s="43" t="str">
        <f>IFERROR(ABS(E452/VLOOKUP(2*$B452,$B453:E486,4,TRUE)),"--")</f>
        <v>--</v>
      </c>
      <c r="K452" s="43" t="str">
        <f>IFERROR(ABS(F452/VLOOKUP(2*$B452,$B453:F486,5,TRUE)),"--")</f>
        <v>--</v>
      </c>
      <c r="L452" s="43" t="str">
        <f>IFERROR(ABS(G452/VLOOKUP(2*$B452,$B453:G486,6,TRUE)),"--")</f>
        <v>--</v>
      </c>
      <c r="M452" s="38">
        <f>IF(AND(1+$Q$6&gt;H452,1-$Q$6&lt;H452,1+$Q$6&gt;I452,1-$Q$6&lt;I452,1+$Q$6&gt;J452,1-$Q$6&lt;J452,1+$Q$6&gt;K452,1-$Q$6&lt;K452,1+$Q$6&gt;L452,1-$Q$6&lt;L452),IF(SUM($M$2:M451)=0,1,0),0)</f>
        <v>0</v>
      </c>
      <c r="N452" s="38">
        <f>IF(AND(1+$Q$7&gt;H452,1-$Q$7&lt;H452,1+$Q$7&gt;I452,1-$Q$7&lt;I452,1+$Q$7&gt;J452,1-$Q$7&lt;J452,1+$Q$7&gt;K452,1-$Q$7&lt;K452,1+$Q$7&gt;L452,1-$Q$7&lt;L452),IF(SUM($N$2:N451)=0,1,0),0)</f>
        <v>0</v>
      </c>
      <c r="O452" s="34">
        <f t="shared" si="7"/>
        <v>0</v>
      </c>
    </row>
    <row r="453" spans="8:15" ht="20.100000000000001" customHeight="1" x14ac:dyDescent="0.25">
      <c r="H453" s="43" t="str">
        <f>IFERROR(ABS(C453/VLOOKUP(2*$B453,$B454:C487,2,TRUE)),"--")</f>
        <v>--</v>
      </c>
      <c r="I453" s="43" t="str">
        <f>IFERROR(ABS(D453/VLOOKUP(2*$B453,$B454:D487,3,TRUE)),"--")</f>
        <v>--</v>
      </c>
      <c r="J453" s="43" t="str">
        <f>IFERROR(ABS(E453/VLOOKUP(2*$B453,$B454:E487,4,TRUE)),"--")</f>
        <v>--</v>
      </c>
      <c r="K453" s="43" t="str">
        <f>IFERROR(ABS(F453/VLOOKUP(2*$B453,$B454:F487,5,TRUE)),"--")</f>
        <v>--</v>
      </c>
      <c r="L453" s="43" t="str">
        <f>IFERROR(ABS(G453/VLOOKUP(2*$B453,$B454:G487,6,TRUE)),"--")</f>
        <v>--</v>
      </c>
      <c r="M453" s="38">
        <f>IF(AND(1+$Q$6&gt;H453,1-$Q$6&lt;H453,1+$Q$6&gt;I453,1-$Q$6&lt;I453,1+$Q$6&gt;J453,1-$Q$6&lt;J453,1+$Q$6&gt;K453,1-$Q$6&lt;K453,1+$Q$6&gt;L453,1-$Q$6&lt;L453),IF(SUM($M$2:M452)=0,1,0),0)</f>
        <v>0</v>
      </c>
      <c r="N453" s="38">
        <f>IF(AND(1+$Q$7&gt;H453,1-$Q$7&lt;H453,1+$Q$7&gt;I453,1-$Q$7&lt;I453,1+$Q$7&gt;J453,1-$Q$7&lt;J453,1+$Q$7&gt;K453,1-$Q$7&lt;K453,1+$Q$7&gt;L453,1-$Q$7&lt;L453),IF(SUM($N$2:N452)=0,1,0),0)</f>
        <v>0</v>
      </c>
      <c r="O453" s="34">
        <f t="shared" si="7"/>
        <v>0</v>
      </c>
    </row>
    <row r="454" spans="8:15" ht="20.100000000000001" customHeight="1" x14ac:dyDescent="0.25">
      <c r="H454" s="43" t="str">
        <f>IFERROR(ABS(C454/VLOOKUP(2*$B454,$B455:C488,2,TRUE)),"--")</f>
        <v>--</v>
      </c>
      <c r="I454" s="43" t="str">
        <f>IFERROR(ABS(D454/VLOOKUP(2*$B454,$B455:D488,3,TRUE)),"--")</f>
        <v>--</v>
      </c>
      <c r="J454" s="43" t="str">
        <f>IFERROR(ABS(E454/VLOOKUP(2*$B454,$B455:E488,4,TRUE)),"--")</f>
        <v>--</v>
      </c>
      <c r="K454" s="43" t="str">
        <f>IFERROR(ABS(F454/VLOOKUP(2*$B454,$B455:F488,5,TRUE)),"--")</f>
        <v>--</v>
      </c>
      <c r="L454" s="43" t="str">
        <f>IFERROR(ABS(G454/VLOOKUP(2*$B454,$B455:G488,6,TRUE)),"--")</f>
        <v>--</v>
      </c>
      <c r="M454" s="38">
        <f>IF(AND(1+$Q$6&gt;H454,1-$Q$6&lt;H454,1+$Q$6&gt;I454,1-$Q$6&lt;I454,1+$Q$6&gt;J454,1-$Q$6&lt;J454,1+$Q$6&gt;K454,1-$Q$6&lt;K454,1+$Q$6&gt;L454,1-$Q$6&lt;L454),IF(SUM($M$2:M453)=0,1,0),0)</f>
        <v>0</v>
      </c>
      <c r="N454" s="38">
        <f>IF(AND(1+$Q$7&gt;H454,1-$Q$7&lt;H454,1+$Q$7&gt;I454,1-$Q$7&lt;I454,1+$Q$7&gt;J454,1-$Q$7&lt;J454,1+$Q$7&gt;K454,1-$Q$7&lt;K454,1+$Q$7&gt;L454,1-$Q$7&lt;L454),IF(SUM($N$2:N453)=0,1,0),0)</f>
        <v>0</v>
      </c>
      <c r="O454" s="34">
        <f t="shared" si="7"/>
        <v>0</v>
      </c>
    </row>
    <row r="455" spans="8:15" ht="20.100000000000001" customHeight="1" x14ac:dyDescent="0.25">
      <c r="H455" s="43" t="str">
        <f>IFERROR(ABS(C455/VLOOKUP(2*$B455,$B456:C489,2,TRUE)),"--")</f>
        <v>--</v>
      </c>
      <c r="I455" s="43" t="str">
        <f>IFERROR(ABS(D455/VLOOKUP(2*$B455,$B456:D489,3,TRUE)),"--")</f>
        <v>--</v>
      </c>
      <c r="J455" s="43" t="str">
        <f>IFERROR(ABS(E455/VLOOKUP(2*$B455,$B456:E489,4,TRUE)),"--")</f>
        <v>--</v>
      </c>
      <c r="K455" s="43" t="str">
        <f>IFERROR(ABS(F455/VLOOKUP(2*$B455,$B456:F489,5,TRUE)),"--")</f>
        <v>--</v>
      </c>
      <c r="L455" s="43" t="str">
        <f>IFERROR(ABS(G455/VLOOKUP(2*$B455,$B456:G489,6,TRUE)),"--")</f>
        <v>--</v>
      </c>
      <c r="M455" s="38">
        <f>IF(AND(1+$Q$6&gt;H455,1-$Q$6&lt;H455,1+$Q$6&gt;I455,1-$Q$6&lt;I455,1+$Q$6&gt;J455,1-$Q$6&lt;J455,1+$Q$6&gt;K455,1-$Q$6&lt;K455,1+$Q$6&gt;L455,1-$Q$6&lt;L455),IF(SUM($M$2:M454)=0,1,0),0)</f>
        <v>0</v>
      </c>
      <c r="N455" s="38">
        <f>IF(AND(1+$Q$7&gt;H455,1-$Q$7&lt;H455,1+$Q$7&gt;I455,1-$Q$7&lt;I455,1+$Q$7&gt;J455,1-$Q$7&lt;J455,1+$Q$7&gt;K455,1-$Q$7&lt;K455,1+$Q$7&gt;L455,1-$Q$7&lt;L455),IF(SUM($N$2:N454)=0,1,0),0)</f>
        <v>0</v>
      </c>
      <c r="O455" s="34">
        <f t="shared" si="7"/>
        <v>0</v>
      </c>
    </row>
    <row r="456" spans="8:15" ht="20.100000000000001" customHeight="1" x14ac:dyDescent="0.25">
      <c r="H456" s="43" t="str">
        <f>IFERROR(ABS(C456/VLOOKUP(2*$B456,$B457:C490,2,TRUE)),"--")</f>
        <v>--</v>
      </c>
      <c r="I456" s="43" t="str">
        <f>IFERROR(ABS(D456/VLOOKUP(2*$B456,$B457:D490,3,TRUE)),"--")</f>
        <v>--</v>
      </c>
      <c r="J456" s="43" t="str">
        <f>IFERROR(ABS(E456/VLOOKUP(2*$B456,$B457:E490,4,TRUE)),"--")</f>
        <v>--</v>
      </c>
      <c r="K456" s="43" t="str">
        <f>IFERROR(ABS(F456/VLOOKUP(2*$B456,$B457:F490,5,TRUE)),"--")</f>
        <v>--</v>
      </c>
      <c r="L456" s="43" t="str">
        <f>IFERROR(ABS(G456/VLOOKUP(2*$B456,$B457:G490,6,TRUE)),"--")</f>
        <v>--</v>
      </c>
      <c r="M456" s="38">
        <f>IF(AND(1+$Q$6&gt;H456,1-$Q$6&lt;H456,1+$Q$6&gt;I456,1-$Q$6&lt;I456,1+$Q$6&gt;J456,1-$Q$6&lt;J456,1+$Q$6&gt;K456,1-$Q$6&lt;K456,1+$Q$6&gt;L456,1-$Q$6&lt;L456),IF(SUM($M$2:M455)=0,1,0),0)</f>
        <v>0</v>
      </c>
      <c r="N456" s="38">
        <f>IF(AND(1+$Q$7&gt;H456,1-$Q$7&lt;H456,1+$Q$7&gt;I456,1-$Q$7&lt;I456,1+$Q$7&gt;J456,1-$Q$7&lt;J456,1+$Q$7&gt;K456,1-$Q$7&lt;K456,1+$Q$7&gt;L456,1-$Q$7&lt;L456),IF(SUM($N$2:N455)=0,1,0),0)</f>
        <v>0</v>
      </c>
      <c r="O456" s="34">
        <f t="shared" si="7"/>
        <v>0</v>
      </c>
    </row>
    <row r="457" spans="8:15" ht="20.100000000000001" customHeight="1" x14ac:dyDescent="0.25">
      <c r="H457" s="43" t="str">
        <f>IFERROR(ABS(C457/VLOOKUP(2*$B457,$B458:C491,2,TRUE)),"--")</f>
        <v>--</v>
      </c>
      <c r="I457" s="43" t="str">
        <f>IFERROR(ABS(D457/VLOOKUP(2*$B457,$B458:D491,3,TRUE)),"--")</f>
        <v>--</v>
      </c>
      <c r="J457" s="43" t="str">
        <f>IFERROR(ABS(E457/VLOOKUP(2*$B457,$B458:E491,4,TRUE)),"--")</f>
        <v>--</v>
      </c>
      <c r="K457" s="43" t="str">
        <f>IFERROR(ABS(F457/VLOOKUP(2*$B457,$B458:F491,5,TRUE)),"--")</f>
        <v>--</v>
      </c>
      <c r="L457" s="43" t="str">
        <f>IFERROR(ABS(G457/VLOOKUP(2*$B457,$B458:G491,6,TRUE)),"--")</f>
        <v>--</v>
      </c>
      <c r="M457" s="38">
        <f>IF(AND(1+$Q$6&gt;H457,1-$Q$6&lt;H457,1+$Q$6&gt;I457,1-$Q$6&lt;I457,1+$Q$6&gt;J457,1-$Q$6&lt;J457,1+$Q$6&gt;K457,1-$Q$6&lt;K457,1+$Q$6&gt;L457,1-$Q$6&lt;L457),IF(SUM($M$2:M456)=0,1,0),0)</f>
        <v>0</v>
      </c>
      <c r="N457" s="38">
        <f>IF(AND(1+$Q$7&gt;H457,1-$Q$7&lt;H457,1+$Q$7&gt;I457,1-$Q$7&lt;I457,1+$Q$7&gt;J457,1-$Q$7&lt;J457,1+$Q$7&gt;K457,1-$Q$7&lt;K457,1+$Q$7&gt;L457,1-$Q$7&lt;L457),IF(SUM($N$2:N456)=0,1,0),0)</f>
        <v>0</v>
      </c>
      <c r="O457" s="34">
        <f t="shared" si="7"/>
        <v>0</v>
      </c>
    </row>
    <row r="458" spans="8:15" ht="20.100000000000001" customHeight="1" x14ac:dyDescent="0.25">
      <c r="H458" s="43" t="str">
        <f>IFERROR(ABS(C458/VLOOKUP(2*$B458,$B459:C492,2,TRUE)),"--")</f>
        <v>--</v>
      </c>
      <c r="I458" s="43" t="str">
        <f>IFERROR(ABS(D458/VLOOKUP(2*$B458,$B459:D492,3,TRUE)),"--")</f>
        <v>--</v>
      </c>
      <c r="J458" s="43" t="str">
        <f>IFERROR(ABS(E458/VLOOKUP(2*$B458,$B459:E492,4,TRUE)),"--")</f>
        <v>--</v>
      </c>
      <c r="K458" s="43" t="str">
        <f>IFERROR(ABS(F458/VLOOKUP(2*$B458,$B459:F492,5,TRUE)),"--")</f>
        <v>--</v>
      </c>
      <c r="L458" s="43" t="str">
        <f>IFERROR(ABS(G458/VLOOKUP(2*$B458,$B459:G492,6,TRUE)),"--")</f>
        <v>--</v>
      </c>
      <c r="M458" s="38">
        <f>IF(AND(1+$Q$6&gt;H458,1-$Q$6&lt;H458,1+$Q$6&gt;I458,1-$Q$6&lt;I458,1+$Q$6&gt;J458,1-$Q$6&lt;J458,1+$Q$6&gt;K458,1-$Q$6&lt;K458,1+$Q$6&gt;L458,1-$Q$6&lt;L458),IF(SUM($M$2:M457)=0,1,0),0)</f>
        <v>0</v>
      </c>
      <c r="N458" s="38">
        <f>IF(AND(1+$Q$7&gt;H458,1-$Q$7&lt;H458,1+$Q$7&gt;I458,1-$Q$7&lt;I458,1+$Q$7&gt;J458,1-$Q$7&lt;J458,1+$Q$7&gt;K458,1-$Q$7&lt;K458,1+$Q$7&gt;L458,1-$Q$7&lt;L458),IF(SUM($N$2:N457)=0,1,0),0)</f>
        <v>0</v>
      </c>
      <c r="O458" s="34">
        <f t="shared" si="7"/>
        <v>0</v>
      </c>
    </row>
    <row r="459" spans="8:15" ht="20.100000000000001" customHeight="1" x14ac:dyDescent="0.25">
      <c r="H459" s="43" t="str">
        <f>IFERROR(ABS(C459/VLOOKUP(2*$B459,$B460:C493,2,TRUE)),"--")</f>
        <v>--</v>
      </c>
      <c r="I459" s="43" t="str">
        <f>IFERROR(ABS(D459/VLOOKUP(2*$B459,$B460:D493,3,TRUE)),"--")</f>
        <v>--</v>
      </c>
      <c r="J459" s="43" t="str">
        <f>IFERROR(ABS(E459/VLOOKUP(2*$B459,$B460:E493,4,TRUE)),"--")</f>
        <v>--</v>
      </c>
      <c r="K459" s="43" t="str">
        <f>IFERROR(ABS(F459/VLOOKUP(2*$B459,$B460:F493,5,TRUE)),"--")</f>
        <v>--</v>
      </c>
      <c r="L459" s="43" t="str">
        <f>IFERROR(ABS(G459/VLOOKUP(2*$B459,$B460:G493,6,TRUE)),"--")</f>
        <v>--</v>
      </c>
      <c r="M459" s="38">
        <f>IF(AND(1+$Q$6&gt;H459,1-$Q$6&lt;H459,1+$Q$6&gt;I459,1-$Q$6&lt;I459,1+$Q$6&gt;J459,1-$Q$6&lt;J459,1+$Q$6&gt;K459,1-$Q$6&lt;K459,1+$Q$6&gt;L459,1-$Q$6&lt;L459),IF(SUM($M$2:M458)=0,1,0),0)</f>
        <v>0</v>
      </c>
      <c r="N459" s="38">
        <f>IF(AND(1+$Q$7&gt;H459,1-$Q$7&lt;H459,1+$Q$7&gt;I459,1-$Q$7&lt;I459,1+$Q$7&gt;J459,1-$Q$7&lt;J459,1+$Q$7&gt;K459,1-$Q$7&lt;K459,1+$Q$7&gt;L459,1-$Q$7&lt;L459),IF(SUM($N$2:N458)=0,1,0),0)</f>
        <v>0</v>
      </c>
      <c r="O459" s="34">
        <f t="shared" si="7"/>
        <v>0</v>
      </c>
    </row>
    <row r="460" spans="8:15" ht="20.100000000000001" customHeight="1" x14ac:dyDescent="0.25">
      <c r="H460" s="43" t="str">
        <f>IFERROR(ABS(C460/VLOOKUP(2*$B460,$B461:C494,2,TRUE)),"--")</f>
        <v>--</v>
      </c>
      <c r="I460" s="43" t="str">
        <f>IFERROR(ABS(D460/VLOOKUP(2*$B460,$B461:D494,3,TRUE)),"--")</f>
        <v>--</v>
      </c>
      <c r="J460" s="43" t="str">
        <f>IFERROR(ABS(E460/VLOOKUP(2*$B460,$B461:E494,4,TRUE)),"--")</f>
        <v>--</v>
      </c>
      <c r="K460" s="43" t="str">
        <f>IFERROR(ABS(F460/VLOOKUP(2*$B460,$B461:F494,5,TRUE)),"--")</f>
        <v>--</v>
      </c>
      <c r="L460" s="43" t="str">
        <f>IFERROR(ABS(G460/VLOOKUP(2*$B460,$B461:G494,6,TRUE)),"--")</f>
        <v>--</v>
      </c>
      <c r="M460" s="38">
        <f>IF(AND(1+$Q$6&gt;H460,1-$Q$6&lt;H460,1+$Q$6&gt;I460,1-$Q$6&lt;I460,1+$Q$6&gt;J460,1-$Q$6&lt;J460,1+$Q$6&gt;K460,1-$Q$6&lt;K460,1+$Q$6&gt;L460,1-$Q$6&lt;L460),IF(SUM($M$2:M459)=0,1,0),0)</f>
        <v>0</v>
      </c>
      <c r="N460" s="38">
        <f>IF(AND(1+$Q$7&gt;H460,1-$Q$7&lt;H460,1+$Q$7&gt;I460,1-$Q$7&lt;I460,1+$Q$7&gt;J460,1-$Q$7&lt;J460,1+$Q$7&gt;K460,1-$Q$7&lt;K460,1+$Q$7&gt;L460,1-$Q$7&lt;L460),IF(SUM($N$2:N459)=0,1,0),0)</f>
        <v>0</v>
      </c>
      <c r="O460" s="34">
        <f t="shared" si="7"/>
        <v>0</v>
      </c>
    </row>
    <row r="461" spans="8:15" ht="20.100000000000001" customHeight="1" x14ac:dyDescent="0.25">
      <c r="H461" s="43" t="str">
        <f>IFERROR(ABS(C461/VLOOKUP(2*$B461,$B462:C495,2,TRUE)),"--")</f>
        <v>--</v>
      </c>
      <c r="I461" s="43" t="str">
        <f>IFERROR(ABS(D461/VLOOKUP(2*$B461,$B462:D495,3,TRUE)),"--")</f>
        <v>--</v>
      </c>
      <c r="J461" s="43" t="str">
        <f>IFERROR(ABS(E461/VLOOKUP(2*$B461,$B462:E495,4,TRUE)),"--")</f>
        <v>--</v>
      </c>
      <c r="K461" s="43" t="str">
        <f>IFERROR(ABS(F461/VLOOKUP(2*$B461,$B462:F495,5,TRUE)),"--")</f>
        <v>--</v>
      </c>
      <c r="L461" s="43" t="str">
        <f>IFERROR(ABS(G461/VLOOKUP(2*$B461,$B462:G495,6,TRUE)),"--")</f>
        <v>--</v>
      </c>
      <c r="M461" s="38">
        <f>IF(AND(1+$Q$6&gt;H461,1-$Q$6&lt;H461,1+$Q$6&gt;I461,1-$Q$6&lt;I461,1+$Q$6&gt;J461,1-$Q$6&lt;J461,1+$Q$6&gt;K461,1-$Q$6&lt;K461,1+$Q$6&gt;L461,1-$Q$6&lt;L461),IF(SUM($M$2:M460)=0,1,0),0)</f>
        <v>0</v>
      </c>
      <c r="N461" s="38">
        <f>IF(AND(1+$Q$7&gt;H461,1-$Q$7&lt;H461,1+$Q$7&gt;I461,1-$Q$7&lt;I461,1+$Q$7&gt;J461,1-$Q$7&lt;J461,1+$Q$7&gt;K461,1-$Q$7&lt;K461,1+$Q$7&gt;L461,1-$Q$7&lt;L461),IF(SUM($N$2:N460)=0,1,0),0)</f>
        <v>0</v>
      </c>
      <c r="O461" s="34">
        <f t="shared" si="7"/>
        <v>0</v>
      </c>
    </row>
    <row r="462" spans="8:15" ht="20.100000000000001" customHeight="1" x14ac:dyDescent="0.25">
      <c r="H462" s="43" t="str">
        <f>IFERROR(ABS(C462/VLOOKUP(2*$B462,$B463:C496,2,TRUE)),"--")</f>
        <v>--</v>
      </c>
      <c r="I462" s="43" t="str">
        <f>IFERROR(ABS(D462/VLOOKUP(2*$B462,$B463:D496,3,TRUE)),"--")</f>
        <v>--</v>
      </c>
      <c r="J462" s="43" t="str">
        <f>IFERROR(ABS(E462/VLOOKUP(2*$B462,$B463:E496,4,TRUE)),"--")</f>
        <v>--</v>
      </c>
      <c r="K462" s="43" t="str">
        <f>IFERROR(ABS(F462/VLOOKUP(2*$B462,$B463:F496,5,TRUE)),"--")</f>
        <v>--</v>
      </c>
      <c r="L462" s="43" t="str">
        <f>IFERROR(ABS(G462/VLOOKUP(2*$B462,$B463:G496,6,TRUE)),"--")</f>
        <v>--</v>
      </c>
      <c r="M462" s="38">
        <f>IF(AND(1+$Q$6&gt;H462,1-$Q$6&lt;H462,1+$Q$6&gt;I462,1-$Q$6&lt;I462,1+$Q$6&gt;J462,1-$Q$6&lt;J462,1+$Q$6&gt;K462,1-$Q$6&lt;K462,1+$Q$6&gt;L462,1-$Q$6&lt;L462),IF(SUM($M$2:M461)=0,1,0),0)</f>
        <v>0</v>
      </c>
      <c r="N462" s="38">
        <f>IF(AND(1+$Q$7&gt;H462,1-$Q$7&lt;H462,1+$Q$7&gt;I462,1-$Q$7&lt;I462,1+$Q$7&gt;J462,1-$Q$7&lt;J462,1+$Q$7&gt;K462,1-$Q$7&lt;K462,1+$Q$7&gt;L462,1-$Q$7&lt;L462),IF(SUM($N$2:N461)=0,1,0),0)</f>
        <v>0</v>
      </c>
      <c r="O462" s="34">
        <f t="shared" si="7"/>
        <v>0</v>
      </c>
    </row>
    <row r="463" spans="8:15" ht="20.100000000000001" customHeight="1" x14ac:dyDescent="0.25">
      <c r="H463" s="43" t="str">
        <f>IFERROR(ABS(C463/VLOOKUP(2*$B463,$B464:C497,2,TRUE)),"--")</f>
        <v>--</v>
      </c>
      <c r="I463" s="43" t="str">
        <f>IFERROR(ABS(D463/VLOOKUP(2*$B463,$B464:D497,3,TRUE)),"--")</f>
        <v>--</v>
      </c>
      <c r="J463" s="43" t="str">
        <f>IFERROR(ABS(E463/VLOOKUP(2*$B463,$B464:E497,4,TRUE)),"--")</f>
        <v>--</v>
      </c>
      <c r="K463" s="43" t="str">
        <f>IFERROR(ABS(F463/VLOOKUP(2*$B463,$B464:F497,5,TRUE)),"--")</f>
        <v>--</v>
      </c>
      <c r="L463" s="43" t="str">
        <f>IFERROR(ABS(G463/VLOOKUP(2*$B463,$B464:G497,6,TRUE)),"--")</f>
        <v>--</v>
      </c>
      <c r="M463" s="38">
        <f>IF(AND(1+$Q$6&gt;H463,1-$Q$6&lt;H463,1+$Q$6&gt;I463,1-$Q$6&lt;I463,1+$Q$6&gt;J463,1-$Q$6&lt;J463,1+$Q$6&gt;K463,1-$Q$6&lt;K463,1+$Q$6&gt;L463,1-$Q$6&lt;L463),IF(SUM($M$2:M462)=0,1,0),0)</f>
        <v>0</v>
      </c>
      <c r="N463" s="38">
        <f>IF(AND(1+$Q$7&gt;H463,1-$Q$7&lt;H463,1+$Q$7&gt;I463,1-$Q$7&lt;I463,1+$Q$7&gt;J463,1-$Q$7&lt;J463,1+$Q$7&gt;K463,1-$Q$7&lt;K463,1+$Q$7&gt;L463,1-$Q$7&lt;L463),IF(SUM($N$2:N462)=0,1,0),0)</f>
        <v>0</v>
      </c>
      <c r="O463" s="34">
        <f t="shared" si="7"/>
        <v>0</v>
      </c>
    </row>
    <row r="464" spans="8:15" ht="20.100000000000001" customHeight="1" x14ac:dyDescent="0.25">
      <c r="H464" s="43" t="str">
        <f>IFERROR(ABS(C464/VLOOKUP(2*$B464,$B465:C498,2,TRUE)),"--")</f>
        <v>--</v>
      </c>
      <c r="I464" s="43" t="str">
        <f>IFERROR(ABS(D464/VLOOKUP(2*$B464,$B465:D498,3,TRUE)),"--")</f>
        <v>--</v>
      </c>
      <c r="J464" s="43" t="str">
        <f>IFERROR(ABS(E464/VLOOKUP(2*$B464,$B465:E498,4,TRUE)),"--")</f>
        <v>--</v>
      </c>
      <c r="K464" s="43" t="str">
        <f>IFERROR(ABS(F464/VLOOKUP(2*$B464,$B465:F498,5,TRUE)),"--")</f>
        <v>--</v>
      </c>
      <c r="L464" s="43" t="str">
        <f>IFERROR(ABS(G464/VLOOKUP(2*$B464,$B465:G498,6,TRUE)),"--")</f>
        <v>--</v>
      </c>
      <c r="M464" s="38">
        <f>IF(AND(1+$Q$6&gt;H464,1-$Q$6&lt;H464,1+$Q$6&gt;I464,1-$Q$6&lt;I464,1+$Q$6&gt;J464,1-$Q$6&lt;J464,1+$Q$6&gt;K464,1-$Q$6&lt;K464,1+$Q$6&gt;L464,1-$Q$6&lt;L464),IF(SUM($M$2:M463)=0,1,0),0)</f>
        <v>0</v>
      </c>
      <c r="N464" s="38">
        <f>IF(AND(1+$Q$7&gt;H464,1-$Q$7&lt;H464,1+$Q$7&gt;I464,1-$Q$7&lt;I464,1+$Q$7&gt;J464,1-$Q$7&lt;J464,1+$Q$7&gt;K464,1-$Q$7&lt;K464,1+$Q$7&gt;L464,1-$Q$7&lt;L464),IF(SUM($N$2:N463)=0,1,0),0)</f>
        <v>0</v>
      </c>
      <c r="O464" s="34">
        <f t="shared" si="7"/>
        <v>0</v>
      </c>
    </row>
    <row r="465" spans="8:15" ht="20.100000000000001" customHeight="1" x14ac:dyDescent="0.25">
      <c r="H465" s="43" t="str">
        <f>IFERROR(ABS(C465/VLOOKUP(2*$B465,$B466:C499,2,TRUE)),"--")</f>
        <v>--</v>
      </c>
      <c r="I465" s="43" t="str">
        <f>IFERROR(ABS(D465/VLOOKUP(2*$B465,$B466:D499,3,TRUE)),"--")</f>
        <v>--</v>
      </c>
      <c r="J465" s="43" t="str">
        <f>IFERROR(ABS(E465/VLOOKUP(2*$B465,$B466:E499,4,TRUE)),"--")</f>
        <v>--</v>
      </c>
      <c r="K465" s="43" t="str">
        <f>IFERROR(ABS(F465/VLOOKUP(2*$B465,$B466:F499,5,TRUE)),"--")</f>
        <v>--</v>
      </c>
      <c r="L465" s="43" t="str">
        <f>IFERROR(ABS(G465/VLOOKUP(2*$B465,$B466:G499,6,TRUE)),"--")</f>
        <v>--</v>
      </c>
      <c r="M465" s="38">
        <f>IF(AND(1+$Q$6&gt;H465,1-$Q$6&lt;H465,1+$Q$6&gt;I465,1-$Q$6&lt;I465,1+$Q$6&gt;J465,1-$Q$6&lt;J465,1+$Q$6&gt;K465,1-$Q$6&lt;K465,1+$Q$6&gt;L465,1-$Q$6&lt;L465),IF(SUM($M$2:M464)=0,1,0),0)</f>
        <v>0</v>
      </c>
      <c r="N465" s="38">
        <f>IF(AND(1+$Q$7&gt;H465,1-$Q$7&lt;H465,1+$Q$7&gt;I465,1-$Q$7&lt;I465,1+$Q$7&gt;J465,1-$Q$7&lt;J465,1+$Q$7&gt;K465,1-$Q$7&lt;K465,1+$Q$7&gt;L465,1-$Q$7&lt;L465),IF(SUM($N$2:N464)=0,1,0),0)</f>
        <v>0</v>
      </c>
      <c r="O465" s="34">
        <f t="shared" si="7"/>
        <v>0</v>
      </c>
    </row>
    <row r="466" spans="8:15" ht="20.100000000000001" customHeight="1" x14ac:dyDescent="0.25">
      <c r="H466" s="43" t="str">
        <f>IFERROR(ABS(C466/VLOOKUP(2*$B466,$B467:C500,2,TRUE)),"--")</f>
        <v>--</v>
      </c>
      <c r="I466" s="43" t="str">
        <f>IFERROR(ABS(D466/VLOOKUP(2*$B466,$B467:D500,3,TRUE)),"--")</f>
        <v>--</v>
      </c>
      <c r="J466" s="43" t="str">
        <f>IFERROR(ABS(E466/VLOOKUP(2*$B466,$B467:E500,4,TRUE)),"--")</f>
        <v>--</v>
      </c>
      <c r="K466" s="43" t="str">
        <f>IFERROR(ABS(F466/VLOOKUP(2*$B466,$B467:F500,5,TRUE)),"--")</f>
        <v>--</v>
      </c>
      <c r="L466" s="43" t="str">
        <f>IFERROR(ABS(G466/VLOOKUP(2*$B466,$B467:G500,6,TRUE)),"--")</f>
        <v>--</v>
      </c>
      <c r="M466" s="38">
        <f>IF(AND(1+$Q$6&gt;H466,1-$Q$6&lt;H466,1+$Q$6&gt;I466,1-$Q$6&lt;I466,1+$Q$6&gt;J466,1-$Q$6&lt;J466,1+$Q$6&gt;K466,1-$Q$6&lt;K466,1+$Q$6&gt;L466,1-$Q$6&lt;L466),IF(SUM($M$2:M465)=0,1,0),0)</f>
        <v>0</v>
      </c>
      <c r="N466" s="38">
        <f>IF(AND(1+$Q$7&gt;H466,1-$Q$7&lt;H466,1+$Q$7&gt;I466,1-$Q$7&lt;I466,1+$Q$7&gt;J466,1-$Q$7&lt;J466,1+$Q$7&gt;K466,1-$Q$7&lt;K466,1+$Q$7&gt;L466,1-$Q$7&lt;L466),IF(SUM($N$2:N465)=0,1,0),0)</f>
        <v>0</v>
      </c>
      <c r="O466" s="34">
        <f t="shared" si="7"/>
        <v>0</v>
      </c>
    </row>
    <row r="467" spans="8:15" ht="20.100000000000001" customHeight="1" x14ac:dyDescent="0.25">
      <c r="H467" s="43" t="str">
        <f>IFERROR(ABS(C467/VLOOKUP(2*$B467,$B468:C501,2,TRUE)),"--")</f>
        <v>--</v>
      </c>
      <c r="I467" s="43" t="str">
        <f>IFERROR(ABS(D467/VLOOKUP(2*$B467,$B468:D501,3,TRUE)),"--")</f>
        <v>--</v>
      </c>
      <c r="J467" s="43" t="str">
        <f>IFERROR(ABS(E467/VLOOKUP(2*$B467,$B468:E501,4,TRUE)),"--")</f>
        <v>--</v>
      </c>
      <c r="K467" s="43" t="str">
        <f>IFERROR(ABS(F467/VLOOKUP(2*$B467,$B468:F501,5,TRUE)),"--")</f>
        <v>--</v>
      </c>
      <c r="L467" s="43" t="str">
        <f>IFERROR(ABS(G467/VLOOKUP(2*$B467,$B468:G501,6,TRUE)),"--")</f>
        <v>--</v>
      </c>
      <c r="M467" s="38">
        <f>IF(AND(1+$Q$6&gt;H467,1-$Q$6&lt;H467,1+$Q$6&gt;I467,1-$Q$6&lt;I467,1+$Q$6&gt;J467,1-$Q$6&lt;J467,1+$Q$6&gt;K467,1-$Q$6&lt;K467,1+$Q$6&gt;L467,1-$Q$6&lt;L467),IF(SUM($M$2:M466)=0,1,0),0)</f>
        <v>0</v>
      </c>
      <c r="N467" s="38">
        <f>IF(AND(1+$Q$7&gt;H467,1-$Q$7&lt;H467,1+$Q$7&gt;I467,1-$Q$7&lt;I467,1+$Q$7&gt;J467,1-$Q$7&lt;J467,1+$Q$7&gt;K467,1-$Q$7&lt;K467,1+$Q$7&gt;L467,1-$Q$7&lt;L467),IF(SUM($N$2:N466)=0,1,0),0)</f>
        <v>0</v>
      </c>
      <c r="O467" s="34">
        <f t="shared" si="7"/>
        <v>0</v>
      </c>
    </row>
    <row r="468" spans="8:15" ht="20.100000000000001" customHeight="1" x14ac:dyDescent="0.25">
      <c r="H468" s="43" t="str">
        <f>IFERROR(ABS(C468/VLOOKUP(2*$B468,$B469:C502,2,TRUE)),"--")</f>
        <v>--</v>
      </c>
      <c r="I468" s="43" t="str">
        <f>IFERROR(ABS(D468/VLOOKUP(2*$B468,$B469:D502,3,TRUE)),"--")</f>
        <v>--</v>
      </c>
      <c r="J468" s="43" t="str">
        <f>IFERROR(ABS(E468/VLOOKUP(2*$B468,$B469:E502,4,TRUE)),"--")</f>
        <v>--</v>
      </c>
      <c r="K468" s="43" t="str">
        <f>IFERROR(ABS(F468/VLOOKUP(2*$B468,$B469:F502,5,TRUE)),"--")</f>
        <v>--</v>
      </c>
      <c r="L468" s="43" t="str">
        <f>IFERROR(ABS(G468/VLOOKUP(2*$B468,$B469:G502,6,TRUE)),"--")</f>
        <v>--</v>
      </c>
      <c r="M468" s="38">
        <f>IF(AND(1+$Q$6&gt;H468,1-$Q$6&lt;H468,1+$Q$6&gt;I468,1-$Q$6&lt;I468,1+$Q$6&gt;J468,1-$Q$6&lt;J468,1+$Q$6&gt;K468,1-$Q$6&lt;K468,1+$Q$6&gt;L468,1-$Q$6&lt;L468),IF(SUM($M$2:M467)=0,1,0),0)</f>
        <v>0</v>
      </c>
      <c r="N468" s="38">
        <f>IF(AND(1+$Q$7&gt;H468,1-$Q$7&lt;H468,1+$Q$7&gt;I468,1-$Q$7&lt;I468,1+$Q$7&gt;J468,1-$Q$7&lt;J468,1+$Q$7&gt;K468,1-$Q$7&lt;K468,1+$Q$7&gt;L468,1-$Q$7&lt;L468),IF(SUM($N$2:N467)=0,1,0),0)</f>
        <v>0</v>
      </c>
      <c r="O468" s="34">
        <f t="shared" si="7"/>
        <v>0</v>
      </c>
    </row>
    <row r="469" spans="8:15" ht="20.100000000000001" customHeight="1" x14ac:dyDescent="0.25">
      <c r="H469" s="43" t="str">
        <f>IFERROR(ABS(C469/VLOOKUP(2*$B469,$B470:C503,2,TRUE)),"--")</f>
        <v>--</v>
      </c>
      <c r="I469" s="43" t="str">
        <f>IFERROR(ABS(D469/VLOOKUP(2*$B469,$B470:D503,3,TRUE)),"--")</f>
        <v>--</v>
      </c>
      <c r="J469" s="43" t="str">
        <f>IFERROR(ABS(E469/VLOOKUP(2*$B469,$B470:E503,4,TRUE)),"--")</f>
        <v>--</v>
      </c>
      <c r="K469" s="43" t="str">
        <f>IFERROR(ABS(F469/VLOOKUP(2*$B469,$B470:F503,5,TRUE)),"--")</f>
        <v>--</v>
      </c>
      <c r="L469" s="43" t="str">
        <f>IFERROR(ABS(G469/VLOOKUP(2*$B469,$B470:G503,6,TRUE)),"--")</f>
        <v>--</v>
      </c>
      <c r="M469" s="38">
        <f>IF(AND(1+$Q$6&gt;H469,1-$Q$6&lt;H469,1+$Q$6&gt;I469,1-$Q$6&lt;I469,1+$Q$6&gt;J469,1-$Q$6&lt;J469,1+$Q$6&gt;K469,1-$Q$6&lt;K469,1+$Q$6&gt;L469,1-$Q$6&lt;L469),IF(SUM($M$2:M468)=0,1,0),0)</f>
        <v>0</v>
      </c>
      <c r="N469" s="38">
        <f>IF(AND(1+$Q$7&gt;H469,1-$Q$7&lt;H469,1+$Q$7&gt;I469,1-$Q$7&lt;I469,1+$Q$7&gt;J469,1-$Q$7&lt;J469,1+$Q$7&gt;K469,1-$Q$7&lt;K469,1+$Q$7&gt;L469,1-$Q$7&lt;L469),IF(SUM($N$2:N468)=0,1,0),0)</f>
        <v>0</v>
      </c>
      <c r="O469" s="34">
        <f t="shared" si="7"/>
        <v>0</v>
      </c>
    </row>
    <row r="470" spans="8:15" ht="20.100000000000001" customHeight="1" x14ac:dyDescent="0.25">
      <c r="H470" s="43" t="str">
        <f>IFERROR(ABS(C470/VLOOKUP(2*$B470,$B471:C504,2,TRUE)),"--")</f>
        <v>--</v>
      </c>
      <c r="I470" s="43" t="str">
        <f>IFERROR(ABS(D470/VLOOKUP(2*$B470,$B471:D504,3,TRUE)),"--")</f>
        <v>--</v>
      </c>
      <c r="J470" s="43" t="str">
        <f>IFERROR(ABS(E470/VLOOKUP(2*$B470,$B471:E504,4,TRUE)),"--")</f>
        <v>--</v>
      </c>
      <c r="K470" s="43" t="str">
        <f>IFERROR(ABS(F470/VLOOKUP(2*$B470,$B471:F504,5,TRUE)),"--")</f>
        <v>--</v>
      </c>
      <c r="L470" s="43" t="str">
        <f>IFERROR(ABS(G470/VLOOKUP(2*$B470,$B471:G504,6,TRUE)),"--")</f>
        <v>--</v>
      </c>
      <c r="M470" s="38">
        <f>IF(AND(1+$Q$6&gt;H470,1-$Q$6&lt;H470,1+$Q$6&gt;I470,1-$Q$6&lt;I470,1+$Q$6&gt;J470,1-$Q$6&lt;J470,1+$Q$6&gt;K470,1-$Q$6&lt;K470,1+$Q$6&gt;L470,1-$Q$6&lt;L470),IF(SUM($M$2:M469)=0,1,0),0)</f>
        <v>0</v>
      </c>
      <c r="N470" s="38">
        <f>IF(AND(1+$Q$7&gt;H470,1-$Q$7&lt;H470,1+$Q$7&gt;I470,1-$Q$7&lt;I470,1+$Q$7&gt;J470,1-$Q$7&lt;J470,1+$Q$7&gt;K470,1-$Q$7&lt;K470,1+$Q$7&gt;L470,1-$Q$7&lt;L470),IF(SUM($N$2:N469)=0,1,0),0)</f>
        <v>0</v>
      </c>
      <c r="O470" s="34">
        <f t="shared" si="7"/>
        <v>0</v>
      </c>
    </row>
    <row r="471" spans="8:15" ht="20.100000000000001" customHeight="1" x14ac:dyDescent="0.25">
      <c r="H471" s="43" t="str">
        <f>IFERROR(ABS(C471/VLOOKUP(2*$B471,$B472:C505,2,TRUE)),"--")</f>
        <v>--</v>
      </c>
      <c r="I471" s="43" t="str">
        <f>IFERROR(ABS(D471/VLOOKUP(2*$B471,$B472:D505,3,TRUE)),"--")</f>
        <v>--</v>
      </c>
      <c r="J471" s="43" t="str">
        <f>IFERROR(ABS(E471/VLOOKUP(2*$B471,$B472:E505,4,TRUE)),"--")</f>
        <v>--</v>
      </c>
      <c r="K471" s="43" t="str">
        <f>IFERROR(ABS(F471/VLOOKUP(2*$B471,$B472:F505,5,TRUE)),"--")</f>
        <v>--</v>
      </c>
      <c r="L471" s="43" t="str">
        <f>IFERROR(ABS(G471/VLOOKUP(2*$B471,$B472:G505,6,TRUE)),"--")</f>
        <v>--</v>
      </c>
      <c r="M471" s="38">
        <f>IF(AND(1+$Q$6&gt;H471,1-$Q$6&lt;H471,1+$Q$6&gt;I471,1-$Q$6&lt;I471,1+$Q$6&gt;J471,1-$Q$6&lt;J471,1+$Q$6&gt;K471,1-$Q$6&lt;K471,1+$Q$6&gt;L471,1-$Q$6&lt;L471),IF(SUM($M$2:M470)=0,1,0),0)</f>
        <v>0</v>
      </c>
      <c r="N471" s="38">
        <f>IF(AND(1+$Q$7&gt;H471,1-$Q$7&lt;H471,1+$Q$7&gt;I471,1-$Q$7&lt;I471,1+$Q$7&gt;J471,1-$Q$7&lt;J471,1+$Q$7&gt;K471,1-$Q$7&lt;K471,1+$Q$7&gt;L471,1-$Q$7&lt;L471),IF(SUM($N$2:N470)=0,1,0),0)</f>
        <v>0</v>
      </c>
      <c r="O471" s="34">
        <f t="shared" si="7"/>
        <v>0</v>
      </c>
    </row>
    <row r="472" spans="8:15" ht="20.100000000000001" customHeight="1" x14ac:dyDescent="0.25">
      <c r="H472" s="43" t="str">
        <f>IFERROR(ABS(C472/VLOOKUP(2*$B472,$B473:C506,2,TRUE)),"--")</f>
        <v>--</v>
      </c>
      <c r="I472" s="43" t="str">
        <f>IFERROR(ABS(D472/VLOOKUP(2*$B472,$B473:D506,3,TRUE)),"--")</f>
        <v>--</v>
      </c>
      <c r="J472" s="43" t="str">
        <f>IFERROR(ABS(E472/VLOOKUP(2*$B472,$B473:E506,4,TRUE)),"--")</f>
        <v>--</v>
      </c>
      <c r="K472" s="43" t="str">
        <f>IFERROR(ABS(F472/VLOOKUP(2*$B472,$B473:F506,5,TRUE)),"--")</f>
        <v>--</v>
      </c>
      <c r="L472" s="43" t="str">
        <f>IFERROR(ABS(G472/VLOOKUP(2*$B472,$B473:G506,6,TRUE)),"--")</f>
        <v>--</v>
      </c>
      <c r="M472" s="38">
        <f>IF(AND(1+$Q$6&gt;H472,1-$Q$6&lt;H472,1+$Q$6&gt;I472,1-$Q$6&lt;I472,1+$Q$6&gt;J472,1-$Q$6&lt;J472,1+$Q$6&gt;K472,1-$Q$6&lt;K472,1+$Q$6&gt;L472,1-$Q$6&lt;L472),IF(SUM($M$2:M471)=0,1,0),0)</f>
        <v>0</v>
      </c>
      <c r="N472" s="38">
        <f>IF(AND(1+$Q$7&gt;H472,1-$Q$7&lt;H472,1+$Q$7&gt;I472,1-$Q$7&lt;I472,1+$Q$7&gt;J472,1-$Q$7&lt;J472,1+$Q$7&gt;K472,1-$Q$7&lt;K472,1+$Q$7&gt;L472,1-$Q$7&lt;L472),IF(SUM($N$2:N471)=0,1,0),0)</f>
        <v>0</v>
      </c>
      <c r="O472" s="34">
        <f t="shared" si="7"/>
        <v>0</v>
      </c>
    </row>
    <row r="473" spans="8:15" ht="20.100000000000001" customHeight="1" x14ac:dyDescent="0.25">
      <c r="H473" s="43" t="str">
        <f>IFERROR(ABS(C473/VLOOKUP(2*$B473,$B474:C507,2,TRUE)),"--")</f>
        <v>--</v>
      </c>
      <c r="I473" s="43" t="str">
        <f>IFERROR(ABS(D473/VLOOKUP(2*$B473,$B474:D507,3,TRUE)),"--")</f>
        <v>--</v>
      </c>
      <c r="J473" s="43" t="str">
        <f>IFERROR(ABS(E473/VLOOKUP(2*$B473,$B474:E507,4,TRUE)),"--")</f>
        <v>--</v>
      </c>
      <c r="K473" s="43" t="str">
        <f>IFERROR(ABS(F473/VLOOKUP(2*$B473,$B474:F507,5,TRUE)),"--")</f>
        <v>--</v>
      </c>
      <c r="L473" s="43" t="str">
        <f>IFERROR(ABS(G473/VLOOKUP(2*$B473,$B474:G507,6,TRUE)),"--")</f>
        <v>--</v>
      </c>
      <c r="M473" s="38">
        <f>IF(AND(1+$Q$6&gt;H473,1-$Q$6&lt;H473,1+$Q$6&gt;I473,1-$Q$6&lt;I473,1+$Q$6&gt;J473,1-$Q$6&lt;J473,1+$Q$6&gt;K473,1-$Q$6&lt;K473,1+$Q$6&gt;L473,1-$Q$6&lt;L473),IF(SUM($M$2:M472)=0,1,0),0)</f>
        <v>0</v>
      </c>
      <c r="N473" s="38">
        <f>IF(AND(1+$Q$7&gt;H473,1-$Q$7&lt;H473,1+$Q$7&gt;I473,1-$Q$7&lt;I473,1+$Q$7&gt;J473,1-$Q$7&lt;J473,1+$Q$7&gt;K473,1-$Q$7&lt;K473,1+$Q$7&gt;L473,1-$Q$7&lt;L473),IF(SUM($N$2:N472)=0,1,0),0)</f>
        <v>0</v>
      </c>
      <c r="O473" s="34">
        <f t="shared" si="7"/>
        <v>0</v>
      </c>
    </row>
    <row r="474" spans="8:15" ht="20.100000000000001" customHeight="1" x14ac:dyDescent="0.25">
      <c r="H474" s="43" t="str">
        <f>IFERROR(ABS(C474/VLOOKUP(2*$B474,$B475:C508,2,TRUE)),"--")</f>
        <v>--</v>
      </c>
      <c r="I474" s="43" t="str">
        <f>IFERROR(ABS(D474/VLOOKUP(2*$B474,$B475:D508,3,TRUE)),"--")</f>
        <v>--</v>
      </c>
      <c r="J474" s="43" t="str">
        <f>IFERROR(ABS(E474/VLOOKUP(2*$B474,$B475:E508,4,TRUE)),"--")</f>
        <v>--</v>
      </c>
      <c r="K474" s="43" t="str">
        <f>IFERROR(ABS(F474/VLOOKUP(2*$B474,$B475:F508,5,TRUE)),"--")</f>
        <v>--</v>
      </c>
      <c r="L474" s="43" t="str">
        <f>IFERROR(ABS(G474/VLOOKUP(2*$B474,$B475:G508,6,TRUE)),"--")</f>
        <v>--</v>
      </c>
      <c r="M474" s="38">
        <f>IF(AND(1+$Q$6&gt;H474,1-$Q$6&lt;H474,1+$Q$6&gt;I474,1-$Q$6&lt;I474,1+$Q$6&gt;J474,1-$Q$6&lt;J474,1+$Q$6&gt;K474,1-$Q$6&lt;K474,1+$Q$6&gt;L474,1-$Q$6&lt;L474),IF(SUM($M$2:M473)=0,1,0),0)</f>
        <v>0</v>
      </c>
      <c r="N474" s="38">
        <f>IF(AND(1+$Q$7&gt;H474,1-$Q$7&lt;H474,1+$Q$7&gt;I474,1-$Q$7&lt;I474,1+$Q$7&gt;J474,1-$Q$7&lt;J474,1+$Q$7&gt;K474,1-$Q$7&lt;K474,1+$Q$7&gt;L474,1-$Q$7&lt;L474),IF(SUM($N$2:N473)=0,1,0),0)</f>
        <v>0</v>
      </c>
      <c r="O474" s="34">
        <f t="shared" si="7"/>
        <v>0</v>
      </c>
    </row>
    <row r="475" spans="8:15" ht="20.100000000000001" customHeight="1" x14ac:dyDescent="0.25">
      <c r="H475" s="43" t="str">
        <f>IFERROR(ABS(C475/VLOOKUP(2*$B475,$B476:C509,2,TRUE)),"--")</f>
        <v>--</v>
      </c>
      <c r="I475" s="43" t="str">
        <f>IFERROR(ABS(D475/VLOOKUP(2*$B475,$B476:D509,3,TRUE)),"--")</f>
        <v>--</v>
      </c>
      <c r="J475" s="43" t="str">
        <f>IFERROR(ABS(E475/VLOOKUP(2*$B475,$B476:E509,4,TRUE)),"--")</f>
        <v>--</v>
      </c>
      <c r="K475" s="43" t="str">
        <f>IFERROR(ABS(F475/VLOOKUP(2*$B475,$B476:F509,5,TRUE)),"--")</f>
        <v>--</v>
      </c>
      <c r="L475" s="43" t="str">
        <f>IFERROR(ABS(G475/VLOOKUP(2*$B475,$B476:G509,6,TRUE)),"--")</f>
        <v>--</v>
      </c>
      <c r="M475" s="38">
        <f>IF(AND(1+$Q$6&gt;H475,1-$Q$6&lt;H475,1+$Q$6&gt;I475,1-$Q$6&lt;I475,1+$Q$6&gt;J475,1-$Q$6&lt;J475,1+$Q$6&gt;K475,1-$Q$6&lt;K475,1+$Q$6&gt;L475,1-$Q$6&lt;L475),IF(SUM($M$2:M474)=0,1,0),0)</f>
        <v>0</v>
      </c>
      <c r="N475" s="38">
        <f>IF(AND(1+$Q$7&gt;H475,1-$Q$7&lt;H475,1+$Q$7&gt;I475,1-$Q$7&lt;I475,1+$Q$7&gt;J475,1-$Q$7&lt;J475,1+$Q$7&gt;K475,1-$Q$7&lt;K475,1+$Q$7&gt;L475,1-$Q$7&lt;L475),IF(SUM($N$2:N474)=0,1,0),0)</f>
        <v>0</v>
      </c>
      <c r="O475" s="34">
        <f t="shared" si="7"/>
        <v>0</v>
      </c>
    </row>
    <row r="476" spans="8:15" ht="20.100000000000001" customHeight="1" x14ac:dyDescent="0.25">
      <c r="H476" s="43" t="str">
        <f>IFERROR(ABS(C476/VLOOKUP(2*$B476,$B477:C510,2,TRUE)),"--")</f>
        <v>--</v>
      </c>
      <c r="I476" s="43" t="str">
        <f>IFERROR(ABS(D476/VLOOKUP(2*$B476,$B477:D510,3,TRUE)),"--")</f>
        <v>--</v>
      </c>
      <c r="J476" s="43" t="str">
        <f>IFERROR(ABS(E476/VLOOKUP(2*$B476,$B477:E510,4,TRUE)),"--")</f>
        <v>--</v>
      </c>
      <c r="K476" s="43" t="str">
        <f>IFERROR(ABS(F476/VLOOKUP(2*$B476,$B477:F510,5,TRUE)),"--")</f>
        <v>--</v>
      </c>
      <c r="L476" s="43" t="str">
        <f>IFERROR(ABS(G476/VLOOKUP(2*$B476,$B477:G510,6,TRUE)),"--")</f>
        <v>--</v>
      </c>
      <c r="M476" s="38">
        <f>IF(AND(1+$Q$6&gt;H476,1-$Q$6&lt;H476,1+$Q$6&gt;I476,1-$Q$6&lt;I476,1+$Q$6&gt;J476,1-$Q$6&lt;J476,1+$Q$6&gt;K476,1-$Q$6&lt;K476,1+$Q$6&gt;L476,1-$Q$6&lt;L476),IF(SUM($M$2:M475)=0,1,0),0)</f>
        <v>0</v>
      </c>
      <c r="N476" s="38">
        <f>IF(AND(1+$Q$7&gt;H476,1-$Q$7&lt;H476,1+$Q$7&gt;I476,1-$Q$7&lt;I476,1+$Q$7&gt;J476,1-$Q$7&lt;J476,1+$Q$7&gt;K476,1-$Q$7&lt;K476,1+$Q$7&gt;L476,1-$Q$7&lt;L476),IF(SUM($N$2:N475)=0,1,0),0)</f>
        <v>0</v>
      </c>
      <c r="O476" s="34">
        <f t="shared" si="7"/>
        <v>0</v>
      </c>
    </row>
    <row r="477" spans="8:15" ht="20.100000000000001" customHeight="1" x14ac:dyDescent="0.25">
      <c r="H477" s="43" t="str">
        <f>IFERROR(ABS(C477/VLOOKUP(2*$B477,$B478:C511,2,TRUE)),"--")</f>
        <v>--</v>
      </c>
      <c r="I477" s="43" t="str">
        <f>IFERROR(ABS(D477/VLOOKUP(2*$B477,$B478:D511,3,TRUE)),"--")</f>
        <v>--</v>
      </c>
      <c r="J477" s="43" t="str">
        <f>IFERROR(ABS(E477/VLOOKUP(2*$B477,$B478:E511,4,TRUE)),"--")</f>
        <v>--</v>
      </c>
      <c r="K477" s="43" t="str">
        <f>IFERROR(ABS(F477/VLOOKUP(2*$B477,$B478:F511,5,TRUE)),"--")</f>
        <v>--</v>
      </c>
      <c r="L477" s="43" t="str">
        <f>IFERROR(ABS(G477/VLOOKUP(2*$B477,$B478:G511,6,TRUE)),"--")</f>
        <v>--</v>
      </c>
      <c r="M477" s="38">
        <f>IF(AND(1+$Q$6&gt;H477,1-$Q$6&lt;H477,1+$Q$6&gt;I477,1-$Q$6&lt;I477,1+$Q$6&gt;J477,1-$Q$6&lt;J477,1+$Q$6&gt;K477,1-$Q$6&lt;K477,1+$Q$6&gt;L477,1-$Q$6&lt;L477),IF(SUM($M$2:M476)=0,1,0),0)</f>
        <v>0</v>
      </c>
      <c r="N477" s="38">
        <f>IF(AND(1+$Q$7&gt;H477,1-$Q$7&lt;H477,1+$Q$7&gt;I477,1-$Q$7&lt;I477,1+$Q$7&gt;J477,1-$Q$7&lt;J477,1+$Q$7&gt;K477,1-$Q$7&lt;K477,1+$Q$7&gt;L477,1-$Q$7&lt;L477),IF(SUM($N$2:N476)=0,1,0),0)</f>
        <v>0</v>
      </c>
      <c r="O477" s="34">
        <f t="shared" si="7"/>
        <v>0</v>
      </c>
    </row>
    <row r="478" spans="8:15" ht="20.100000000000001" customHeight="1" x14ac:dyDescent="0.25">
      <c r="H478" s="43" t="str">
        <f>IFERROR(ABS(C478/VLOOKUP(2*$B478,$B479:C512,2,TRUE)),"--")</f>
        <v>--</v>
      </c>
      <c r="I478" s="43" t="str">
        <f>IFERROR(ABS(D478/VLOOKUP(2*$B478,$B479:D512,3,TRUE)),"--")</f>
        <v>--</v>
      </c>
      <c r="J478" s="43" t="str">
        <f>IFERROR(ABS(E478/VLOOKUP(2*$B478,$B479:E512,4,TRUE)),"--")</f>
        <v>--</v>
      </c>
      <c r="K478" s="43" t="str">
        <f>IFERROR(ABS(F478/VLOOKUP(2*$B478,$B479:F512,5,TRUE)),"--")</f>
        <v>--</v>
      </c>
      <c r="L478" s="43" t="str">
        <f>IFERROR(ABS(G478/VLOOKUP(2*$B478,$B479:G512,6,TRUE)),"--")</f>
        <v>--</v>
      </c>
      <c r="M478" s="38">
        <f>IF(AND(1+$Q$6&gt;H478,1-$Q$6&lt;H478,1+$Q$6&gt;I478,1-$Q$6&lt;I478,1+$Q$6&gt;J478,1-$Q$6&lt;J478,1+$Q$6&gt;K478,1-$Q$6&lt;K478,1+$Q$6&gt;L478,1-$Q$6&lt;L478),IF(SUM($M$2:M477)=0,1,0),0)</f>
        <v>0</v>
      </c>
      <c r="N478" s="38">
        <f>IF(AND(1+$Q$7&gt;H478,1-$Q$7&lt;H478,1+$Q$7&gt;I478,1-$Q$7&lt;I478,1+$Q$7&gt;J478,1-$Q$7&lt;J478,1+$Q$7&gt;K478,1-$Q$7&lt;K478,1+$Q$7&gt;L478,1-$Q$7&lt;L478),IF(SUM($N$2:N477)=0,1,0),0)</f>
        <v>0</v>
      </c>
      <c r="O478" s="34">
        <f t="shared" si="7"/>
        <v>0</v>
      </c>
    </row>
    <row r="479" spans="8:15" ht="20.100000000000001" customHeight="1" x14ac:dyDescent="0.25">
      <c r="H479" s="43" t="str">
        <f>IFERROR(ABS(C479/VLOOKUP(2*$B479,$B480:C513,2,TRUE)),"--")</f>
        <v>--</v>
      </c>
      <c r="I479" s="43" t="str">
        <f>IFERROR(ABS(D479/VLOOKUP(2*$B479,$B480:D513,3,TRUE)),"--")</f>
        <v>--</v>
      </c>
      <c r="J479" s="43" t="str">
        <f>IFERROR(ABS(E479/VLOOKUP(2*$B479,$B480:E513,4,TRUE)),"--")</f>
        <v>--</v>
      </c>
      <c r="K479" s="43" t="str">
        <f>IFERROR(ABS(F479/VLOOKUP(2*$B479,$B480:F513,5,TRUE)),"--")</f>
        <v>--</v>
      </c>
      <c r="L479" s="43" t="str">
        <f>IFERROR(ABS(G479/VLOOKUP(2*$B479,$B480:G513,6,TRUE)),"--")</f>
        <v>--</v>
      </c>
      <c r="M479" s="38">
        <f>IF(AND(1+$Q$6&gt;H479,1-$Q$6&lt;H479,1+$Q$6&gt;I479,1-$Q$6&lt;I479,1+$Q$6&gt;J479,1-$Q$6&lt;J479,1+$Q$6&gt;K479,1-$Q$6&lt;K479,1+$Q$6&gt;L479,1-$Q$6&lt;L479),IF(SUM($M$2:M478)=0,1,0),0)</f>
        <v>0</v>
      </c>
      <c r="N479" s="38">
        <f>IF(AND(1+$Q$7&gt;H479,1-$Q$7&lt;H479,1+$Q$7&gt;I479,1-$Q$7&lt;I479,1+$Q$7&gt;J479,1-$Q$7&lt;J479,1+$Q$7&gt;K479,1-$Q$7&lt;K479,1+$Q$7&gt;L479,1-$Q$7&lt;L479),IF(SUM($N$2:N478)=0,1,0),0)</f>
        <v>0</v>
      </c>
      <c r="O479" s="34">
        <f t="shared" si="7"/>
        <v>0</v>
      </c>
    </row>
    <row r="480" spans="8:15" ht="20.100000000000001" customHeight="1" x14ac:dyDescent="0.25">
      <c r="H480" s="43" t="str">
        <f>IFERROR(ABS(C480/VLOOKUP(2*$B480,$B481:C514,2,TRUE)),"--")</f>
        <v>--</v>
      </c>
      <c r="I480" s="43" t="str">
        <f>IFERROR(ABS(D480/VLOOKUP(2*$B480,$B481:D514,3,TRUE)),"--")</f>
        <v>--</v>
      </c>
      <c r="J480" s="43" t="str">
        <f>IFERROR(ABS(E480/VLOOKUP(2*$B480,$B481:E514,4,TRUE)),"--")</f>
        <v>--</v>
      </c>
      <c r="K480" s="43" t="str">
        <f>IFERROR(ABS(F480/VLOOKUP(2*$B480,$B481:F514,5,TRUE)),"--")</f>
        <v>--</v>
      </c>
      <c r="L480" s="43" t="str">
        <f>IFERROR(ABS(G480/VLOOKUP(2*$B480,$B481:G514,6,TRUE)),"--")</f>
        <v>--</v>
      </c>
      <c r="M480" s="38">
        <f>IF(AND(1+$Q$6&gt;H480,1-$Q$6&lt;H480,1+$Q$6&gt;I480,1-$Q$6&lt;I480,1+$Q$6&gt;J480,1-$Q$6&lt;J480,1+$Q$6&gt;K480,1-$Q$6&lt;K480,1+$Q$6&gt;L480,1-$Q$6&lt;L480),IF(SUM($M$2:M479)=0,1,0),0)</f>
        <v>0</v>
      </c>
      <c r="N480" s="38">
        <f>IF(AND(1+$Q$7&gt;H480,1-$Q$7&lt;H480,1+$Q$7&gt;I480,1-$Q$7&lt;I480,1+$Q$7&gt;J480,1-$Q$7&lt;J480,1+$Q$7&gt;K480,1-$Q$7&lt;K480,1+$Q$7&gt;L480,1-$Q$7&lt;L480),IF(SUM($N$2:N479)=0,1,0),0)</f>
        <v>0</v>
      </c>
      <c r="O480" s="34">
        <f t="shared" si="7"/>
        <v>0</v>
      </c>
    </row>
    <row r="481" spans="8:15" ht="20.100000000000001" customHeight="1" x14ac:dyDescent="0.25">
      <c r="H481" s="43" t="str">
        <f>IFERROR(ABS(C481/VLOOKUP(2*$B481,$B482:C515,2,TRUE)),"--")</f>
        <v>--</v>
      </c>
      <c r="I481" s="43" t="str">
        <f>IFERROR(ABS(D481/VLOOKUP(2*$B481,$B482:D515,3,TRUE)),"--")</f>
        <v>--</v>
      </c>
      <c r="J481" s="43" t="str">
        <f>IFERROR(ABS(E481/VLOOKUP(2*$B481,$B482:E515,4,TRUE)),"--")</f>
        <v>--</v>
      </c>
      <c r="K481" s="43" t="str">
        <f>IFERROR(ABS(F481/VLOOKUP(2*$B481,$B482:F515,5,TRUE)),"--")</f>
        <v>--</v>
      </c>
      <c r="L481" s="43" t="str">
        <f>IFERROR(ABS(G481/VLOOKUP(2*$B481,$B482:G515,6,TRUE)),"--")</f>
        <v>--</v>
      </c>
      <c r="M481" s="38">
        <f>IF(AND(1+$Q$6&gt;H481,1-$Q$6&lt;H481,1+$Q$6&gt;I481,1-$Q$6&lt;I481,1+$Q$6&gt;J481,1-$Q$6&lt;J481,1+$Q$6&gt;K481,1-$Q$6&lt;K481,1+$Q$6&gt;L481,1-$Q$6&lt;L481),IF(SUM($M$2:M480)=0,1,0),0)</f>
        <v>0</v>
      </c>
      <c r="N481" s="38">
        <f>IF(AND(1+$Q$7&gt;H481,1-$Q$7&lt;H481,1+$Q$7&gt;I481,1-$Q$7&lt;I481,1+$Q$7&gt;J481,1-$Q$7&lt;J481,1+$Q$7&gt;K481,1-$Q$7&lt;K481,1+$Q$7&gt;L481,1-$Q$7&lt;L481),IF(SUM($N$2:N480)=0,1,0),0)</f>
        <v>0</v>
      </c>
      <c r="O481" s="34">
        <f t="shared" si="7"/>
        <v>0</v>
      </c>
    </row>
    <row r="482" spans="8:15" ht="20.100000000000001" customHeight="1" x14ac:dyDescent="0.25">
      <c r="H482" s="43" t="str">
        <f>IFERROR(ABS(C482/VLOOKUP(2*$B482,$B483:C516,2,TRUE)),"--")</f>
        <v>--</v>
      </c>
      <c r="I482" s="43" t="str">
        <f>IFERROR(ABS(D482/VLOOKUP(2*$B482,$B483:D516,3,TRUE)),"--")</f>
        <v>--</v>
      </c>
      <c r="J482" s="43" t="str">
        <f>IFERROR(ABS(E482/VLOOKUP(2*$B482,$B483:E516,4,TRUE)),"--")</f>
        <v>--</v>
      </c>
      <c r="K482" s="43" t="str">
        <f>IFERROR(ABS(F482/VLOOKUP(2*$B482,$B483:F516,5,TRUE)),"--")</f>
        <v>--</v>
      </c>
      <c r="L482" s="43" t="str">
        <f>IFERROR(ABS(G482/VLOOKUP(2*$B482,$B483:G516,6,TRUE)),"--")</f>
        <v>--</v>
      </c>
      <c r="M482" s="38">
        <f>IF(AND(1+$Q$6&gt;H482,1-$Q$6&lt;H482,1+$Q$6&gt;I482,1-$Q$6&lt;I482,1+$Q$6&gt;J482,1-$Q$6&lt;J482,1+$Q$6&gt;K482,1-$Q$6&lt;K482,1+$Q$6&gt;L482,1-$Q$6&lt;L482),IF(SUM($M$2:M481)=0,1,0),0)</f>
        <v>0</v>
      </c>
      <c r="N482" s="38">
        <f>IF(AND(1+$Q$7&gt;H482,1-$Q$7&lt;H482,1+$Q$7&gt;I482,1-$Q$7&lt;I482,1+$Q$7&gt;J482,1-$Q$7&lt;J482,1+$Q$7&gt;K482,1-$Q$7&lt;K482,1+$Q$7&gt;L482,1-$Q$7&lt;L482),IF(SUM($N$2:N481)=0,1,0),0)</f>
        <v>0</v>
      </c>
      <c r="O482" s="34">
        <f t="shared" si="7"/>
        <v>0</v>
      </c>
    </row>
    <row r="483" spans="8:15" ht="20.100000000000001" customHeight="1" x14ac:dyDescent="0.25">
      <c r="H483" s="43" t="str">
        <f>IFERROR(ABS(C483/VLOOKUP(2*$B483,$B484:C517,2,TRUE)),"--")</f>
        <v>--</v>
      </c>
      <c r="I483" s="43" t="str">
        <f>IFERROR(ABS(D483/VLOOKUP(2*$B483,$B484:D517,3,TRUE)),"--")</f>
        <v>--</v>
      </c>
      <c r="J483" s="43" t="str">
        <f>IFERROR(ABS(E483/VLOOKUP(2*$B483,$B484:E517,4,TRUE)),"--")</f>
        <v>--</v>
      </c>
      <c r="K483" s="43" t="str">
        <f>IFERROR(ABS(F483/VLOOKUP(2*$B483,$B484:F517,5,TRUE)),"--")</f>
        <v>--</v>
      </c>
      <c r="L483" s="43" t="str">
        <f>IFERROR(ABS(G483/VLOOKUP(2*$B483,$B484:G517,6,TRUE)),"--")</f>
        <v>--</v>
      </c>
      <c r="M483" s="38">
        <f>IF(AND(1+$Q$6&gt;H483,1-$Q$6&lt;H483,1+$Q$6&gt;I483,1-$Q$6&lt;I483,1+$Q$6&gt;J483,1-$Q$6&lt;J483,1+$Q$6&gt;K483,1-$Q$6&lt;K483,1+$Q$6&gt;L483,1-$Q$6&lt;L483),IF(SUM($M$2:M482)=0,1,0),0)</f>
        <v>0</v>
      </c>
      <c r="N483" s="38">
        <f>IF(AND(1+$Q$7&gt;H483,1-$Q$7&lt;H483,1+$Q$7&gt;I483,1-$Q$7&lt;I483,1+$Q$7&gt;J483,1-$Q$7&lt;J483,1+$Q$7&gt;K483,1-$Q$7&lt;K483,1+$Q$7&gt;L483,1-$Q$7&lt;L483),IF(SUM($N$2:N482)=0,1,0),0)</f>
        <v>0</v>
      </c>
      <c r="O483" s="34">
        <f t="shared" si="7"/>
        <v>0</v>
      </c>
    </row>
    <row r="484" spans="8:15" ht="20.100000000000001" customHeight="1" x14ac:dyDescent="0.25">
      <c r="H484" s="43" t="str">
        <f>IFERROR(ABS(C484/VLOOKUP(2*$B484,$B485:C518,2,TRUE)),"--")</f>
        <v>--</v>
      </c>
      <c r="I484" s="43" t="str">
        <f>IFERROR(ABS(D484/VLOOKUP(2*$B484,$B485:D518,3,TRUE)),"--")</f>
        <v>--</v>
      </c>
      <c r="J484" s="43" t="str">
        <f>IFERROR(ABS(E484/VLOOKUP(2*$B484,$B485:E518,4,TRUE)),"--")</f>
        <v>--</v>
      </c>
      <c r="K484" s="43" t="str">
        <f>IFERROR(ABS(F484/VLOOKUP(2*$B484,$B485:F518,5,TRUE)),"--")</f>
        <v>--</v>
      </c>
      <c r="L484" s="43" t="str">
        <f>IFERROR(ABS(G484/VLOOKUP(2*$B484,$B485:G518,6,TRUE)),"--")</f>
        <v>--</v>
      </c>
      <c r="M484" s="38">
        <f>IF(AND(1+$Q$6&gt;H484,1-$Q$6&lt;H484,1+$Q$6&gt;I484,1-$Q$6&lt;I484,1+$Q$6&gt;J484,1-$Q$6&lt;J484,1+$Q$6&gt;K484,1-$Q$6&lt;K484,1+$Q$6&gt;L484,1-$Q$6&lt;L484),IF(SUM($M$2:M483)=0,1,0),0)</f>
        <v>0</v>
      </c>
      <c r="N484" s="38">
        <f>IF(AND(1+$Q$7&gt;H484,1-$Q$7&lt;H484,1+$Q$7&gt;I484,1-$Q$7&lt;I484,1+$Q$7&gt;J484,1-$Q$7&lt;J484,1+$Q$7&gt;K484,1-$Q$7&lt;K484,1+$Q$7&gt;L484,1-$Q$7&lt;L484),IF(SUM($N$2:N483)=0,1,0),0)</f>
        <v>0</v>
      </c>
      <c r="O484" s="34">
        <f t="shared" si="7"/>
        <v>0</v>
      </c>
    </row>
    <row r="485" spans="8:15" ht="20.100000000000001" customHeight="1" x14ac:dyDescent="0.25">
      <c r="H485" s="43" t="str">
        <f>IFERROR(ABS(C485/VLOOKUP(2*$B485,$B486:C519,2,TRUE)),"--")</f>
        <v>--</v>
      </c>
      <c r="I485" s="43" t="str">
        <f>IFERROR(ABS(D485/VLOOKUP(2*$B485,$B486:D519,3,TRUE)),"--")</f>
        <v>--</v>
      </c>
      <c r="J485" s="43" t="str">
        <f>IFERROR(ABS(E485/VLOOKUP(2*$B485,$B486:E519,4,TRUE)),"--")</f>
        <v>--</v>
      </c>
      <c r="K485" s="43" t="str">
        <f>IFERROR(ABS(F485/VLOOKUP(2*$B485,$B486:F519,5,TRUE)),"--")</f>
        <v>--</v>
      </c>
      <c r="L485" s="43" t="str">
        <f>IFERROR(ABS(G485/VLOOKUP(2*$B485,$B486:G519,6,TRUE)),"--")</f>
        <v>--</v>
      </c>
      <c r="M485" s="38">
        <f>IF(AND(1+$Q$6&gt;H485,1-$Q$6&lt;H485,1+$Q$6&gt;I485,1-$Q$6&lt;I485,1+$Q$6&gt;J485,1-$Q$6&lt;J485,1+$Q$6&gt;K485,1-$Q$6&lt;K485,1+$Q$6&gt;L485,1-$Q$6&lt;L485),IF(SUM($M$2:M484)=0,1,0),0)</f>
        <v>0</v>
      </c>
      <c r="N485" s="38">
        <f>IF(AND(1+$Q$7&gt;H485,1-$Q$7&lt;H485,1+$Q$7&gt;I485,1-$Q$7&lt;I485,1+$Q$7&gt;J485,1-$Q$7&lt;J485,1+$Q$7&gt;K485,1-$Q$7&lt;K485,1+$Q$7&gt;L485,1-$Q$7&lt;L485),IF(SUM($N$2:N484)=0,1,0),0)</f>
        <v>0</v>
      </c>
      <c r="O485" s="34">
        <f t="shared" si="7"/>
        <v>0</v>
      </c>
    </row>
    <row r="486" spans="8:15" ht="20.100000000000001" customHeight="1" x14ac:dyDescent="0.25">
      <c r="H486" s="43" t="str">
        <f>IFERROR(ABS(C486/VLOOKUP(2*$B486,$B487:C520,2,TRUE)),"--")</f>
        <v>--</v>
      </c>
      <c r="I486" s="43" t="str">
        <f>IFERROR(ABS(D486/VLOOKUP(2*$B486,$B487:D520,3,TRUE)),"--")</f>
        <v>--</v>
      </c>
      <c r="J486" s="43" t="str">
        <f>IFERROR(ABS(E486/VLOOKUP(2*$B486,$B487:E520,4,TRUE)),"--")</f>
        <v>--</v>
      </c>
      <c r="K486" s="43" t="str">
        <f>IFERROR(ABS(F486/VLOOKUP(2*$B486,$B487:F520,5,TRUE)),"--")</f>
        <v>--</v>
      </c>
      <c r="L486" s="43" t="str">
        <f>IFERROR(ABS(G486/VLOOKUP(2*$B486,$B487:G520,6,TRUE)),"--")</f>
        <v>--</v>
      </c>
      <c r="M486" s="38">
        <f>IF(AND(1+$Q$6&gt;H486,1-$Q$6&lt;H486,1+$Q$6&gt;I486,1-$Q$6&lt;I486,1+$Q$6&gt;J486,1-$Q$6&lt;J486,1+$Q$6&gt;K486,1-$Q$6&lt;K486,1+$Q$6&gt;L486,1-$Q$6&lt;L486),IF(SUM($M$2:M485)=0,1,0),0)</f>
        <v>0</v>
      </c>
      <c r="N486" s="38">
        <f>IF(AND(1+$Q$7&gt;H486,1-$Q$7&lt;H486,1+$Q$7&gt;I486,1-$Q$7&lt;I486,1+$Q$7&gt;J486,1-$Q$7&lt;J486,1+$Q$7&gt;K486,1-$Q$7&lt;K486,1+$Q$7&gt;L486,1-$Q$7&lt;L486),IF(SUM($N$2:N485)=0,1,0),0)</f>
        <v>0</v>
      </c>
      <c r="O486" s="34">
        <f t="shared" si="7"/>
        <v>0</v>
      </c>
    </row>
    <row r="487" spans="8:15" ht="20.100000000000001" customHeight="1" x14ac:dyDescent="0.25">
      <c r="H487" s="43" t="str">
        <f>IFERROR(ABS(C487/VLOOKUP(2*$B487,$B488:C521,2,TRUE)),"--")</f>
        <v>--</v>
      </c>
      <c r="I487" s="43" t="str">
        <f>IFERROR(ABS(D487/VLOOKUP(2*$B487,$B488:D521,3,TRUE)),"--")</f>
        <v>--</v>
      </c>
      <c r="J487" s="43" t="str">
        <f>IFERROR(ABS(E487/VLOOKUP(2*$B487,$B488:E521,4,TRUE)),"--")</f>
        <v>--</v>
      </c>
      <c r="K487" s="43" t="str">
        <f>IFERROR(ABS(F487/VLOOKUP(2*$B487,$B488:F521,5,TRUE)),"--")</f>
        <v>--</v>
      </c>
      <c r="L487" s="43" t="str">
        <f>IFERROR(ABS(G487/VLOOKUP(2*$B487,$B488:G521,6,TRUE)),"--")</f>
        <v>--</v>
      </c>
      <c r="M487" s="38">
        <f>IF(AND(1+$Q$6&gt;H487,1-$Q$6&lt;H487,1+$Q$6&gt;I487,1-$Q$6&lt;I487,1+$Q$6&gt;J487,1-$Q$6&lt;J487,1+$Q$6&gt;K487,1-$Q$6&lt;K487,1+$Q$6&gt;L487,1-$Q$6&lt;L487),IF(SUM($M$2:M486)=0,1,0),0)</f>
        <v>0</v>
      </c>
      <c r="N487" s="38">
        <f>IF(AND(1+$Q$7&gt;H487,1-$Q$7&lt;H487,1+$Q$7&gt;I487,1-$Q$7&lt;I487,1+$Q$7&gt;J487,1-$Q$7&lt;J487,1+$Q$7&gt;K487,1-$Q$7&lt;K487,1+$Q$7&gt;L487,1-$Q$7&lt;L487),IF(SUM($N$2:N486)=0,1,0),0)</f>
        <v>0</v>
      </c>
      <c r="O487" s="34">
        <f t="shared" si="7"/>
        <v>0</v>
      </c>
    </row>
    <row r="488" spans="8:15" ht="20.100000000000001" customHeight="1" x14ac:dyDescent="0.25">
      <c r="H488" s="43" t="str">
        <f>IFERROR(ABS(C488/VLOOKUP(2*$B488,$B489:C522,2,TRUE)),"--")</f>
        <v>--</v>
      </c>
      <c r="I488" s="43" t="str">
        <f>IFERROR(ABS(D488/VLOOKUP(2*$B488,$B489:D522,3,TRUE)),"--")</f>
        <v>--</v>
      </c>
      <c r="J488" s="43" t="str">
        <f>IFERROR(ABS(E488/VLOOKUP(2*$B488,$B489:E522,4,TRUE)),"--")</f>
        <v>--</v>
      </c>
      <c r="K488" s="43" t="str">
        <f>IFERROR(ABS(F488/VLOOKUP(2*$B488,$B489:F522,5,TRUE)),"--")</f>
        <v>--</v>
      </c>
      <c r="L488" s="43" t="str">
        <f>IFERROR(ABS(G488/VLOOKUP(2*$B488,$B489:G522,6,TRUE)),"--")</f>
        <v>--</v>
      </c>
      <c r="M488" s="38">
        <f>IF(AND(1+$Q$6&gt;H488,1-$Q$6&lt;H488,1+$Q$6&gt;I488,1-$Q$6&lt;I488,1+$Q$6&gt;J488,1-$Q$6&lt;J488,1+$Q$6&gt;K488,1-$Q$6&lt;K488,1+$Q$6&gt;L488,1-$Q$6&lt;L488),IF(SUM($M$2:M487)=0,1,0),0)</f>
        <v>0</v>
      </c>
      <c r="N488" s="38">
        <f>IF(AND(1+$Q$7&gt;H488,1-$Q$7&lt;H488,1+$Q$7&gt;I488,1-$Q$7&lt;I488,1+$Q$7&gt;J488,1-$Q$7&lt;J488,1+$Q$7&gt;K488,1-$Q$7&lt;K488,1+$Q$7&gt;L488,1-$Q$7&lt;L488),IF(SUM($N$2:N487)=0,1,0),0)</f>
        <v>0</v>
      </c>
      <c r="O488" s="34">
        <f t="shared" si="7"/>
        <v>0</v>
      </c>
    </row>
    <row r="489" spans="8:15" ht="20.100000000000001" customHeight="1" x14ac:dyDescent="0.25">
      <c r="H489" s="43" t="str">
        <f>IFERROR(ABS(C489/VLOOKUP(2*$B489,$B490:C523,2,TRUE)),"--")</f>
        <v>--</v>
      </c>
      <c r="I489" s="43" t="str">
        <f>IFERROR(ABS(D489/VLOOKUP(2*$B489,$B490:D523,3,TRUE)),"--")</f>
        <v>--</v>
      </c>
      <c r="J489" s="43" t="str">
        <f>IFERROR(ABS(E489/VLOOKUP(2*$B489,$B490:E523,4,TRUE)),"--")</f>
        <v>--</v>
      </c>
      <c r="K489" s="43" t="str">
        <f>IFERROR(ABS(F489/VLOOKUP(2*$B489,$B490:F523,5,TRUE)),"--")</f>
        <v>--</v>
      </c>
      <c r="L489" s="43" t="str">
        <f>IFERROR(ABS(G489/VLOOKUP(2*$B489,$B490:G523,6,TRUE)),"--")</f>
        <v>--</v>
      </c>
      <c r="M489" s="38">
        <f>IF(AND(1+$Q$6&gt;H489,1-$Q$6&lt;H489,1+$Q$6&gt;I489,1-$Q$6&lt;I489,1+$Q$6&gt;J489,1-$Q$6&lt;J489,1+$Q$6&gt;K489,1-$Q$6&lt;K489,1+$Q$6&gt;L489,1-$Q$6&lt;L489),IF(SUM($M$2:M488)=0,1,0),0)</f>
        <v>0</v>
      </c>
      <c r="N489" s="38">
        <f>IF(AND(1+$Q$7&gt;H489,1-$Q$7&lt;H489,1+$Q$7&gt;I489,1-$Q$7&lt;I489,1+$Q$7&gt;J489,1-$Q$7&lt;J489,1+$Q$7&gt;K489,1-$Q$7&lt;K489,1+$Q$7&gt;L489,1-$Q$7&lt;L489),IF(SUM($N$2:N488)=0,1,0),0)</f>
        <v>0</v>
      </c>
      <c r="O489" s="34">
        <f t="shared" si="7"/>
        <v>0</v>
      </c>
    </row>
    <row r="490" spans="8:15" ht="20.100000000000001" customHeight="1" x14ac:dyDescent="0.25">
      <c r="H490" s="43" t="str">
        <f>IFERROR(ABS(C490/VLOOKUP(2*$B490,$B491:C524,2,TRUE)),"--")</f>
        <v>--</v>
      </c>
      <c r="I490" s="43" t="str">
        <f>IFERROR(ABS(D490/VLOOKUP(2*$B490,$B491:D524,3,TRUE)),"--")</f>
        <v>--</v>
      </c>
      <c r="J490" s="43" t="str">
        <f>IFERROR(ABS(E490/VLOOKUP(2*$B490,$B491:E524,4,TRUE)),"--")</f>
        <v>--</v>
      </c>
      <c r="K490" s="43" t="str">
        <f>IFERROR(ABS(F490/VLOOKUP(2*$B490,$B491:F524,5,TRUE)),"--")</f>
        <v>--</v>
      </c>
      <c r="L490" s="43" t="str">
        <f>IFERROR(ABS(G490/VLOOKUP(2*$B490,$B491:G524,6,TRUE)),"--")</f>
        <v>--</v>
      </c>
      <c r="M490" s="38">
        <f>IF(AND(1+$Q$6&gt;H490,1-$Q$6&lt;H490,1+$Q$6&gt;I490,1-$Q$6&lt;I490,1+$Q$6&gt;J490,1-$Q$6&lt;J490,1+$Q$6&gt;K490,1-$Q$6&lt;K490,1+$Q$6&gt;L490,1-$Q$6&lt;L490),IF(SUM($M$2:M489)=0,1,0),0)</f>
        <v>0</v>
      </c>
      <c r="N490" s="38">
        <f>IF(AND(1+$Q$7&gt;H490,1-$Q$7&lt;H490,1+$Q$7&gt;I490,1-$Q$7&lt;I490,1+$Q$7&gt;J490,1-$Q$7&lt;J490,1+$Q$7&gt;K490,1-$Q$7&lt;K490,1+$Q$7&gt;L490,1-$Q$7&lt;L490),IF(SUM($N$2:N489)=0,1,0),0)</f>
        <v>0</v>
      </c>
      <c r="O490" s="34">
        <f t="shared" si="7"/>
        <v>0</v>
      </c>
    </row>
    <row r="491" spans="8:15" ht="20.100000000000001" customHeight="1" x14ac:dyDescent="0.25">
      <c r="H491" s="43" t="str">
        <f>IFERROR(ABS(C491/VLOOKUP(2*$B491,$B492:C525,2,TRUE)),"--")</f>
        <v>--</v>
      </c>
      <c r="I491" s="43" t="str">
        <f>IFERROR(ABS(D491/VLOOKUP(2*$B491,$B492:D525,3,TRUE)),"--")</f>
        <v>--</v>
      </c>
      <c r="J491" s="43" t="str">
        <f>IFERROR(ABS(E491/VLOOKUP(2*$B491,$B492:E525,4,TRUE)),"--")</f>
        <v>--</v>
      </c>
      <c r="K491" s="43" t="str">
        <f>IFERROR(ABS(F491/VLOOKUP(2*$B491,$B492:F525,5,TRUE)),"--")</f>
        <v>--</v>
      </c>
      <c r="L491" s="43" t="str">
        <f>IFERROR(ABS(G491/VLOOKUP(2*$B491,$B492:G525,6,TRUE)),"--")</f>
        <v>--</v>
      </c>
      <c r="M491" s="38">
        <f>IF(AND(1+$Q$6&gt;H491,1-$Q$6&lt;H491,1+$Q$6&gt;I491,1-$Q$6&lt;I491,1+$Q$6&gt;J491,1-$Q$6&lt;J491,1+$Q$6&gt;K491,1-$Q$6&lt;K491,1+$Q$6&gt;L491,1-$Q$6&lt;L491),IF(SUM($M$2:M490)=0,1,0),0)</f>
        <v>0</v>
      </c>
      <c r="N491" s="38">
        <f>IF(AND(1+$Q$7&gt;H491,1-$Q$7&lt;H491,1+$Q$7&gt;I491,1-$Q$7&lt;I491,1+$Q$7&gt;J491,1-$Q$7&lt;J491,1+$Q$7&gt;K491,1-$Q$7&lt;K491,1+$Q$7&gt;L491,1-$Q$7&lt;L491),IF(SUM($N$2:N490)=0,1,0),0)</f>
        <v>0</v>
      </c>
      <c r="O491" s="34">
        <f t="shared" si="7"/>
        <v>0</v>
      </c>
    </row>
    <row r="492" spans="8:15" ht="20.100000000000001" customHeight="1" x14ac:dyDescent="0.25">
      <c r="H492" s="43" t="str">
        <f>IFERROR(ABS(C492/VLOOKUP(2*$B492,$B493:C526,2,TRUE)),"--")</f>
        <v>--</v>
      </c>
      <c r="I492" s="43" t="str">
        <f>IFERROR(ABS(D492/VLOOKUP(2*$B492,$B493:D526,3,TRUE)),"--")</f>
        <v>--</v>
      </c>
      <c r="J492" s="43" t="str">
        <f>IFERROR(ABS(E492/VLOOKUP(2*$B492,$B493:E526,4,TRUE)),"--")</f>
        <v>--</v>
      </c>
      <c r="K492" s="43" t="str">
        <f>IFERROR(ABS(F492/VLOOKUP(2*$B492,$B493:F526,5,TRUE)),"--")</f>
        <v>--</v>
      </c>
      <c r="L492" s="43" t="str">
        <f>IFERROR(ABS(G492/VLOOKUP(2*$B492,$B493:G526,6,TRUE)),"--")</f>
        <v>--</v>
      </c>
      <c r="M492" s="38">
        <f>IF(AND(1+$Q$6&gt;H492,1-$Q$6&lt;H492,1+$Q$6&gt;I492,1-$Q$6&lt;I492,1+$Q$6&gt;J492,1-$Q$6&lt;J492,1+$Q$6&gt;K492,1-$Q$6&lt;K492,1+$Q$6&gt;L492,1-$Q$6&lt;L492),IF(SUM($M$2:M491)=0,1,0),0)</f>
        <v>0</v>
      </c>
      <c r="N492" s="38">
        <f>IF(AND(1+$Q$7&gt;H492,1-$Q$7&lt;H492,1+$Q$7&gt;I492,1-$Q$7&lt;I492,1+$Q$7&gt;J492,1-$Q$7&lt;J492,1+$Q$7&gt;K492,1-$Q$7&lt;K492,1+$Q$7&gt;L492,1-$Q$7&lt;L492),IF(SUM($N$2:N491)=0,1,0),0)</f>
        <v>0</v>
      </c>
      <c r="O492" s="34">
        <f t="shared" si="7"/>
        <v>0</v>
      </c>
    </row>
    <row r="493" spans="8:15" ht="20.100000000000001" customHeight="1" x14ac:dyDescent="0.25">
      <c r="H493" s="43" t="str">
        <f>IFERROR(ABS(C493/VLOOKUP(2*$B493,$B494:C527,2,TRUE)),"--")</f>
        <v>--</v>
      </c>
      <c r="I493" s="43" t="str">
        <f>IFERROR(ABS(D493/VLOOKUP(2*$B493,$B494:D527,3,TRUE)),"--")</f>
        <v>--</v>
      </c>
      <c r="J493" s="43" t="str">
        <f>IFERROR(ABS(E493/VLOOKUP(2*$B493,$B494:E527,4,TRUE)),"--")</f>
        <v>--</v>
      </c>
      <c r="K493" s="43" t="str">
        <f>IFERROR(ABS(F493/VLOOKUP(2*$B493,$B494:F527,5,TRUE)),"--")</f>
        <v>--</v>
      </c>
      <c r="L493" s="43" t="str">
        <f>IFERROR(ABS(G493/VLOOKUP(2*$B493,$B494:G527,6,TRUE)),"--")</f>
        <v>--</v>
      </c>
      <c r="M493" s="38">
        <f>IF(AND(1+$Q$6&gt;H493,1-$Q$6&lt;H493,1+$Q$6&gt;I493,1-$Q$6&lt;I493,1+$Q$6&gt;J493,1-$Q$6&lt;J493,1+$Q$6&gt;K493,1-$Q$6&lt;K493,1+$Q$6&gt;L493,1-$Q$6&lt;L493),IF(SUM($M$2:M492)=0,1,0),0)</f>
        <v>0</v>
      </c>
      <c r="N493" s="38">
        <f>IF(AND(1+$Q$7&gt;H493,1-$Q$7&lt;H493,1+$Q$7&gt;I493,1-$Q$7&lt;I493,1+$Q$7&gt;J493,1-$Q$7&lt;J493,1+$Q$7&gt;K493,1-$Q$7&lt;K493,1+$Q$7&gt;L493,1-$Q$7&lt;L493),IF(SUM($N$2:N492)=0,1,0),0)</f>
        <v>0</v>
      </c>
      <c r="O493" s="34">
        <f t="shared" si="7"/>
        <v>0</v>
      </c>
    </row>
    <row r="494" spans="8:15" ht="20.100000000000001" customHeight="1" x14ac:dyDescent="0.25">
      <c r="H494" s="43" t="str">
        <f>IFERROR(ABS(C494/VLOOKUP(2*$B494,$B495:C528,2,TRUE)),"--")</f>
        <v>--</v>
      </c>
      <c r="I494" s="43" t="str">
        <f>IFERROR(ABS(D494/VLOOKUP(2*$B494,$B495:D528,3,TRUE)),"--")</f>
        <v>--</v>
      </c>
      <c r="J494" s="43" t="str">
        <f>IFERROR(ABS(E494/VLOOKUP(2*$B494,$B495:E528,4,TRUE)),"--")</f>
        <v>--</v>
      </c>
      <c r="K494" s="43" t="str">
        <f>IFERROR(ABS(F494/VLOOKUP(2*$B494,$B495:F528,5,TRUE)),"--")</f>
        <v>--</v>
      </c>
      <c r="L494" s="43" t="str">
        <f>IFERROR(ABS(G494/VLOOKUP(2*$B494,$B495:G528,6,TRUE)),"--")</f>
        <v>--</v>
      </c>
      <c r="M494" s="38">
        <f>IF(AND(1+$Q$6&gt;H494,1-$Q$6&lt;H494,1+$Q$6&gt;I494,1-$Q$6&lt;I494,1+$Q$6&gt;J494,1-$Q$6&lt;J494,1+$Q$6&gt;K494,1-$Q$6&lt;K494,1+$Q$6&gt;L494,1-$Q$6&lt;L494),IF(SUM($M$2:M493)=0,1,0),0)</f>
        <v>0</v>
      </c>
      <c r="N494" s="38">
        <f>IF(AND(1+$Q$7&gt;H494,1-$Q$7&lt;H494,1+$Q$7&gt;I494,1-$Q$7&lt;I494,1+$Q$7&gt;J494,1-$Q$7&lt;J494,1+$Q$7&gt;K494,1-$Q$7&lt;K494,1+$Q$7&gt;L494,1-$Q$7&lt;L494),IF(SUM($N$2:N493)=0,1,0),0)</f>
        <v>0</v>
      </c>
      <c r="O494" s="34">
        <f t="shared" si="7"/>
        <v>0</v>
      </c>
    </row>
    <row r="495" spans="8:15" ht="20.100000000000001" customHeight="1" x14ac:dyDescent="0.25">
      <c r="H495" s="43" t="str">
        <f>IFERROR(ABS(C495/VLOOKUP(2*$B495,$B496:C529,2,TRUE)),"--")</f>
        <v>--</v>
      </c>
      <c r="I495" s="43" t="str">
        <f>IFERROR(ABS(D495/VLOOKUP(2*$B495,$B496:D529,3,TRUE)),"--")</f>
        <v>--</v>
      </c>
      <c r="J495" s="43" t="str">
        <f>IFERROR(ABS(E495/VLOOKUP(2*$B495,$B496:E529,4,TRUE)),"--")</f>
        <v>--</v>
      </c>
      <c r="K495" s="43" t="str">
        <f>IFERROR(ABS(F495/VLOOKUP(2*$B495,$B496:F529,5,TRUE)),"--")</f>
        <v>--</v>
      </c>
      <c r="L495" s="43" t="str">
        <f>IFERROR(ABS(G495/VLOOKUP(2*$B495,$B496:G529,6,TRUE)),"--")</f>
        <v>--</v>
      </c>
      <c r="M495" s="38">
        <f>IF(AND(1+$Q$6&gt;H495,1-$Q$6&lt;H495,1+$Q$6&gt;I495,1-$Q$6&lt;I495,1+$Q$6&gt;J495,1-$Q$6&lt;J495,1+$Q$6&gt;K495,1-$Q$6&lt;K495,1+$Q$6&gt;L495,1-$Q$6&lt;L495),IF(SUM($M$2:M494)=0,1,0),0)</f>
        <v>0</v>
      </c>
      <c r="N495" s="38">
        <f>IF(AND(1+$Q$7&gt;H495,1-$Q$7&lt;H495,1+$Q$7&gt;I495,1-$Q$7&lt;I495,1+$Q$7&gt;J495,1-$Q$7&lt;J495,1+$Q$7&gt;K495,1-$Q$7&lt;K495,1+$Q$7&gt;L495,1-$Q$7&lt;L495),IF(SUM($N$2:N494)=0,1,0),0)</f>
        <v>0</v>
      </c>
      <c r="O495" s="34">
        <f t="shared" si="7"/>
        <v>0</v>
      </c>
    </row>
    <row r="496" spans="8:15" ht="20.100000000000001" customHeight="1" x14ac:dyDescent="0.25">
      <c r="H496" s="43" t="str">
        <f>IFERROR(ABS(C496/VLOOKUP(2*$B496,$B497:C530,2,TRUE)),"--")</f>
        <v>--</v>
      </c>
      <c r="I496" s="43" t="str">
        <f>IFERROR(ABS(D496/VLOOKUP(2*$B496,$B497:D530,3,TRUE)),"--")</f>
        <v>--</v>
      </c>
      <c r="J496" s="43" t="str">
        <f>IFERROR(ABS(E496/VLOOKUP(2*$B496,$B497:E530,4,TRUE)),"--")</f>
        <v>--</v>
      </c>
      <c r="K496" s="43" t="str">
        <f>IFERROR(ABS(F496/VLOOKUP(2*$B496,$B497:F530,5,TRUE)),"--")</f>
        <v>--</v>
      </c>
      <c r="L496" s="43" t="str">
        <f>IFERROR(ABS(G496/VLOOKUP(2*$B496,$B497:G530,6,TRUE)),"--")</f>
        <v>--</v>
      </c>
      <c r="M496" s="38">
        <f>IF(AND(1+$Q$6&gt;H496,1-$Q$6&lt;H496,1+$Q$6&gt;I496,1-$Q$6&lt;I496,1+$Q$6&gt;J496,1-$Q$6&lt;J496,1+$Q$6&gt;K496,1-$Q$6&lt;K496,1+$Q$6&gt;L496,1-$Q$6&lt;L496),IF(SUM($M$2:M495)=0,1,0),0)</f>
        <v>0</v>
      </c>
      <c r="N496" s="38">
        <f>IF(AND(1+$Q$7&gt;H496,1-$Q$7&lt;H496,1+$Q$7&gt;I496,1-$Q$7&lt;I496,1+$Q$7&gt;J496,1-$Q$7&lt;J496,1+$Q$7&gt;K496,1-$Q$7&lt;K496,1+$Q$7&gt;L496,1-$Q$7&lt;L496),IF(SUM($N$2:N495)=0,1,0),0)</f>
        <v>0</v>
      </c>
      <c r="O496" s="34">
        <f t="shared" si="7"/>
        <v>0</v>
      </c>
    </row>
    <row r="497" spans="8:15" ht="20.100000000000001" customHeight="1" x14ac:dyDescent="0.25">
      <c r="H497" s="43" t="str">
        <f>IFERROR(ABS(C497/VLOOKUP(2*$B497,$B498:C531,2,TRUE)),"--")</f>
        <v>--</v>
      </c>
      <c r="I497" s="43" t="str">
        <f>IFERROR(ABS(D497/VLOOKUP(2*$B497,$B498:D531,3,TRUE)),"--")</f>
        <v>--</v>
      </c>
      <c r="J497" s="43" t="str">
        <f>IFERROR(ABS(E497/VLOOKUP(2*$B497,$B498:E531,4,TRUE)),"--")</f>
        <v>--</v>
      </c>
      <c r="K497" s="43" t="str">
        <f>IFERROR(ABS(F497/VLOOKUP(2*$B497,$B498:F531,5,TRUE)),"--")</f>
        <v>--</v>
      </c>
      <c r="L497" s="43" t="str">
        <f>IFERROR(ABS(G497/VLOOKUP(2*$B497,$B498:G531,6,TRUE)),"--")</f>
        <v>--</v>
      </c>
      <c r="M497" s="38">
        <f>IF(AND(1+$Q$6&gt;H497,1-$Q$6&lt;H497,1+$Q$6&gt;I497,1-$Q$6&lt;I497,1+$Q$6&gt;J497,1-$Q$6&lt;J497,1+$Q$6&gt;K497,1-$Q$6&lt;K497,1+$Q$6&gt;L497,1-$Q$6&lt;L497),IF(SUM($M$2:M496)=0,1,0),0)</f>
        <v>0</v>
      </c>
      <c r="N497" s="38">
        <f>IF(AND(1+$Q$7&gt;H497,1-$Q$7&lt;H497,1+$Q$7&gt;I497,1-$Q$7&lt;I497,1+$Q$7&gt;J497,1-$Q$7&lt;J497,1+$Q$7&gt;K497,1-$Q$7&lt;K497,1+$Q$7&gt;L497,1-$Q$7&lt;L497),IF(SUM($N$2:N496)=0,1,0),0)</f>
        <v>0</v>
      </c>
      <c r="O497" s="34">
        <f t="shared" si="7"/>
        <v>0</v>
      </c>
    </row>
    <row r="498" spans="8:15" ht="20.100000000000001" customHeight="1" x14ac:dyDescent="0.25">
      <c r="H498" s="43" t="str">
        <f>IFERROR(ABS(C498/VLOOKUP(2*$B498,$B499:C532,2,TRUE)),"--")</f>
        <v>--</v>
      </c>
      <c r="I498" s="43" t="str">
        <f>IFERROR(ABS(D498/VLOOKUP(2*$B498,$B499:D532,3,TRUE)),"--")</f>
        <v>--</v>
      </c>
      <c r="J498" s="43" t="str">
        <f>IFERROR(ABS(E498/VLOOKUP(2*$B498,$B499:E532,4,TRUE)),"--")</f>
        <v>--</v>
      </c>
      <c r="K498" s="43" t="str">
        <f>IFERROR(ABS(F498/VLOOKUP(2*$B498,$B499:F532,5,TRUE)),"--")</f>
        <v>--</v>
      </c>
      <c r="L498" s="43" t="str">
        <f>IFERROR(ABS(G498/VLOOKUP(2*$B498,$B499:G532,6,TRUE)),"--")</f>
        <v>--</v>
      </c>
      <c r="M498" s="38">
        <f>IF(AND(1+$Q$6&gt;H498,1-$Q$6&lt;H498,1+$Q$6&gt;I498,1-$Q$6&lt;I498,1+$Q$6&gt;J498,1-$Q$6&lt;J498,1+$Q$6&gt;K498,1-$Q$6&lt;K498,1+$Q$6&gt;L498,1-$Q$6&lt;L498),IF(SUM($M$2:M497)=0,1,0),0)</f>
        <v>0</v>
      </c>
      <c r="N498" s="38">
        <f>IF(AND(1+$Q$7&gt;H498,1-$Q$7&lt;H498,1+$Q$7&gt;I498,1-$Q$7&lt;I498,1+$Q$7&gt;J498,1-$Q$7&lt;J498,1+$Q$7&gt;K498,1-$Q$7&lt;K498,1+$Q$7&gt;L498,1-$Q$7&lt;L498),IF(SUM($N$2:N497)=0,1,0),0)</f>
        <v>0</v>
      </c>
      <c r="O498" s="34">
        <f t="shared" si="7"/>
        <v>0</v>
      </c>
    </row>
    <row r="499" spans="8:15" ht="20.100000000000001" customHeight="1" x14ac:dyDescent="0.25">
      <c r="H499" s="43" t="str">
        <f>IFERROR(ABS(C499/VLOOKUP(2*$B499,$B500:C533,2,TRUE)),"--")</f>
        <v>--</v>
      </c>
      <c r="I499" s="43" t="str">
        <f>IFERROR(ABS(D499/VLOOKUP(2*$B499,$B500:D533,3,TRUE)),"--")</f>
        <v>--</v>
      </c>
      <c r="J499" s="43" t="str">
        <f>IFERROR(ABS(E499/VLOOKUP(2*$B499,$B500:E533,4,TRUE)),"--")</f>
        <v>--</v>
      </c>
      <c r="K499" s="43" t="str">
        <f>IFERROR(ABS(F499/VLOOKUP(2*$B499,$B500:F533,5,TRUE)),"--")</f>
        <v>--</v>
      </c>
      <c r="L499" s="43" t="str">
        <f>IFERROR(ABS(G499/VLOOKUP(2*$B499,$B500:G533,6,TRUE)),"--")</f>
        <v>--</v>
      </c>
      <c r="M499" s="38">
        <f>IF(AND(1+$Q$6&gt;H499,1-$Q$6&lt;H499,1+$Q$6&gt;I499,1-$Q$6&lt;I499,1+$Q$6&gt;J499,1-$Q$6&lt;J499,1+$Q$6&gt;K499,1-$Q$6&lt;K499,1+$Q$6&gt;L499,1-$Q$6&lt;L499),IF(SUM($M$2:M498)=0,1,0),0)</f>
        <v>0</v>
      </c>
      <c r="N499" s="38">
        <f>IF(AND(1+$Q$7&gt;H499,1-$Q$7&lt;H499,1+$Q$7&gt;I499,1-$Q$7&lt;I499,1+$Q$7&gt;J499,1-$Q$7&lt;J499,1+$Q$7&gt;K499,1-$Q$7&lt;K499,1+$Q$7&gt;L499,1-$Q$7&lt;L499),IF(SUM($N$2:N498)=0,1,0),0)</f>
        <v>0</v>
      </c>
      <c r="O499" s="34">
        <f t="shared" si="7"/>
        <v>0</v>
      </c>
    </row>
    <row r="500" spans="8:15" ht="20.100000000000001" customHeight="1" x14ac:dyDescent="0.25">
      <c r="H500" s="43" t="str">
        <f>IFERROR(ABS(C500/VLOOKUP(2*$B500,$B501:C534,2,TRUE)),"--")</f>
        <v>--</v>
      </c>
      <c r="I500" s="43" t="str">
        <f>IFERROR(ABS(D500/VLOOKUP(2*$B500,$B501:D534,3,TRUE)),"--")</f>
        <v>--</v>
      </c>
      <c r="J500" s="43" t="str">
        <f>IFERROR(ABS(E500/VLOOKUP(2*$B500,$B501:E534,4,TRUE)),"--")</f>
        <v>--</v>
      </c>
      <c r="K500" s="43" t="str">
        <f>IFERROR(ABS(F500/VLOOKUP(2*$B500,$B501:F534,5,TRUE)),"--")</f>
        <v>--</v>
      </c>
      <c r="L500" s="43" t="str">
        <f>IFERROR(ABS(G500/VLOOKUP(2*$B500,$B501:G534,6,TRUE)),"--")</f>
        <v>--</v>
      </c>
      <c r="M500" s="38">
        <f>IF(AND(1+$Q$6&gt;H500,1-$Q$6&lt;H500,1+$Q$6&gt;I500,1-$Q$6&lt;I500,1+$Q$6&gt;J500,1-$Q$6&lt;J500,1+$Q$6&gt;K500,1-$Q$6&lt;K500,1+$Q$6&gt;L500,1-$Q$6&lt;L500),IF(SUM($M$2:M499)=0,1,0),0)</f>
        <v>0</v>
      </c>
      <c r="N500" s="38">
        <f>IF(AND(1+$Q$7&gt;H500,1-$Q$7&lt;H500,1+$Q$7&gt;I500,1-$Q$7&lt;I500,1+$Q$7&gt;J500,1-$Q$7&lt;J500,1+$Q$7&gt;K500,1-$Q$7&lt;K500,1+$Q$7&gt;L500,1-$Q$7&lt;L500),IF(SUM($N$2:N499)=0,1,0),0)</f>
        <v>0</v>
      </c>
      <c r="O500" s="34">
        <f t="shared" si="7"/>
        <v>0</v>
      </c>
    </row>
    <row r="501" spans="8:15" ht="20.100000000000001" customHeight="1" x14ac:dyDescent="0.25">
      <c r="H501" s="43" t="str">
        <f>IFERROR(ABS(C501/VLOOKUP(2*$B501,$B502:C535,2,TRUE)),"--")</f>
        <v>--</v>
      </c>
      <c r="I501" s="43" t="str">
        <f>IFERROR(ABS(D501/VLOOKUP(2*$B501,$B502:D535,3,TRUE)),"--")</f>
        <v>--</v>
      </c>
      <c r="J501" s="43" t="str">
        <f>IFERROR(ABS(E501/VLOOKUP(2*$B501,$B502:E535,4,TRUE)),"--")</f>
        <v>--</v>
      </c>
      <c r="K501" s="43" t="str">
        <f>IFERROR(ABS(F501/VLOOKUP(2*$B501,$B502:F535,5,TRUE)),"--")</f>
        <v>--</v>
      </c>
      <c r="L501" s="43" t="str">
        <f>IFERROR(ABS(G501/VLOOKUP(2*$B501,$B502:G535,6,TRUE)),"--")</f>
        <v>--</v>
      </c>
      <c r="M501" s="38">
        <f>IF(AND(1+$Q$6&gt;H501,1-$Q$6&lt;H501,1+$Q$6&gt;I501,1-$Q$6&lt;I501,1+$Q$6&gt;J501,1-$Q$6&lt;J501,1+$Q$6&gt;K501,1-$Q$6&lt;K501,1+$Q$6&gt;L501,1-$Q$6&lt;L501),IF(SUM($M$2:M500)=0,1,0),0)</f>
        <v>0</v>
      </c>
      <c r="N501" s="38">
        <f>IF(AND(1+$Q$7&gt;H501,1-$Q$7&lt;H501,1+$Q$7&gt;I501,1-$Q$7&lt;I501,1+$Q$7&gt;J501,1-$Q$7&lt;J501,1+$Q$7&gt;K501,1-$Q$7&lt;K501,1+$Q$7&gt;L501,1-$Q$7&lt;L501),IF(SUM($N$2:N500)=0,1,0),0)</f>
        <v>0</v>
      </c>
      <c r="O501" s="34">
        <f t="shared" si="7"/>
        <v>0</v>
      </c>
    </row>
    <row r="502" spans="8:15" ht="20.100000000000001" customHeight="1" x14ac:dyDescent="0.25">
      <c r="H502" s="43" t="str">
        <f>IFERROR(ABS(C502/VLOOKUP(2*$B502,$B503:C536,2,TRUE)),"--")</f>
        <v>--</v>
      </c>
      <c r="I502" s="43" t="str">
        <f>IFERROR(ABS(D502/VLOOKUP(2*$B502,$B503:D536,3,TRUE)),"--")</f>
        <v>--</v>
      </c>
      <c r="J502" s="43" t="str">
        <f>IFERROR(ABS(E502/VLOOKUP(2*$B502,$B503:E536,4,TRUE)),"--")</f>
        <v>--</v>
      </c>
      <c r="K502" s="43" t="str">
        <f>IFERROR(ABS(F502/VLOOKUP(2*$B502,$B503:F536,5,TRUE)),"--")</f>
        <v>--</v>
      </c>
      <c r="L502" s="43" t="str">
        <f>IFERROR(ABS(G502/VLOOKUP(2*$B502,$B503:G536,6,TRUE)),"--")</f>
        <v>--</v>
      </c>
      <c r="M502" s="38">
        <f>IF(AND(1+$Q$6&gt;H502,1-$Q$6&lt;H502,1+$Q$6&gt;I502,1-$Q$6&lt;I502,1+$Q$6&gt;J502,1-$Q$6&lt;J502,1+$Q$6&gt;K502,1-$Q$6&lt;K502,1+$Q$6&gt;L502,1-$Q$6&lt;L502),IF(SUM($M$2:M501)=0,1,0),0)</f>
        <v>0</v>
      </c>
      <c r="N502" s="38">
        <f>IF(AND(1+$Q$7&gt;H502,1-$Q$7&lt;H502,1+$Q$7&gt;I502,1-$Q$7&lt;I502,1+$Q$7&gt;J502,1-$Q$7&lt;J502,1+$Q$7&gt;K502,1-$Q$7&lt;K502,1+$Q$7&gt;L502,1-$Q$7&lt;L502),IF(SUM($N$2:N501)=0,1,0),0)</f>
        <v>0</v>
      </c>
      <c r="O502" s="34">
        <f t="shared" si="7"/>
        <v>0</v>
      </c>
    </row>
    <row r="503" spans="8:15" ht="20.100000000000001" customHeight="1" x14ac:dyDescent="0.25">
      <c r="H503" s="43" t="str">
        <f>IFERROR(ABS(C503/VLOOKUP(2*$B503,$B504:C537,2,TRUE)),"--")</f>
        <v>--</v>
      </c>
      <c r="I503" s="43" t="str">
        <f>IFERROR(ABS(D503/VLOOKUP(2*$B503,$B504:D537,3,TRUE)),"--")</f>
        <v>--</v>
      </c>
      <c r="J503" s="43" t="str">
        <f>IFERROR(ABS(E503/VLOOKUP(2*$B503,$B504:E537,4,TRUE)),"--")</f>
        <v>--</v>
      </c>
      <c r="K503" s="43" t="str">
        <f>IFERROR(ABS(F503/VLOOKUP(2*$B503,$B504:F537,5,TRUE)),"--")</f>
        <v>--</v>
      </c>
      <c r="L503" s="43" t="str">
        <f>IFERROR(ABS(G503/VLOOKUP(2*$B503,$B504:G537,6,TRUE)),"--")</f>
        <v>--</v>
      </c>
      <c r="M503" s="38">
        <f>IF(AND(1+$Q$6&gt;H503,1-$Q$6&lt;H503,1+$Q$6&gt;I503,1-$Q$6&lt;I503,1+$Q$6&gt;J503,1-$Q$6&lt;J503,1+$Q$6&gt;K503,1-$Q$6&lt;K503,1+$Q$6&gt;L503,1-$Q$6&lt;L503),IF(SUM($M$2:M502)=0,1,0),0)</f>
        <v>0</v>
      </c>
      <c r="N503" s="38">
        <f>IF(AND(1+$Q$7&gt;H503,1-$Q$7&lt;H503,1+$Q$7&gt;I503,1-$Q$7&lt;I503,1+$Q$7&gt;J503,1-$Q$7&lt;J503,1+$Q$7&gt;K503,1-$Q$7&lt;K503,1+$Q$7&gt;L503,1-$Q$7&lt;L503),IF(SUM($N$2:N502)=0,1,0),0)</f>
        <v>0</v>
      </c>
      <c r="O503" s="34">
        <f t="shared" si="7"/>
        <v>0</v>
      </c>
    </row>
    <row r="504" spans="8:15" ht="20.100000000000001" customHeight="1" x14ac:dyDescent="0.25">
      <c r="H504" s="43" t="str">
        <f>IFERROR(ABS(C504/VLOOKUP(2*$B504,$B505:C538,2,TRUE)),"--")</f>
        <v>--</v>
      </c>
      <c r="I504" s="43" t="str">
        <f>IFERROR(ABS(D504/VLOOKUP(2*$B504,$B505:D538,3,TRUE)),"--")</f>
        <v>--</v>
      </c>
      <c r="J504" s="43" t="str">
        <f>IFERROR(ABS(E504/VLOOKUP(2*$B504,$B505:E538,4,TRUE)),"--")</f>
        <v>--</v>
      </c>
      <c r="K504" s="43" t="str">
        <f>IFERROR(ABS(F504/VLOOKUP(2*$B504,$B505:F538,5,TRUE)),"--")</f>
        <v>--</v>
      </c>
      <c r="L504" s="43" t="str">
        <f>IFERROR(ABS(G504/VLOOKUP(2*$B504,$B505:G538,6,TRUE)),"--")</f>
        <v>--</v>
      </c>
      <c r="M504" s="38">
        <f>IF(AND(1+$Q$6&gt;H504,1-$Q$6&lt;H504,1+$Q$6&gt;I504,1-$Q$6&lt;I504,1+$Q$6&gt;J504,1-$Q$6&lt;J504,1+$Q$6&gt;K504,1-$Q$6&lt;K504,1+$Q$6&gt;L504,1-$Q$6&lt;L504),IF(SUM($M$2:M503)=0,1,0),0)</f>
        <v>0</v>
      </c>
      <c r="N504" s="38">
        <f>IF(AND(1+$Q$7&gt;H504,1-$Q$7&lt;H504,1+$Q$7&gt;I504,1-$Q$7&lt;I504,1+$Q$7&gt;J504,1-$Q$7&lt;J504,1+$Q$7&gt;K504,1-$Q$7&lt;K504,1+$Q$7&gt;L504,1-$Q$7&lt;L504),IF(SUM($N$2:N503)=0,1,0),0)</f>
        <v>0</v>
      </c>
      <c r="O504" s="34">
        <f t="shared" si="7"/>
        <v>0</v>
      </c>
    </row>
    <row r="505" spans="8:15" ht="20.100000000000001" customHeight="1" x14ac:dyDescent="0.25">
      <c r="H505" s="43" t="str">
        <f>IFERROR(ABS(C505/VLOOKUP(2*$B505,$B506:C539,2,TRUE)),"--")</f>
        <v>--</v>
      </c>
      <c r="I505" s="43" t="str">
        <f>IFERROR(ABS(D505/VLOOKUP(2*$B505,$B506:D539,3,TRUE)),"--")</f>
        <v>--</v>
      </c>
      <c r="J505" s="43" t="str">
        <f>IFERROR(ABS(E505/VLOOKUP(2*$B505,$B506:E539,4,TRUE)),"--")</f>
        <v>--</v>
      </c>
      <c r="K505" s="43" t="str">
        <f>IFERROR(ABS(F505/VLOOKUP(2*$B505,$B506:F539,5,TRUE)),"--")</f>
        <v>--</v>
      </c>
      <c r="L505" s="43" t="str">
        <f>IFERROR(ABS(G505/VLOOKUP(2*$B505,$B506:G539,6,TRUE)),"--")</f>
        <v>--</v>
      </c>
      <c r="M505" s="38">
        <f>IF(AND(1+$Q$6&gt;H505,1-$Q$6&lt;H505,1+$Q$6&gt;I505,1-$Q$6&lt;I505,1+$Q$6&gt;J505,1-$Q$6&lt;J505,1+$Q$6&gt;K505,1-$Q$6&lt;K505,1+$Q$6&gt;L505,1-$Q$6&lt;L505),IF(SUM($M$2:M504)=0,1,0),0)</f>
        <v>0</v>
      </c>
      <c r="N505" s="38">
        <f>IF(AND(1+$Q$7&gt;H505,1-$Q$7&lt;H505,1+$Q$7&gt;I505,1-$Q$7&lt;I505,1+$Q$7&gt;J505,1-$Q$7&lt;J505,1+$Q$7&gt;K505,1-$Q$7&lt;K505,1+$Q$7&gt;L505,1-$Q$7&lt;L505),IF(SUM($N$2:N504)=0,1,0),0)</f>
        <v>0</v>
      </c>
      <c r="O505" s="34">
        <f t="shared" si="7"/>
        <v>0</v>
      </c>
    </row>
    <row r="506" spans="8:15" ht="20.100000000000001" customHeight="1" x14ac:dyDescent="0.25">
      <c r="H506" s="43" t="str">
        <f>IFERROR(ABS(C506/VLOOKUP(2*$B506,$B507:C540,2,TRUE)),"--")</f>
        <v>--</v>
      </c>
      <c r="I506" s="43" t="str">
        <f>IFERROR(ABS(D506/VLOOKUP(2*$B506,$B507:D540,3,TRUE)),"--")</f>
        <v>--</v>
      </c>
      <c r="J506" s="43" t="str">
        <f>IFERROR(ABS(E506/VLOOKUP(2*$B506,$B507:E540,4,TRUE)),"--")</f>
        <v>--</v>
      </c>
      <c r="K506" s="43" t="str">
        <f>IFERROR(ABS(F506/VLOOKUP(2*$B506,$B507:F540,5,TRUE)),"--")</f>
        <v>--</v>
      </c>
      <c r="L506" s="43" t="str">
        <f>IFERROR(ABS(G506/VLOOKUP(2*$B506,$B507:G540,6,TRUE)),"--")</f>
        <v>--</v>
      </c>
      <c r="M506" s="38">
        <f>IF(AND(1+$Q$6&gt;H506,1-$Q$6&lt;H506,1+$Q$6&gt;I506,1-$Q$6&lt;I506,1+$Q$6&gt;J506,1-$Q$6&lt;J506,1+$Q$6&gt;K506,1-$Q$6&lt;K506,1+$Q$6&gt;L506,1-$Q$6&lt;L506),IF(SUM($M$2:M505)=0,1,0),0)</f>
        <v>0</v>
      </c>
      <c r="N506" s="38">
        <f>IF(AND(1+$Q$7&gt;H506,1-$Q$7&lt;H506,1+$Q$7&gt;I506,1-$Q$7&lt;I506,1+$Q$7&gt;J506,1-$Q$7&lt;J506,1+$Q$7&gt;K506,1-$Q$7&lt;K506,1+$Q$7&gt;L506,1-$Q$7&lt;L506),IF(SUM($N$2:N505)=0,1,0),0)</f>
        <v>0</v>
      </c>
      <c r="O506" s="34">
        <f t="shared" si="7"/>
        <v>0</v>
      </c>
    </row>
    <row r="507" spans="8:15" ht="20.100000000000001" customHeight="1" x14ac:dyDescent="0.25">
      <c r="H507" s="43" t="str">
        <f>IFERROR(ABS(C507/VLOOKUP(2*$B507,$B508:C541,2,TRUE)),"--")</f>
        <v>--</v>
      </c>
      <c r="I507" s="43" t="str">
        <f>IFERROR(ABS(D507/VLOOKUP(2*$B507,$B508:D541,3,TRUE)),"--")</f>
        <v>--</v>
      </c>
      <c r="J507" s="43" t="str">
        <f>IFERROR(ABS(E507/VLOOKUP(2*$B507,$B508:E541,4,TRUE)),"--")</f>
        <v>--</v>
      </c>
      <c r="K507" s="43" t="str">
        <f>IFERROR(ABS(F507/VLOOKUP(2*$B507,$B508:F541,5,TRUE)),"--")</f>
        <v>--</v>
      </c>
      <c r="L507" s="43" t="str">
        <f>IFERROR(ABS(G507/VLOOKUP(2*$B507,$B508:G541,6,TRUE)),"--")</f>
        <v>--</v>
      </c>
      <c r="M507" s="38">
        <f>IF(AND(1+$Q$6&gt;H507,1-$Q$6&lt;H507,1+$Q$6&gt;I507,1-$Q$6&lt;I507,1+$Q$6&gt;J507,1-$Q$6&lt;J507,1+$Q$6&gt;K507,1-$Q$6&lt;K507,1+$Q$6&gt;L507,1-$Q$6&lt;L507),IF(SUM($M$2:M506)=0,1,0),0)</f>
        <v>0</v>
      </c>
      <c r="N507" s="38">
        <f>IF(AND(1+$Q$7&gt;H507,1-$Q$7&lt;H507,1+$Q$7&gt;I507,1-$Q$7&lt;I507,1+$Q$7&gt;J507,1-$Q$7&lt;J507,1+$Q$7&gt;K507,1-$Q$7&lt;K507,1+$Q$7&gt;L507,1-$Q$7&lt;L507),IF(SUM($N$2:N506)=0,1,0),0)</f>
        <v>0</v>
      </c>
      <c r="O507" s="34">
        <f t="shared" si="7"/>
        <v>0</v>
      </c>
    </row>
    <row r="508" spans="8:15" ht="20.100000000000001" customHeight="1" x14ac:dyDescent="0.25">
      <c r="H508" s="43" t="str">
        <f>IFERROR(ABS(C508/VLOOKUP(2*$B508,$B509:C542,2,TRUE)),"--")</f>
        <v>--</v>
      </c>
      <c r="I508" s="43" t="str">
        <f>IFERROR(ABS(D508/VLOOKUP(2*$B508,$B509:D542,3,TRUE)),"--")</f>
        <v>--</v>
      </c>
      <c r="J508" s="43" t="str">
        <f>IFERROR(ABS(E508/VLOOKUP(2*$B508,$B509:E542,4,TRUE)),"--")</f>
        <v>--</v>
      </c>
      <c r="K508" s="43" t="str">
        <f>IFERROR(ABS(F508/VLOOKUP(2*$B508,$B509:F542,5,TRUE)),"--")</f>
        <v>--</v>
      </c>
      <c r="L508" s="43" t="str">
        <f>IFERROR(ABS(G508/VLOOKUP(2*$B508,$B509:G542,6,TRUE)),"--")</f>
        <v>--</v>
      </c>
      <c r="M508" s="38">
        <f>IF(AND(1+$Q$6&gt;H508,1-$Q$6&lt;H508,1+$Q$6&gt;I508,1-$Q$6&lt;I508,1+$Q$6&gt;J508,1-$Q$6&lt;J508,1+$Q$6&gt;K508,1-$Q$6&lt;K508,1+$Q$6&gt;L508,1-$Q$6&lt;L508),IF(SUM($M$2:M507)=0,1,0),0)</f>
        <v>0</v>
      </c>
      <c r="N508" s="38">
        <f>IF(AND(1+$Q$7&gt;H508,1-$Q$7&lt;H508,1+$Q$7&gt;I508,1-$Q$7&lt;I508,1+$Q$7&gt;J508,1-$Q$7&lt;J508,1+$Q$7&gt;K508,1-$Q$7&lt;K508,1+$Q$7&gt;L508,1-$Q$7&lt;L508),IF(SUM($N$2:N507)=0,1,0),0)</f>
        <v>0</v>
      </c>
      <c r="O508" s="34">
        <f t="shared" si="7"/>
        <v>0</v>
      </c>
    </row>
    <row r="509" spans="8:15" ht="20.100000000000001" customHeight="1" x14ac:dyDescent="0.25">
      <c r="H509" s="43" t="str">
        <f>IFERROR(ABS(C509/VLOOKUP(2*$B509,$B510:C543,2,TRUE)),"--")</f>
        <v>--</v>
      </c>
      <c r="I509" s="43" t="str">
        <f>IFERROR(ABS(D509/VLOOKUP(2*$B509,$B510:D543,3,TRUE)),"--")</f>
        <v>--</v>
      </c>
      <c r="J509" s="43" t="str">
        <f>IFERROR(ABS(E509/VLOOKUP(2*$B509,$B510:E543,4,TRUE)),"--")</f>
        <v>--</v>
      </c>
      <c r="K509" s="43" t="str">
        <f>IFERROR(ABS(F509/VLOOKUP(2*$B509,$B510:F543,5,TRUE)),"--")</f>
        <v>--</v>
      </c>
      <c r="L509" s="43" t="str">
        <f>IFERROR(ABS(G509/VLOOKUP(2*$B509,$B510:G543,6,TRUE)),"--")</f>
        <v>--</v>
      </c>
      <c r="M509" s="38">
        <f>IF(AND(1+$Q$6&gt;H509,1-$Q$6&lt;H509,1+$Q$6&gt;I509,1-$Q$6&lt;I509,1+$Q$6&gt;J509,1-$Q$6&lt;J509,1+$Q$6&gt;K509,1-$Q$6&lt;K509,1+$Q$6&gt;L509,1-$Q$6&lt;L509),IF(SUM($M$2:M508)=0,1,0),0)</f>
        <v>0</v>
      </c>
      <c r="N509" s="38">
        <f>IF(AND(1+$Q$7&gt;H509,1-$Q$7&lt;H509,1+$Q$7&gt;I509,1-$Q$7&lt;I509,1+$Q$7&gt;J509,1-$Q$7&lt;J509,1+$Q$7&gt;K509,1-$Q$7&lt;K509,1+$Q$7&gt;L509,1-$Q$7&lt;L509),IF(SUM($N$2:N508)=0,1,0),0)</f>
        <v>0</v>
      </c>
      <c r="O509" s="34">
        <f t="shared" si="7"/>
        <v>0</v>
      </c>
    </row>
    <row r="510" spans="8:15" ht="20.100000000000001" customHeight="1" x14ac:dyDescent="0.25">
      <c r="H510" s="43" t="str">
        <f>IFERROR(ABS(C510/VLOOKUP(2*$B510,$B511:C544,2,TRUE)),"--")</f>
        <v>--</v>
      </c>
      <c r="I510" s="43" t="str">
        <f>IFERROR(ABS(D510/VLOOKUP(2*$B510,$B511:D544,3,TRUE)),"--")</f>
        <v>--</v>
      </c>
      <c r="J510" s="43" t="str">
        <f>IFERROR(ABS(E510/VLOOKUP(2*$B510,$B511:E544,4,TRUE)),"--")</f>
        <v>--</v>
      </c>
      <c r="K510" s="43" t="str">
        <f>IFERROR(ABS(F510/VLOOKUP(2*$B510,$B511:F544,5,TRUE)),"--")</f>
        <v>--</v>
      </c>
      <c r="L510" s="43" t="str">
        <f>IFERROR(ABS(G510/VLOOKUP(2*$B510,$B511:G544,6,TRUE)),"--")</f>
        <v>--</v>
      </c>
      <c r="M510" s="38">
        <f>IF(AND(1+$Q$6&gt;H510,1-$Q$6&lt;H510,1+$Q$6&gt;I510,1-$Q$6&lt;I510,1+$Q$6&gt;J510,1-$Q$6&lt;J510,1+$Q$6&gt;K510,1-$Q$6&lt;K510,1+$Q$6&gt;L510,1-$Q$6&lt;L510),IF(SUM($M$2:M509)=0,1,0),0)</f>
        <v>0</v>
      </c>
      <c r="N510" s="38">
        <f>IF(AND(1+$Q$7&gt;H510,1-$Q$7&lt;H510,1+$Q$7&gt;I510,1-$Q$7&lt;I510,1+$Q$7&gt;J510,1-$Q$7&lt;J510,1+$Q$7&gt;K510,1-$Q$7&lt;K510,1+$Q$7&gt;L510,1-$Q$7&lt;L510),IF(SUM($N$2:N509)=0,1,0),0)</f>
        <v>0</v>
      </c>
      <c r="O510" s="34">
        <f t="shared" si="7"/>
        <v>0</v>
      </c>
    </row>
    <row r="511" spans="8:15" ht="20.100000000000001" customHeight="1" x14ac:dyDescent="0.25">
      <c r="H511" s="43" t="str">
        <f>IFERROR(ABS(C511/VLOOKUP(2*$B511,$B512:C545,2,TRUE)),"--")</f>
        <v>--</v>
      </c>
      <c r="I511" s="43" t="str">
        <f>IFERROR(ABS(D511/VLOOKUP(2*$B511,$B512:D545,3,TRUE)),"--")</f>
        <v>--</v>
      </c>
      <c r="J511" s="43" t="str">
        <f>IFERROR(ABS(E511/VLOOKUP(2*$B511,$B512:E545,4,TRUE)),"--")</f>
        <v>--</v>
      </c>
      <c r="K511" s="43" t="str">
        <f>IFERROR(ABS(F511/VLOOKUP(2*$B511,$B512:F545,5,TRUE)),"--")</f>
        <v>--</v>
      </c>
      <c r="L511" s="43" t="str">
        <f>IFERROR(ABS(G511/VLOOKUP(2*$B511,$B512:G545,6,TRUE)),"--")</f>
        <v>--</v>
      </c>
      <c r="M511" s="38">
        <f>IF(AND(1+$Q$6&gt;H511,1-$Q$6&lt;H511,1+$Q$6&gt;I511,1-$Q$6&lt;I511,1+$Q$6&gt;J511,1-$Q$6&lt;J511,1+$Q$6&gt;K511,1-$Q$6&lt;K511,1+$Q$6&gt;L511,1-$Q$6&lt;L511),IF(SUM($M$2:M510)=0,1,0),0)</f>
        <v>0</v>
      </c>
      <c r="N511" s="38">
        <f>IF(AND(1+$Q$7&gt;H511,1-$Q$7&lt;H511,1+$Q$7&gt;I511,1-$Q$7&lt;I511,1+$Q$7&gt;J511,1-$Q$7&lt;J511,1+$Q$7&gt;K511,1-$Q$7&lt;K511,1+$Q$7&gt;L511,1-$Q$7&lt;L511),IF(SUM($N$2:N510)=0,1,0),0)</f>
        <v>0</v>
      </c>
      <c r="O511" s="34">
        <f t="shared" si="7"/>
        <v>0</v>
      </c>
    </row>
    <row r="512" spans="8:15" ht="20.100000000000001" customHeight="1" x14ac:dyDescent="0.25">
      <c r="H512" s="43" t="str">
        <f>IFERROR(ABS(C512/VLOOKUP(2*$B512,$B513:C546,2,TRUE)),"--")</f>
        <v>--</v>
      </c>
      <c r="I512" s="43" t="str">
        <f>IFERROR(ABS(D512/VLOOKUP(2*$B512,$B513:D546,3,TRUE)),"--")</f>
        <v>--</v>
      </c>
      <c r="J512" s="43" t="str">
        <f>IFERROR(ABS(E512/VLOOKUP(2*$B512,$B513:E546,4,TRUE)),"--")</f>
        <v>--</v>
      </c>
      <c r="K512" s="43" t="str">
        <f>IFERROR(ABS(F512/VLOOKUP(2*$B512,$B513:F546,5,TRUE)),"--")</f>
        <v>--</v>
      </c>
      <c r="L512" s="43" t="str">
        <f>IFERROR(ABS(G512/VLOOKUP(2*$B512,$B513:G546,6,TRUE)),"--")</f>
        <v>--</v>
      </c>
      <c r="M512" s="38">
        <f>IF(AND(1+$Q$6&gt;H512,1-$Q$6&lt;H512,1+$Q$6&gt;I512,1-$Q$6&lt;I512,1+$Q$6&gt;J512,1-$Q$6&lt;J512,1+$Q$6&gt;K512,1-$Q$6&lt;K512,1+$Q$6&gt;L512,1-$Q$6&lt;L512),IF(SUM($M$2:M511)=0,1,0),0)</f>
        <v>0</v>
      </c>
      <c r="N512" s="38">
        <f>IF(AND(1+$Q$7&gt;H512,1-$Q$7&lt;H512,1+$Q$7&gt;I512,1-$Q$7&lt;I512,1+$Q$7&gt;J512,1-$Q$7&lt;J512,1+$Q$7&gt;K512,1-$Q$7&lt;K512,1+$Q$7&gt;L512,1-$Q$7&lt;L512),IF(SUM($N$2:N511)=0,1,0),0)</f>
        <v>0</v>
      </c>
      <c r="O512" s="34">
        <f t="shared" si="7"/>
        <v>0</v>
      </c>
    </row>
    <row r="513" spans="8:15" ht="20.100000000000001" customHeight="1" x14ac:dyDescent="0.25">
      <c r="H513" s="43" t="str">
        <f>IFERROR(ABS(C513/VLOOKUP(2*$B513,$B514:C547,2,TRUE)),"--")</f>
        <v>--</v>
      </c>
      <c r="I513" s="43" t="str">
        <f>IFERROR(ABS(D513/VLOOKUP(2*$B513,$B514:D547,3,TRUE)),"--")</f>
        <v>--</v>
      </c>
      <c r="J513" s="43" t="str">
        <f>IFERROR(ABS(E513/VLOOKUP(2*$B513,$B514:E547,4,TRUE)),"--")</f>
        <v>--</v>
      </c>
      <c r="K513" s="43" t="str">
        <f>IFERROR(ABS(F513/VLOOKUP(2*$B513,$B514:F547,5,TRUE)),"--")</f>
        <v>--</v>
      </c>
      <c r="L513" s="43" t="str">
        <f>IFERROR(ABS(G513/VLOOKUP(2*$B513,$B514:G547,6,TRUE)),"--")</f>
        <v>--</v>
      </c>
      <c r="M513" s="38">
        <f>IF(AND(1+$Q$6&gt;H513,1-$Q$6&lt;H513,1+$Q$6&gt;I513,1-$Q$6&lt;I513,1+$Q$6&gt;J513,1-$Q$6&lt;J513,1+$Q$6&gt;K513,1-$Q$6&lt;K513,1+$Q$6&gt;L513,1-$Q$6&lt;L513),IF(SUM($M$2:M512)=0,1,0),0)</f>
        <v>0</v>
      </c>
      <c r="N513" s="38">
        <f>IF(AND(1+$Q$7&gt;H513,1-$Q$7&lt;H513,1+$Q$7&gt;I513,1-$Q$7&lt;I513,1+$Q$7&gt;J513,1-$Q$7&lt;J513,1+$Q$7&gt;K513,1-$Q$7&lt;K513,1+$Q$7&gt;L513,1-$Q$7&lt;L513),IF(SUM($N$2:N512)=0,1,0),0)</f>
        <v>0</v>
      </c>
      <c r="O513" s="34">
        <f t="shared" si="7"/>
        <v>0</v>
      </c>
    </row>
    <row r="514" spans="8:15" ht="20.100000000000001" customHeight="1" x14ac:dyDescent="0.25">
      <c r="H514" s="43" t="str">
        <f>IFERROR(ABS(C514/VLOOKUP(2*$B514,$B515:C548,2,TRUE)),"--")</f>
        <v>--</v>
      </c>
      <c r="I514" s="43" t="str">
        <f>IFERROR(ABS(D514/VLOOKUP(2*$B514,$B515:D548,3,TRUE)),"--")</f>
        <v>--</v>
      </c>
      <c r="J514" s="43" t="str">
        <f>IFERROR(ABS(E514/VLOOKUP(2*$B514,$B515:E548,4,TRUE)),"--")</f>
        <v>--</v>
      </c>
      <c r="K514" s="43" t="str">
        <f>IFERROR(ABS(F514/VLOOKUP(2*$B514,$B515:F548,5,TRUE)),"--")</f>
        <v>--</v>
      </c>
      <c r="L514" s="43" t="str">
        <f>IFERROR(ABS(G514/VLOOKUP(2*$B514,$B515:G548,6,TRUE)),"--")</f>
        <v>--</v>
      </c>
      <c r="M514" s="38">
        <f>IF(AND(1+$Q$6&gt;H514,1-$Q$6&lt;H514,1+$Q$6&gt;I514,1-$Q$6&lt;I514,1+$Q$6&gt;J514,1-$Q$6&lt;J514,1+$Q$6&gt;K514,1-$Q$6&lt;K514,1+$Q$6&gt;L514,1-$Q$6&lt;L514),IF(SUM($M$2:M513)=0,1,0),0)</f>
        <v>0</v>
      </c>
      <c r="N514" s="38">
        <f>IF(AND(1+$Q$7&gt;H514,1-$Q$7&lt;H514,1+$Q$7&gt;I514,1-$Q$7&lt;I514,1+$Q$7&gt;J514,1-$Q$7&lt;J514,1+$Q$7&gt;K514,1-$Q$7&lt;K514,1+$Q$7&gt;L514,1-$Q$7&lt;L514),IF(SUM($N$2:N513)=0,1,0),0)</f>
        <v>0</v>
      </c>
      <c r="O514" s="34">
        <f t="shared" si="7"/>
        <v>0</v>
      </c>
    </row>
    <row r="515" spans="8:15" ht="20.100000000000001" customHeight="1" x14ac:dyDescent="0.25">
      <c r="H515" s="43" t="str">
        <f>IFERROR(ABS(C515/VLOOKUP(2*$B515,$B516:C549,2,TRUE)),"--")</f>
        <v>--</v>
      </c>
      <c r="I515" s="43" t="str">
        <f>IFERROR(ABS(D515/VLOOKUP(2*$B515,$B516:D549,3,TRUE)),"--")</f>
        <v>--</v>
      </c>
      <c r="J515" s="43" t="str">
        <f>IFERROR(ABS(E515/VLOOKUP(2*$B515,$B516:E549,4,TRUE)),"--")</f>
        <v>--</v>
      </c>
      <c r="K515" s="43" t="str">
        <f>IFERROR(ABS(F515/VLOOKUP(2*$B515,$B516:F549,5,TRUE)),"--")</f>
        <v>--</v>
      </c>
      <c r="L515" s="43" t="str">
        <f>IFERROR(ABS(G515/VLOOKUP(2*$B515,$B516:G549,6,TRUE)),"--")</f>
        <v>--</v>
      </c>
      <c r="M515" s="38">
        <f>IF(AND(1+$Q$6&gt;H515,1-$Q$6&lt;H515,1+$Q$6&gt;I515,1-$Q$6&lt;I515,1+$Q$6&gt;J515,1-$Q$6&lt;J515,1+$Q$6&gt;K515,1-$Q$6&lt;K515,1+$Q$6&gt;L515,1-$Q$6&lt;L515),IF(SUM($M$2:M514)=0,1,0),0)</f>
        <v>0</v>
      </c>
      <c r="N515" s="38">
        <f>IF(AND(1+$Q$7&gt;H515,1-$Q$7&lt;H515,1+$Q$7&gt;I515,1-$Q$7&lt;I515,1+$Q$7&gt;J515,1-$Q$7&lt;J515,1+$Q$7&gt;K515,1-$Q$7&lt;K515,1+$Q$7&gt;L515,1-$Q$7&lt;L515),IF(SUM($N$2:N514)=0,1,0),0)</f>
        <v>0</v>
      </c>
      <c r="O515" s="34">
        <f t="shared" ref="O515:O578" si="8">A515</f>
        <v>0</v>
      </c>
    </row>
    <row r="516" spans="8:15" ht="20.100000000000001" customHeight="1" x14ac:dyDescent="0.25">
      <c r="H516" s="43" t="str">
        <f>IFERROR(ABS(C516/VLOOKUP(2*$B516,$B517:C550,2,TRUE)),"--")</f>
        <v>--</v>
      </c>
      <c r="I516" s="43" t="str">
        <f>IFERROR(ABS(D516/VLOOKUP(2*$B516,$B517:D550,3,TRUE)),"--")</f>
        <v>--</v>
      </c>
      <c r="J516" s="43" t="str">
        <f>IFERROR(ABS(E516/VLOOKUP(2*$B516,$B517:E550,4,TRUE)),"--")</f>
        <v>--</v>
      </c>
      <c r="K516" s="43" t="str">
        <f>IFERROR(ABS(F516/VLOOKUP(2*$B516,$B517:F550,5,TRUE)),"--")</f>
        <v>--</v>
      </c>
      <c r="L516" s="43" t="str">
        <f>IFERROR(ABS(G516/VLOOKUP(2*$B516,$B517:G550,6,TRUE)),"--")</f>
        <v>--</v>
      </c>
      <c r="M516" s="38">
        <f>IF(AND(1+$Q$6&gt;H516,1-$Q$6&lt;H516,1+$Q$6&gt;I516,1-$Q$6&lt;I516,1+$Q$6&gt;J516,1-$Q$6&lt;J516,1+$Q$6&gt;K516,1-$Q$6&lt;K516,1+$Q$6&gt;L516,1-$Q$6&lt;L516),IF(SUM($M$2:M515)=0,1,0),0)</f>
        <v>0</v>
      </c>
      <c r="N516" s="38">
        <f>IF(AND(1+$Q$7&gt;H516,1-$Q$7&lt;H516,1+$Q$7&gt;I516,1-$Q$7&lt;I516,1+$Q$7&gt;J516,1-$Q$7&lt;J516,1+$Q$7&gt;K516,1-$Q$7&lt;K516,1+$Q$7&gt;L516,1-$Q$7&lt;L516),IF(SUM($N$2:N515)=0,1,0),0)</f>
        <v>0</v>
      </c>
      <c r="O516" s="34">
        <f t="shared" si="8"/>
        <v>0</v>
      </c>
    </row>
    <row r="517" spans="8:15" ht="20.100000000000001" customHeight="1" x14ac:dyDescent="0.25">
      <c r="H517" s="43" t="str">
        <f>IFERROR(ABS(C517/VLOOKUP(2*$B517,$B518:C551,2,TRUE)),"--")</f>
        <v>--</v>
      </c>
      <c r="I517" s="43" t="str">
        <f>IFERROR(ABS(D517/VLOOKUP(2*$B517,$B518:D551,3,TRUE)),"--")</f>
        <v>--</v>
      </c>
      <c r="J517" s="43" t="str">
        <f>IFERROR(ABS(E517/VLOOKUP(2*$B517,$B518:E551,4,TRUE)),"--")</f>
        <v>--</v>
      </c>
      <c r="K517" s="43" t="str">
        <f>IFERROR(ABS(F517/VLOOKUP(2*$B517,$B518:F551,5,TRUE)),"--")</f>
        <v>--</v>
      </c>
      <c r="L517" s="43" t="str">
        <f>IFERROR(ABS(G517/VLOOKUP(2*$B517,$B518:G551,6,TRUE)),"--")</f>
        <v>--</v>
      </c>
      <c r="M517" s="38">
        <f>IF(AND(1+$Q$6&gt;H517,1-$Q$6&lt;H517,1+$Q$6&gt;I517,1-$Q$6&lt;I517,1+$Q$6&gt;J517,1-$Q$6&lt;J517,1+$Q$6&gt;K517,1-$Q$6&lt;K517,1+$Q$6&gt;L517,1-$Q$6&lt;L517),IF(SUM($M$2:M516)=0,1,0),0)</f>
        <v>0</v>
      </c>
      <c r="N517" s="38">
        <f>IF(AND(1+$Q$7&gt;H517,1-$Q$7&lt;H517,1+$Q$7&gt;I517,1-$Q$7&lt;I517,1+$Q$7&gt;J517,1-$Q$7&lt;J517,1+$Q$7&gt;K517,1-$Q$7&lt;K517,1+$Q$7&gt;L517,1-$Q$7&lt;L517),IF(SUM($N$2:N516)=0,1,0),0)</f>
        <v>0</v>
      </c>
      <c r="O517" s="34">
        <f t="shared" si="8"/>
        <v>0</v>
      </c>
    </row>
    <row r="518" spans="8:15" ht="20.100000000000001" customHeight="1" x14ac:dyDescent="0.25">
      <c r="H518" s="43" t="str">
        <f>IFERROR(ABS(C518/VLOOKUP(2*$B518,$B519:C552,2,TRUE)),"--")</f>
        <v>--</v>
      </c>
      <c r="I518" s="43" t="str">
        <f>IFERROR(ABS(D518/VLOOKUP(2*$B518,$B519:D552,3,TRUE)),"--")</f>
        <v>--</v>
      </c>
      <c r="J518" s="43" t="str">
        <f>IFERROR(ABS(E518/VLOOKUP(2*$B518,$B519:E552,4,TRUE)),"--")</f>
        <v>--</v>
      </c>
      <c r="K518" s="43" t="str">
        <f>IFERROR(ABS(F518/VLOOKUP(2*$B518,$B519:F552,5,TRUE)),"--")</f>
        <v>--</v>
      </c>
      <c r="L518" s="43" t="str">
        <f>IFERROR(ABS(G518/VLOOKUP(2*$B518,$B519:G552,6,TRUE)),"--")</f>
        <v>--</v>
      </c>
      <c r="M518" s="38">
        <f>IF(AND(1+$Q$6&gt;H518,1-$Q$6&lt;H518,1+$Q$6&gt;I518,1-$Q$6&lt;I518,1+$Q$6&gt;J518,1-$Q$6&lt;J518,1+$Q$6&gt;K518,1-$Q$6&lt;K518,1+$Q$6&gt;L518,1-$Q$6&lt;L518),IF(SUM($M$2:M517)=0,1,0),0)</f>
        <v>0</v>
      </c>
      <c r="N518" s="38">
        <f>IF(AND(1+$Q$7&gt;H518,1-$Q$7&lt;H518,1+$Q$7&gt;I518,1-$Q$7&lt;I518,1+$Q$7&gt;J518,1-$Q$7&lt;J518,1+$Q$7&gt;K518,1-$Q$7&lt;K518,1+$Q$7&gt;L518,1-$Q$7&lt;L518),IF(SUM($N$2:N517)=0,1,0),0)</f>
        <v>0</v>
      </c>
      <c r="O518" s="34">
        <f t="shared" si="8"/>
        <v>0</v>
      </c>
    </row>
    <row r="519" spans="8:15" ht="20.100000000000001" customHeight="1" x14ac:dyDescent="0.25">
      <c r="H519" s="43" t="str">
        <f>IFERROR(ABS(C519/VLOOKUP(2*$B519,$B520:C553,2,TRUE)),"--")</f>
        <v>--</v>
      </c>
      <c r="I519" s="43" t="str">
        <f>IFERROR(ABS(D519/VLOOKUP(2*$B519,$B520:D553,3,TRUE)),"--")</f>
        <v>--</v>
      </c>
      <c r="J519" s="43" t="str">
        <f>IFERROR(ABS(E519/VLOOKUP(2*$B519,$B520:E553,4,TRUE)),"--")</f>
        <v>--</v>
      </c>
      <c r="K519" s="43" t="str">
        <f>IFERROR(ABS(F519/VLOOKUP(2*$B519,$B520:F553,5,TRUE)),"--")</f>
        <v>--</v>
      </c>
      <c r="L519" s="43" t="str">
        <f>IFERROR(ABS(G519/VLOOKUP(2*$B519,$B520:G553,6,TRUE)),"--")</f>
        <v>--</v>
      </c>
      <c r="M519" s="38">
        <f>IF(AND(1+$Q$6&gt;H519,1-$Q$6&lt;H519,1+$Q$6&gt;I519,1-$Q$6&lt;I519,1+$Q$6&gt;J519,1-$Q$6&lt;J519,1+$Q$6&gt;K519,1-$Q$6&lt;K519,1+$Q$6&gt;L519,1-$Q$6&lt;L519),IF(SUM($M$2:M518)=0,1,0),0)</f>
        <v>0</v>
      </c>
      <c r="N519" s="38">
        <f>IF(AND(1+$Q$7&gt;H519,1-$Q$7&lt;H519,1+$Q$7&gt;I519,1-$Q$7&lt;I519,1+$Q$7&gt;J519,1-$Q$7&lt;J519,1+$Q$7&gt;K519,1-$Q$7&lt;K519,1+$Q$7&gt;L519,1-$Q$7&lt;L519),IF(SUM($N$2:N518)=0,1,0),0)</f>
        <v>0</v>
      </c>
      <c r="O519" s="34">
        <f t="shared" si="8"/>
        <v>0</v>
      </c>
    </row>
    <row r="520" spans="8:15" ht="20.100000000000001" customHeight="1" x14ac:dyDescent="0.25">
      <c r="H520" s="43" t="str">
        <f>IFERROR(ABS(C520/VLOOKUP(2*$B520,$B521:C554,2,TRUE)),"--")</f>
        <v>--</v>
      </c>
      <c r="I520" s="43" t="str">
        <f>IFERROR(ABS(D520/VLOOKUP(2*$B520,$B521:D554,3,TRUE)),"--")</f>
        <v>--</v>
      </c>
      <c r="J520" s="43" t="str">
        <f>IFERROR(ABS(E520/VLOOKUP(2*$B520,$B521:E554,4,TRUE)),"--")</f>
        <v>--</v>
      </c>
      <c r="K520" s="43" t="str">
        <f>IFERROR(ABS(F520/VLOOKUP(2*$B520,$B521:F554,5,TRUE)),"--")</f>
        <v>--</v>
      </c>
      <c r="L520" s="43" t="str">
        <f>IFERROR(ABS(G520/VLOOKUP(2*$B520,$B521:G554,6,TRUE)),"--")</f>
        <v>--</v>
      </c>
      <c r="M520" s="38">
        <f>IF(AND(1+$Q$6&gt;H520,1-$Q$6&lt;H520,1+$Q$6&gt;I520,1-$Q$6&lt;I520,1+$Q$6&gt;J520,1-$Q$6&lt;J520,1+$Q$6&gt;K520,1-$Q$6&lt;K520,1+$Q$6&gt;L520,1-$Q$6&lt;L520),IF(SUM($M$2:M519)=0,1,0),0)</f>
        <v>0</v>
      </c>
      <c r="N520" s="38">
        <f>IF(AND(1+$Q$7&gt;H520,1-$Q$7&lt;H520,1+$Q$7&gt;I520,1-$Q$7&lt;I520,1+$Q$7&gt;J520,1-$Q$7&lt;J520,1+$Q$7&gt;K520,1-$Q$7&lt;K520,1+$Q$7&gt;L520,1-$Q$7&lt;L520),IF(SUM($N$2:N519)=0,1,0),0)</f>
        <v>0</v>
      </c>
      <c r="O520" s="34">
        <f t="shared" si="8"/>
        <v>0</v>
      </c>
    </row>
    <row r="521" spans="8:15" ht="20.100000000000001" customHeight="1" x14ac:dyDescent="0.25">
      <c r="H521" s="43" t="str">
        <f>IFERROR(ABS(C521/VLOOKUP(2*$B521,$B522:C555,2,TRUE)),"--")</f>
        <v>--</v>
      </c>
      <c r="I521" s="43" t="str">
        <f>IFERROR(ABS(D521/VLOOKUP(2*$B521,$B522:D555,3,TRUE)),"--")</f>
        <v>--</v>
      </c>
      <c r="J521" s="43" t="str">
        <f>IFERROR(ABS(E521/VLOOKUP(2*$B521,$B522:E555,4,TRUE)),"--")</f>
        <v>--</v>
      </c>
      <c r="K521" s="43" t="str">
        <f>IFERROR(ABS(F521/VLOOKUP(2*$B521,$B522:F555,5,TRUE)),"--")</f>
        <v>--</v>
      </c>
      <c r="L521" s="43" t="str">
        <f>IFERROR(ABS(G521/VLOOKUP(2*$B521,$B522:G555,6,TRUE)),"--")</f>
        <v>--</v>
      </c>
      <c r="M521" s="38">
        <f>IF(AND(1+$Q$6&gt;H521,1-$Q$6&lt;H521,1+$Q$6&gt;I521,1-$Q$6&lt;I521,1+$Q$6&gt;J521,1-$Q$6&lt;J521,1+$Q$6&gt;K521,1-$Q$6&lt;K521,1+$Q$6&gt;L521,1-$Q$6&lt;L521),IF(SUM($M$2:M520)=0,1,0),0)</f>
        <v>0</v>
      </c>
      <c r="N521" s="38">
        <f>IF(AND(1+$Q$7&gt;H521,1-$Q$7&lt;H521,1+$Q$7&gt;I521,1-$Q$7&lt;I521,1+$Q$7&gt;J521,1-$Q$7&lt;J521,1+$Q$7&gt;K521,1-$Q$7&lt;K521,1+$Q$7&gt;L521,1-$Q$7&lt;L521),IF(SUM($N$2:N520)=0,1,0),0)</f>
        <v>0</v>
      </c>
      <c r="O521" s="34">
        <f t="shared" si="8"/>
        <v>0</v>
      </c>
    </row>
    <row r="522" spans="8:15" ht="20.100000000000001" customHeight="1" x14ac:dyDescent="0.25">
      <c r="H522" s="43" t="str">
        <f>IFERROR(ABS(C522/VLOOKUP(2*$B522,$B523:C556,2,TRUE)),"--")</f>
        <v>--</v>
      </c>
      <c r="I522" s="43" t="str">
        <f>IFERROR(ABS(D522/VLOOKUP(2*$B522,$B523:D556,3,TRUE)),"--")</f>
        <v>--</v>
      </c>
      <c r="J522" s="43" t="str">
        <f>IFERROR(ABS(E522/VLOOKUP(2*$B522,$B523:E556,4,TRUE)),"--")</f>
        <v>--</v>
      </c>
      <c r="K522" s="43" t="str">
        <f>IFERROR(ABS(F522/VLOOKUP(2*$B522,$B523:F556,5,TRUE)),"--")</f>
        <v>--</v>
      </c>
      <c r="L522" s="43" t="str">
        <f>IFERROR(ABS(G522/VLOOKUP(2*$B522,$B523:G556,6,TRUE)),"--")</f>
        <v>--</v>
      </c>
      <c r="M522" s="38">
        <f>IF(AND(1+$Q$6&gt;H522,1-$Q$6&lt;H522,1+$Q$6&gt;I522,1-$Q$6&lt;I522,1+$Q$6&gt;J522,1-$Q$6&lt;J522,1+$Q$6&gt;K522,1-$Q$6&lt;K522,1+$Q$6&gt;L522,1-$Q$6&lt;L522),IF(SUM($M$2:M521)=0,1,0),0)</f>
        <v>0</v>
      </c>
      <c r="N522" s="38">
        <f>IF(AND(1+$Q$7&gt;H522,1-$Q$7&lt;H522,1+$Q$7&gt;I522,1-$Q$7&lt;I522,1+$Q$7&gt;J522,1-$Q$7&lt;J522,1+$Q$7&gt;K522,1-$Q$7&lt;K522,1+$Q$7&gt;L522,1-$Q$7&lt;L522),IF(SUM($N$2:N521)=0,1,0),0)</f>
        <v>0</v>
      </c>
      <c r="O522" s="34">
        <f t="shared" si="8"/>
        <v>0</v>
      </c>
    </row>
    <row r="523" spans="8:15" ht="20.100000000000001" customHeight="1" x14ac:dyDescent="0.25">
      <c r="H523" s="43" t="str">
        <f>IFERROR(ABS(C523/VLOOKUP(2*$B523,$B524:C557,2,TRUE)),"--")</f>
        <v>--</v>
      </c>
      <c r="I523" s="43" t="str">
        <f>IFERROR(ABS(D523/VLOOKUP(2*$B523,$B524:D557,3,TRUE)),"--")</f>
        <v>--</v>
      </c>
      <c r="J523" s="43" t="str">
        <f>IFERROR(ABS(E523/VLOOKUP(2*$B523,$B524:E557,4,TRUE)),"--")</f>
        <v>--</v>
      </c>
      <c r="K523" s="43" t="str">
        <f>IFERROR(ABS(F523/VLOOKUP(2*$B523,$B524:F557,5,TRUE)),"--")</f>
        <v>--</v>
      </c>
      <c r="L523" s="43" t="str">
        <f>IFERROR(ABS(G523/VLOOKUP(2*$B523,$B524:G557,6,TRUE)),"--")</f>
        <v>--</v>
      </c>
      <c r="M523" s="38">
        <f>IF(AND(1+$Q$6&gt;H523,1-$Q$6&lt;H523,1+$Q$6&gt;I523,1-$Q$6&lt;I523,1+$Q$6&gt;J523,1-$Q$6&lt;J523,1+$Q$6&gt;K523,1-$Q$6&lt;K523,1+$Q$6&gt;L523,1-$Q$6&lt;L523),IF(SUM($M$2:M522)=0,1,0),0)</f>
        <v>0</v>
      </c>
      <c r="N523" s="38">
        <f>IF(AND(1+$Q$7&gt;H523,1-$Q$7&lt;H523,1+$Q$7&gt;I523,1-$Q$7&lt;I523,1+$Q$7&gt;J523,1-$Q$7&lt;J523,1+$Q$7&gt;K523,1-$Q$7&lt;K523,1+$Q$7&gt;L523,1-$Q$7&lt;L523),IF(SUM($N$2:N522)=0,1,0),0)</f>
        <v>0</v>
      </c>
      <c r="O523" s="34">
        <f t="shared" si="8"/>
        <v>0</v>
      </c>
    </row>
    <row r="524" spans="8:15" ht="20.100000000000001" customHeight="1" x14ac:dyDescent="0.25">
      <c r="H524" s="43" t="str">
        <f>IFERROR(ABS(C524/VLOOKUP(2*$B524,$B525:C558,2,TRUE)),"--")</f>
        <v>--</v>
      </c>
      <c r="I524" s="43" t="str">
        <f>IFERROR(ABS(D524/VLOOKUP(2*$B524,$B525:D558,3,TRUE)),"--")</f>
        <v>--</v>
      </c>
      <c r="J524" s="43" t="str">
        <f>IFERROR(ABS(E524/VLOOKUP(2*$B524,$B525:E558,4,TRUE)),"--")</f>
        <v>--</v>
      </c>
      <c r="K524" s="43" t="str">
        <f>IFERROR(ABS(F524/VLOOKUP(2*$B524,$B525:F558,5,TRUE)),"--")</f>
        <v>--</v>
      </c>
      <c r="L524" s="43" t="str">
        <f>IFERROR(ABS(G524/VLOOKUP(2*$B524,$B525:G558,6,TRUE)),"--")</f>
        <v>--</v>
      </c>
      <c r="M524" s="38">
        <f>IF(AND(1+$Q$6&gt;H524,1-$Q$6&lt;H524,1+$Q$6&gt;I524,1-$Q$6&lt;I524,1+$Q$6&gt;J524,1-$Q$6&lt;J524,1+$Q$6&gt;K524,1-$Q$6&lt;K524,1+$Q$6&gt;L524,1-$Q$6&lt;L524),IF(SUM($M$2:M523)=0,1,0),0)</f>
        <v>0</v>
      </c>
      <c r="N524" s="38">
        <f>IF(AND(1+$Q$7&gt;H524,1-$Q$7&lt;H524,1+$Q$7&gt;I524,1-$Q$7&lt;I524,1+$Q$7&gt;J524,1-$Q$7&lt;J524,1+$Q$7&gt;K524,1-$Q$7&lt;K524,1+$Q$7&gt;L524,1-$Q$7&lt;L524),IF(SUM($N$2:N523)=0,1,0),0)</f>
        <v>0</v>
      </c>
      <c r="O524" s="34">
        <f t="shared" si="8"/>
        <v>0</v>
      </c>
    </row>
    <row r="525" spans="8:15" ht="20.100000000000001" customHeight="1" x14ac:dyDescent="0.25">
      <c r="H525" s="43" t="str">
        <f>IFERROR(ABS(C525/VLOOKUP(2*$B525,$B526:C559,2,TRUE)),"--")</f>
        <v>--</v>
      </c>
      <c r="I525" s="43" t="str">
        <f>IFERROR(ABS(D525/VLOOKUP(2*$B525,$B526:D559,3,TRUE)),"--")</f>
        <v>--</v>
      </c>
      <c r="J525" s="43" t="str">
        <f>IFERROR(ABS(E525/VLOOKUP(2*$B525,$B526:E559,4,TRUE)),"--")</f>
        <v>--</v>
      </c>
      <c r="K525" s="43" t="str">
        <f>IFERROR(ABS(F525/VLOOKUP(2*$B525,$B526:F559,5,TRUE)),"--")</f>
        <v>--</v>
      </c>
      <c r="L525" s="43" t="str">
        <f>IFERROR(ABS(G525/VLOOKUP(2*$B525,$B526:G559,6,TRUE)),"--")</f>
        <v>--</v>
      </c>
      <c r="M525" s="38">
        <f>IF(AND(1+$Q$6&gt;H525,1-$Q$6&lt;H525,1+$Q$6&gt;I525,1-$Q$6&lt;I525,1+$Q$6&gt;J525,1-$Q$6&lt;J525,1+$Q$6&gt;K525,1-$Q$6&lt;K525,1+$Q$6&gt;L525,1-$Q$6&lt;L525),IF(SUM($M$2:M524)=0,1,0),0)</f>
        <v>0</v>
      </c>
      <c r="N525" s="38">
        <f>IF(AND(1+$Q$7&gt;H525,1-$Q$7&lt;H525,1+$Q$7&gt;I525,1-$Q$7&lt;I525,1+$Q$7&gt;J525,1-$Q$7&lt;J525,1+$Q$7&gt;K525,1-$Q$7&lt;K525,1+$Q$7&gt;L525,1-$Q$7&lt;L525),IF(SUM($N$2:N524)=0,1,0),0)</f>
        <v>0</v>
      </c>
      <c r="O525" s="34">
        <f t="shared" si="8"/>
        <v>0</v>
      </c>
    </row>
    <row r="526" spans="8:15" ht="20.100000000000001" customHeight="1" x14ac:dyDescent="0.25">
      <c r="H526" s="43" t="str">
        <f>IFERROR(ABS(C526/VLOOKUP(2*$B526,$B527:C560,2,TRUE)),"--")</f>
        <v>--</v>
      </c>
      <c r="I526" s="43" t="str">
        <f>IFERROR(ABS(D526/VLOOKUP(2*$B526,$B527:D560,3,TRUE)),"--")</f>
        <v>--</v>
      </c>
      <c r="J526" s="43" t="str">
        <f>IFERROR(ABS(E526/VLOOKUP(2*$B526,$B527:E560,4,TRUE)),"--")</f>
        <v>--</v>
      </c>
      <c r="K526" s="43" t="str">
        <f>IFERROR(ABS(F526/VLOOKUP(2*$B526,$B527:F560,5,TRUE)),"--")</f>
        <v>--</v>
      </c>
      <c r="L526" s="43" t="str">
        <f>IFERROR(ABS(G526/VLOOKUP(2*$B526,$B527:G560,6,TRUE)),"--")</f>
        <v>--</v>
      </c>
      <c r="M526" s="38">
        <f>IF(AND(1+$Q$6&gt;H526,1-$Q$6&lt;H526,1+$Q$6&gt;I526,1-$Q$6&lt;I526,1+$Q$6&gt;J526,1-$Q$6&lt;J526,1+$Q$6&gt;K526,1-$Q$6&lt;K526,1+$Q$6&gt;L526,1-$Q$6&lt;L526),IF(SUM($M$2:M525)=0,1,0),0)</f>
        <v>0</v>
      </c>
      <c r="N526" s="38">
        <f>IF(AND(1+$Q$7&gt;H526,1-$Q$7&lt;H526,1+$Q$7&gt;I526,1-$Q$7&lt;I526,1+$Q$7&gt;J526,1-$Q$7&lt;J526,1+$Q$7&gt;K526,1-$Q$7&lt;K526,1+$Q$7&gt;L526,1-$Q$7&lt;L526),IF(SUM($N$2:N525)=0,1,0),0)</f>
        <v>0</v>
      </c>
      <c r="O526" s="34">
        <f t="shared" si="8"/>
        <v>0</v>
      </c>
    </row>
    <row r="527" spans="8:15" ht="20.100000000000001" customHeight="1" x14ac:dyDescent="0.25">
      <c r="H527" s="43" t="str">
        <f>IFERROR(ABS(C527/VLOOKUP(2*$B527,$B528:C561,2,TRUE)),"--")</f>
        <v>--</v>
      </c>
      <c r="I527" s="43" t="str">
        <f>IFERROR(ABS(D527/VLOOKUP(2*$B527,$B528:D561,3,TRUE)),"--")</f>
        <v>--</v>
      </c>
      <c r="J527" s="43" t="str">
        <f>IFERROR(ABS(E527/VLOOKUP(2*$B527,$B528:E561,4,TRUE)),"--")</f>
        <v>--</v>
      </c>
      <c r="K527" s="43" t="str">
        <f>IFERROR(ABS(F527/VLOOKUP(2*$B527,$B528:F561,5,TRUE)),"--")</f>
        <v>--</v>
      </c>
      <c r="L527" s="43" t="str">
        <f>IFERROR(ABS(G527/VLOOKUP(2*$B527,$B528:G561,6,TRUE)),"--")</f>
        <v>--</v>
      </c>
      <c r="M527" s="38">
        <f>IF(AND(1+$Q$6&gt;H527,1-$Q$6&lt;H527,1+$Q$6&gt;I527,1-$Q$6&lt;I527,1+$Q$6&gt;J527,1-$Q$6&lt;J527,1+$Q$6&gt;K527,1-$Q$6&lt;K527,1+$Q$6&gt;L527,1-$Q$6&lt;L527),IF(SUM($M$2:M526)=0,1,0),0)</f>
        <v>0</v>
      </c>
      <c r="N527" s="38">
        <f>IF(AND(1+$Q$7&gt;H527,1-$Q$7&lt;H527,1+$Q$7&gt;I527,1-$Q$7&lt;I527,1+$Q$7&gt;J527,1-$Q$7&lt;J527,1+$Q$7&gt;K527,1-$Q$7&lt;K527,1+$Q$7&gt;L527,1-$Q$7&lt;L527),IF(SUM($N$2:N526)=0,1,0),0)</f>
        <v>0</v>
      </c>
      <c r="O527" s="34">
        <f t="shared" si="8"/>
        <v>0</v>
      </c>
    </row>
    <row r="528" spans="8:15" ht="20.100000000000001" customHeight="1" x14ac:dyDescent="0.25">
      <c r="H528" s="43" t="str">
        <f>IFERROR(ABS(C528/VLOOKUP(2*$B528,$B529:C562,2,TRUE)),"--")</f>
        <v>--</v>
      </c>
      <c r="I528" s="43" t="str">
        <f>IFERROR(ABS(D528/VLOOKUP(2*$B528,$B529:D562,3,TRUE)),"--")</f>
        <v>--</v>
      </c>
      <c r="J528" s="43" t="str">
        <f>IFERROR(ABS(E528/VLOOKUP(2*$B528,$B529:E562,4,TRUE)),"--")</f>
        <v>--</v>
      </c>
      <c r="K528" s="43" t="str">
        <f>IFERROR(ABS(F528/VLOOKUP(2*$B528,$B529:F562,5,TRUE)),"--")</f>
        <v>--</v>
      </c>
      <c r="L528" s="43" t="str">
        <f>IFERROR(ABS(G528/VLOOKUP(2*$B528,$B529:G562,6,TRUE)),"--")</f>
        <v>--</v>
      </c>
      <c r="M528" s="38">
        <f>IF(AND(1+$Q$6&gt;H528,1-$Q$6&lt;H528,1+$Q$6&gt;I528,1-$Q$6&lt;I528,1+$Q$6&gt;J528,1-$Q$6&lt;J528,1+$Q$6&gt;K528,1-$Q$6&lt;K528,1+$Q$6&gt;L528,1-$Q$6&lt;L528),IF(SUM($M$2:M527)=0,1,0),0)</f>
        <v>0</v>
      </c>
      <c r="N528" s="38">
        <f>IF(AND(1+$Q$7&gt;H528,1-$Q$7&lt;H528,1+$Q$7&gt;I528,1-$Q$7&lt;I528,1+$Q$7&gt;J528,1-$Q$7&lt;J528,1+$Q$7&gt;K528,1-$Q$7&lt;K528,1+$Q$7&gt;L528,1-$Q$7&lt;L528),IF(SUM($N$2:N527)=0,1,0),0)</f>
        <v>0</v>
      </c>
      <c r="O528" s="34">
        <f t="shared" si="8"/>
        <v>0</v>
      </c>
    </row>
    <row r="529" spans="8:15" ht="20.100000000000001" customHeight="1" x14ac:dyDescent="0.25">
      <c r="H529" s="43" t="str">
        <f>IFERROR(ABS(C529/VLOOKUP(2*$B529,$B530:C563,2,TRUE)),"--")</f>
        <v>--</v>
      </c>
      <c r="I529" s="43" t="str">
        <f>IFERROR(ABS(D529/VLOOKUP(2*$B529,$B530:D563,3,TRUE)),"--")</f>
        <v>--</v>
      </c>
      <c r="J529" s="43" t="str">
        <f>IFERROR(ABS(E529/VLOOKUP(2*$B529,$B530:E563,4,TRUE)),"--")</f>
        <v>--</v>
      </c>
      <c r="K529" s="43" t="str">
        <f>IFERROR(ABS(F529/VLOOKUP(2*$B529,$B530:F563,5,TRUE)),"--")</f>
        <v>--</v>
      </c>
      <c r="L529" s="43" t="str">
        <f>IFERROR(ABS(G529/VLOOKUP(2*$B529,$B530:G563,6,TRUE)),"--")</f>
        <v>--</v>
      </c>
      <c r="M529" s="38">
        <f>IF(AND(1+$Q$6&gt;H529,1-$Q$6&lt;H529,1+$Q$6&gt;I529,1-$Q$6&lt;I529,1+$Q$6&gt;J529,1-$Q$6&lt;J529,1+$Q$6&gt;K529,1-$Q$6&lt;K529,1+$Q$6&gt;L529,1-$Q$6&lt;L529),IF(SUM($M$2:M528)=0,1,0),0)</f>
        <v>0</v>
      </c>
      <c r="N529" s="38">
        <f>IF(AND(1+$Q$7&gt;H529,1-$Q$7&lt;H529,1+$Q$7&gt;I529,1-$Q$7&lt;I529,1+$Q$7&gt;J529,1-$Q$7&lt;J529,1+$Q$7&gt;K529,1-$Q$7&lt;K529,1+$Q$7&gt;L529,1-$Q$7&lt;L529),IF(SUM($N$2:N528)=0,1,0),0)</f>
        <v>0</v>
      </c>
      <c r="O529" s="34">
        <f t="shared" si="8"/>
        <v>0</v>
      </c>
    </row>
    <row r="530" spans="8:15" ht="20.100000000000001" customHeight="1" x14ac:dyDescent="0.25">
      <c r="H530" s="43" t="str">
        <f>IFERROR(ABS(C530/VLOOKUP(2*$B530,$B531:C564,2,TRUE)),"--")</f>
        <v>--</v>
      </c>
      <c r="I530" s="43" t="str">
        <f>IFERROR(ABS(D530/VLOOKUP(2*$B530,$B531:D564,3,TRUE)),"--")</f>
        <v>--</v>
      </c>
      <c r="J530" s="43" t="str">
        <f>IFERROR(ABS(E530/VLOOKUP(2*$B530,$B531:E564,4,TRUE)),"--")</f>
        <v>--</v>
      </c>
      <c r="K530" s="43" t="str">
        <f>IFERROR(ABS(F530/VLOOKUP(2*$B530,$B531:F564,5,TRUE)),"--")</f>
        <v>--</v>
      </c>
      <c r="L530" s="43" t="str">
        <f>IFERROR(ABS(G530/VLOOKUP(2*$B530,$B531:G564,6,TRUE)),"--")</f>
        <v>--</v>
      </c>
      <c r="M530" s="38">
        <f>IF(AND(1+$Q$6&gt;H530,1-$Q$6&lt;H530,1+$Q$6&gt;I530,1-$Q$6&lt;I530,1+$Q$6&gt;J530,1-$Q$6&lt;J530,1+$Q$6&gt;K530,1-$Q$6&lt;K530,1+$Q$6&gt;L530,1-$Q$6&lt;L530),IF(SUM($M$2:M529)=0,1,0),0)</f>
        <v>0</v>
      </c>
      <c r="N530" s="38">
        <f>IF(AND(1+$Q$7&gt;H530,1-$Q$7&lt;H530,1+$Q$7&gt;I530,1-$Q$7&lt;I530,1+$Q$7&gt;J530,1-$Q$7&lt;J530,1+$Q$7&gt;K530,1-$Q$7&lt;K530,1+$Q$7&gt;L530,1-$Q$7&lt;L530),IF(SUM($N$2:N529)=0,1,0),0)</f>
        <v>0</v>
      </c>
      <c r="O530" s="34">
        <f t="shared" si="8"/>
        <v>0</v>
      </c>
    </row>
    <row r="531" spans="8:15" ht="20.100000000000001" customHeight="1" x14ac:dyDescent="0.25">
      <c r="H531" s="43" t="str">
        <f>IFERROR(ABS(C531/VLOOKUP(2*$B531,$B532:C565,2,TRUE)),"--")</f>
        <v>--</v>
      </c>
      <c r="I531" s="43" t="str">
        <f>IFERROR(ABS(D531/VLOOKUP(2*$B531,$B532:D565,3,TRUE)),"--")</f>
        <v>--</v>
      </c>
      <c r="J531" s="43" t="str">
        <f>IFERROR(ABS(E531/VLOOKUP(2*$B531,$B532:E565,4,TRUE)),"--")</f>
        <v>--</v>
      </c>
      <c r="K531" s="43" t="str">
        <f>IFERROR(ABS(F531/VLOOKUP(2*$B531,$B532:F565,5,TRUE)),"--")</f>
        <v>--</v>
      </c>
      <c r="L531" s="43" t="str">
        <f>IFERROR(ABS(G531/VLOOKUP(2*$B531,$B532:G565,6,TRUE)),"--")</f>
        <v>--</v>
      </c>
      <c r="M531" s="38">
        <f>IF(AND(1+$Q$6&gt;H531,1-$Q$6&lt;H531,1+$Q$6&gt;I531,1-$Q$6&lt;I531,1+$Q$6&gt;J531,1-$Q$6&lt;J531,1+$Q$6&gt;K531,1-$Q$6&lt;K531,1+$Q$6&gt;L531,1-$Q$6&lt;L531),IF(SUM($M$2:M530)=0,1,0),0)</f>
        <v>0</v>
      </c>
      <c r="N531" s="38">
        <f>IF(AND(1+$Q$7&gt;H531,1-$Q$7&lt;H531,1+$Q$7&gt;I531,1-$Q$7&lt;I531,1+$Q$7&gt;J531,1-$Q$7&lt;J531,1+$Q$7&gt;K531,1-$Q$7&lt;K531,1+$Q$7&gt;L531,1-$Q$7&lt;L531),IF(SUM($N$2:N530)=0,1,0),0)</f>
        <v>0</v>
      </c>
      <c r="O531" s="34">
        <f t="shared" si="8"/>
        <v>0</v>
      </c>
    </row>
    <row r="532" spans="8:15" ht="20.100000000000001" customHeight="1" x14ac:dyDescent="0.25">
      <c r="H532" s="43" t="str">
        <f>IFERROR(ABS(C532/VLOOKUP(2*$B532,$B533:C566,2,TRUE)),"--")</f>
        <v>--</v>
      </c>
      <c r="I532" s="43" t="str">
        <f>IFERROR(ABS(D532/VLOOKUP(2*$B532,$B533:D566,3,TRUE)),"--")</f>
        <v>--</v>
      </c>
      <c r="J532" s="43" t="str">
        <f>IFERROR(ABS(E532/VLOOKUP(2*$B532,$B533:E566,4,TRUE)),"--")</f>
        <v>--</v>
      </c>
      <c r="K532" s="43" t="str">
        <f>IFERROR(ABS(F532/VLOOKUP(2*$B532,$B533:F566,5,TRUE)),"--")</f>
        <v>--</v>
      </c>
      <c r="L532" s="43" t="str">
        <f>IFERROR(ABS(G532/VLOOKUP(2*$B532,$B533:G566,6,TRUE)),"--")</f>
        <v>--</v>
      </c>
      <c r="M532" s="38">
        <f>IF(AND(1+$Q$6&gt;H532,1-$Q$6&lt;H532,1+$Q$6&gt;I532,1-$Q$6&lt;I532,1+$Q$6&gt;J532,1-$Q$6&lt;J532,1+$Q$6&gt;K532,1-$Q$6&lt;K532,1+$Q$6&gt;L532,1-$Q$6&lt;L532),IF(SUM($M$2:M531)=0,1,0),0)</f>
        <v>0</v>
      </c>
      <c r="N532" s="38">
        <f>IF(AND(1+$Q$7&gt;H532,1-$Q$7&lt;H532,1+$Q$7&gt;I532,1-$Q$7&lt;I532,1+$Q$7&gt;J532,1-$Q$7&lt;J532,1+$Q$7&gt;K532,1-$Q$7&lt;K532,1+$Q$7&gt;L532,1-$Q$7&lt;L532),IF(SUM($N$2:N531)=0,1,0),0)</f>
        <v>0</v>
      </c>
      <c r="O532" s="34">
        <f t="shared" si="8"/>
        <v>0</v>
      </c>
    </row>
    <row r="533" spans="8:15" ht="20.100000000000001" customHeight="1" x14ac:dyDescent="0.25">
      <c r="H533" s="43" t="str">
        <f>IFERROR(ABS(C533/VLOOKUP(2*$B533,$B534:C567,2,TRUE)),"--")</f>
        <v>--</v>
      </c>
      <c r="I533" s="43" t="str">
        <f>IFERROR(ABS(D533/VLOOKUP(2*$B533,$B534:D567,3,TRUE)),"--")</f>
        <v>--</v>
      </c>
      <c r="J533" s="43" t="str">
        <f>IFERROR(ABS(E533/VLOOKUP(2*$B533,$B534:E567,4,TRUE)),"--")</f>
        <v>--</v>
      </c>
      <c r="K533" s="43" t="str">
        <f>IFERROR(ABS(F533/VLOOKUP(2*$B533,$B534:F567,5,TRUE)),"--")</f>
        <v>--</v>
      </c>
      <c r="L533" s="43" t="str">
        <f>IFERROR(ABS(G533/VLOOKUP(2*$B533,$B534:G567,6,TRUE)),"--")</f>
        <v>--</v>
      </c>
      <c r="M533" s="38">
        <f>IF(AND(1+$Q$6&gt;H533,1-$Q$6&lt;H533,1+$Q$6&gt;I533,1-$Q$6&lt;I533,1+$Q$6&gt;J533,1-$Q$6&lt;J533,1+$Q$6&gt;K533,1-$Q$6&lt;K533,1+$Q$6&gt;L533,1-$Q$6&lt;L533),IF(SUM($M$2:M532)=0,1,0),0)</f>
        <v>0</v>
      </c>
      <c r="N533" s="38">
        <f>IF(AND(1+$Q$7&gt;H533,1-$Q$7&lt;H533,1+$Q$7&gt;I533,1-$Q$7&lt;I533,1+$Q$7&gt;J533,1-$Q$7&lt;J533,1+$Q$7&gt;K533,1-$Q$7&lt;K533,1+$Q$7&gt;L533,1-$Q$7&lt;L533),IF(SUM($N$2:N532)=0,1,0),0)</f>
        <v>0</v>
      </c>
      <c r="O533" s="34">
        <f t="shared" si="8"/>
        <v>0</v>
      </c>
    </row>
    <row r="534" spans="8:15" ht="20.100000000000001" customHeight="1" x14ac:dyDescent="0.25">
      <c r="H534" s="43" t="str">
        <f>IFERROR(ABS(C534/VLOOKUP(2*$B534,$B535:C568,2,TRUE)),"--")</f>
        <v>--</v>
      </c>
      <c r="I534" s="43" t="str">
        <f>IFERROR(ABS(D534/VLOOKUP(2*$B534,$B535:D568,3,TRUE)),"--")</f>
        <v>--</v>
      </c>
      <c r="J534" s="43" t="str">
        <f>IFERROR(ABS(E534/VLOOKUP(2*$B534,$B535:E568,4,TRUE)),"--")</f>
        <v>--</v>
      </c>
      <c r="K534" s="43" t="str">
        <f>IFERROR(ABS(F534/VLOOKUP(2*$B534,$B535:F568,5,TRUE)),"--")</f>
        <v>--</v>
      </c>
      <c r="L534" s="43" t="str">
        <f>IFERROR(ABS(G534/VLOOKUP(2*$B534,$B535:G568,6,TRUE)),"--")</f>
        <v>--</v>
      </c>
      <c r="M534" s="38">
        <f>IF(AND(1+$Q$6&gt;H534,1-$Q$6&lt;H534,1+$Q$6&gt;I534,1-$Q$6&lt;I534,1+$Q$6&gt;J534,1-$Q$6&lt;J534,1+$Q$6&gt;K534,1-$Q$6&lt;K534,1+$Q$6&gt;L534,1-$Q$6&lt;L534),IF(SUM($M$2:M533)=0,1,0),0)</f>
        <v>0</v>
      </c>
      <c r="N534" s="38">
        <f>IF(AND(1+$Q$7&gt;H534,1-$Q$7&lt;H534,1+$Q$7&gt;I534,1-$Q$7&lt;I534,1+$Q$7&gt;J534,1-$Q$7&lt;J534,1+$Q$7&gt;K534,1-$Q$7&lt;K534,1+$Q$7&gt;L534,1-$Q$7&lt;L534),IF(SUM($N$2:N533)=0,1,0),0)</f>
        <v>0</v>
      </c>
      <c r="O534" s="34">
        <f t="shared" si="8"/>
        <v>0</v>
      </c>
    </row>
    <row r="535" spans="8:15" ht="20.100000000000001" customHeight="1" x14ac:dyDescent="0.25">
      <c r="H535" s="43" t="str">
        <f>IFERROR(ABS(C535/VLOOKUP(2*$B535,$B536:C569,2,TRUE)),"--")</f>
        <v>--</v>
      </c>
      <c r="I535" s="43" t="str">
        <f>IFERROR(ABS(D535/VLOOKUP(2*$B535,$B536:D569,3,TRUE)),"--")</f>
        <v>--</v>
      </c>
      <c r="J535" s="43" t="str">
        <f>IFERROR(ABS(E535/VLOOKUP(2*$B535,$B536:E569,4,TRUE)),"--")</f>
        <v>--</v>
      </c>
      <c r="K535" s="43" t="str">
        <f>IFERROR(ABS(F535/VLOOKUP(2*$B535,$B536:F569,5,TRUE)),"--")</f>
        <v>--</v>
      </c>
      <c r="L535" s="43" t="str">
        <f>IFERROR(ABS(G535/VLOOKUP(2*$B535,$B536:G569,6,TRUE)),"--")</f>
        <v>--</v>
      </c>
      <c r="M535" s="38">
        <f>IF(AND(1+$Q$6&gt;H535,1-$Q$6&lt;H535,1+$Q$6&gt;I535,1-$Q$6&lt;I535,1+$Q$6&gt;J535,1-$Q$6&lt;J535,1+$Q$6&gt;K535,1-$Q$6&lt;K535,1+$Q$6&gt;L535,1-$Q$6&lt;L535),IF(SUM($M$2:M534)=0,1,0),0)</f>
        <v>0</v>
      </c>
      <c r="N535" s="38">
        <f>IF(AND(1+$Q$7&gt;H535,1-$Q$7&lt;H535,1+$Q$7&gt;I535,1-$Q$7&lt;I535,1+$Q$7&gt;J535,1-$Q$7&lt;J535,1+$Q$7&gt;K535,1-$Q$7&lt;K535,1+$Q$7&gt;L535,1-$Q$7&lt;L535),IF(SUM($N$2:N534)=0,1,0),0)</f>
        <v>0</v>
      </c>
      <c r="O535" s="34">
        <f t="shared" si="8"/>
        <v>0</v>
      </c>
    </row>
    <row r="536" spans="8:15" ht="20.100000000000001" customHeight="1" x14ac:dyDescent="0.25">
      <c r="H536" s="43" t="str">
        <f>IFERROR(ABS(C536/VLOOKUP(2*$B536,$B537:C570,2,TRUE)),"--")</f>
        <v>--</v>
      </c>
      <c r="I536" s="43" t="str">
        <f>IFERROR(ABS(D536/VLOOKUP(2*$B536,$B537:D570,3,TRUE)),"--")</f>
        <v>--</v>
      </c>
      <c r="J536" s="43" t="str">
        <f>IFERROR(ABS(E536/VLOOKUP(2*$B536,$B537:E570,4,TRUE)),"--")</f>
        <v>--</v>
      </c>
      <c r="K536" s="43" t="str">
        <f>IFERROR(ABS(F536/VLOOKUP(2*$B536,$B537:F570,5,TRUE)),"--")</f>
        <v>--</v>
      </c>
      <c r="L536" s="43" t="str">
        <f>IFERROR(ABS(G536/VLOOKUP(2*$B536,$B537:G570,6,TRUE)),"--")</f>
        <v>--</v>
      </c>
      <c r="M536" s="38">
        <f>IF(AND(1+$Q$6&gt;H536,1-$Q$6&lt;H536,1+$Q$6&gt;I536,1-$Q$6&lt;I536,1+$Q$6&gt;J536,1-$Q$6&lt;J536,1+$Q$6&gt;K536,1-$Q$6&lt;K536,1+$Q$6&gt;L536,1-$Q$6&lt;L536),IF(SUM($M$2:M535)=0,1,0),0)</f>
        <v>0</v>
      </c>
      <c r="N536" s="38">
        <f>IF(AND(1+$Q$7&gt;H536,1-$Q$7&lt;H536,1+$Q$7&gt;I536,1-$Q$7&lt;I536,1+$Q$7&gt;J536,1-$Q$7&lt;J536,1+$Q$7&gt;K536,1-$Q$7&lt;K536,1+$Q$7&gt;L536,1-$Q$7&lt;L536),IF(SUM($N$2:N535)=0,1,0),0)</f>
        <v>0</v>
      </c>
      <c r="O536" s="34">
        <f t="shared" si="8"/>
        <v>0</v>
      </c>
    </row>
    <row r="537" spans="8:15" ht="20.100000000000001" customHeight="1" x14ac:dyDescent="0.25">
      <c r="H537" s="43" t="str">
        <f>IFERROR(ABS(C537/VLOOKUP(2*$B537,$B538:C571,2,TRUE)),"--")</f>
        <v>--</v>
      </c>
      <c r="I537" s="43" t="str">
        <f>IFERROR(ABS(D537/VLOOKUP(2*$B537,$B538:D571,3,TRUE)),"--")</f>
        <v>--</v>
      </c>
      <c r="J537" s="43" t="str">
        <f>IFERROR(ABS(E537/VLOOKUP(2*$B537,$B538:E571,4,TRUE)),"--")</f>
        <v>--</v>
      </c>
      <c r="K537" s="43" t="str">
        <f>IFERROR(ABS(F537/VLOOKUP(2*$B537,$B538:F571,5,TRUE)),"--")</f>
        <v>--</v>
      </c>
      <c r="L537" s="43" t="str">
        <f>IFERROR(ABS(G537/VLOOKUP(2*$B537,$B538:G571,6,TRUE)),"--")</f>
        <v>--</v>
      </c>
      <c r="M537" s="38">
        <f>IF(AND(1+$Q$6&gt;H537,1-$Q$6&lt;H537,1+$Q$6&gt;I537,1-$Q$6&lt;I537,1+$Q$6&gt;J537,1-$Q$6&lt;J537,1+$Q$6&gt;K537,1-$Q$6&lt;K537,1+$Q$6&gt;L537,1-$Q$6&lt;L537),IF(SUM($M$2:M536)=0,1,0),0)</f>
        <v>0</v>
      </c>
      <c r="N537" s="38">
        <f>IF(AND(1+$Q$7&gt;H537,1-$Q$7&lt;H537,1+$Q$7&gt;I537,1-$Q$7&lt;I537,1+$Q$7&gt;J537,1-$Q$7&lt;J537,1+$Q$7&gt;K537,1-$Q$7&lt;K537,1+$Q$7&gt;L537,1-$Q$7&lt;L537),IF(SUM($N$2:N536)=0,1,0),0)</f>
        <v>0</v>
      </c>
      <c r="O537" s="34">
        <f t="shared" si="8"/>
        <v>0</v>
      </c>
    </row>
    <row r="538" spans="8:15" ht="20.100000000000001" customHeight="1" x14ac:dyDescent="0.25">
      <c r="H538" s="43" t="str">
        <f>IFERROR(ABS(C538/VLOOKUP(2*$B538,$B539:C572,2,TRUE)),"--")</f>
        <v>--</v>
      </c>
      <c r="I538" s="43" t="str">
        <f>IFERROR(ABS(D538/VLOOKUP(2*$B538,$B539:D572,3,TRUE)),"--")</f>
        <v>--</v>
      </c>
      <c r="J538" s="43" t="str">
        <f>IFERROR(ABS(E538/VLOOKUP(2*$B538,$B539:E572,4,TRUE)),"--")</f>
        <v>--</v>
      </c>
      <c r="K538" s="43" t="str">
        <f>IFERROR(ABS(F538/VLOOKUP(2*$B538,$B539:F572,5,TRUE)),"--")</f>
        <v>--</v>
      </c>
      <c r="L538" s="43" t="str">
        <f>IFERROR(ABS(G538/VLOOKUP(2*$B538,$B539:G572,6,TRUE)),"--")</f>
        <v>--</v>
      </c>
      <c r="M538" s="38">
        <f>IF(AND(1+$Q$6&gt;H538,1-$Q$6&lt;H538,1+$Q$6&gt;I538,1-$Q$6&lt;I538,1+$Q$6&gt;J538,1-$Q$6&lt;J538,1+$Q$6&gt;K538,1-$Q$6&lt;K538,1+$Q$6&gt;L538,1-$Q$6&lt;L538),IF(SUM($M$2:M537)=0,1,0),0)</f>
        <v>0</v>
      </c>
      <c r="N538" s="38">
        <f>IF(AND(1+$Q$7&gt;H538,1-$Q$7&lt;H538,1+$Q$7&gt;I538,1-$Q$7&lt;I538,1+$Q$7&gt;J538,1-$Q$7&lt;J538,1+$Q$7&gt;K538,1-$Q$7&lt;K538,1+$Q$7&gt;L538,1-$Q$7&lt;L538),IF(SUM($N$2:N537)=0,1,0),0)</f>
        <v>0</v>
      </c>
      <c r="O538" s="34">
        <f t="shared" si="8"/>
        <v>0</v>
      </c>
    </row>
    <row r="539" spans="8:15" ht="20.100000000000001" customHeight="1" x14ac:dyDescent="0.25">
      <c r="H539" s="43" t="str">
        <f>IFERROR(ABS(C539/VLOOKUP(2*$B539,$B540:C573,2,TRUE)),"--")</f>
        <v>--</v>
      </c>
      <c r="I539" s="43" t="str">
        <f>IFERROR(ABS(D539/VLOOKUP(2*$B539,$B540:D573,3,TRUE)),"--")</f>
        <v>--</v>
      </c>
      <c r="J539" s="43" t="str">
        <f>IFERROR(ABS(E539/VLOOKUP(2*$B539,$B540:E573,4,TRUE)),"--")</f>
        <v>--</v>
      </c>
      <c r="K539" s="43" t="str">
        <f>IFERROR(ABS(F539/VLOOKUP(2*$B539,$B540:F573,5,TRUE)),"--")</f>
        <v>--</v>
      </c>
      <c r="L539" s="43" t="str">
        <f>IFERROR(ABS(G539/VLOOKUP(2*$B539,$B540:G573,6,TRUE)),"--")</f>
        <v>--</v>
      </c>
      <c r="M539" s="38">
        <f>IF(AND(1+$Q$6&gt;H539,1-$Q$6&lt;H539,1+$Q$6&gt;I539,1-$Q$6&lt;I539,1+$Q$6&gt;J539,1-$Q$6&lt;J539,1+$Q$6&gt;K539,1-$Q$6&lt;K539,1+$Q$6&gt;L539,1-$Q$6&lt;L539),IF(SUM($M$2:M538)=0,1,0),0)</f>
        <v>0</v>
      </c>
      <c r="N539" s="38">
        <f>IF(AND(1+$Q$7&gt;H539,1-$Q$7&lt;H539,1+$Q$7&gt;I539,1-$Q$7&lt;I539,1+$Q$7&gt;J539,1-$Q$7&lt;J539,1+$Q$7&gt;K539,1-$Q$7&lt;K539,1+$Q$7&gt;L539,1-$Q$7&lt;L539),IF(SUM($N$2:N538)=0,1,0),0)</f>
        <v>0</v>
      </c>
      <c r="O539" s="34">
        <f t="shared" si="8"/>
        <v>0</v>
      </c>
    </row>
    <row r="540" spans="8:15" ht="20.100000000000001" customHeight="1" x14ac:dyDescent="0.25">
      <c r="H540" s="43" t="str">
        <f>IFERROR(ABS(C540/VLOOKUP(2*$B540,$B541:C574,2,TRUE)),"--")</f>
        <v>--</v>
      </c>
      <c r="I540" s="43" t="str">
        <f>IFERROR(ABS(D540/VLOOKUP(2*$B540,$B541:D574,3,TRUE)),"--")</f>
        <v>--</v>
      </c>
      <c r="J540" s="43" t="str">
        <f>IFERROR(ABS(E540/VLOOKUP(2*$B540,$B541:E574,4,TRUE)),"--")</f>
        <v>--</v>
      </c>
      <c r="K540" s="43" t="str">
        <f>IFERROR(ABS(F540/VLOOKUP(2*$B540,$B541:F574,5,TRUE)),"--")</f>
        <v>--</v>
      </c>
      <c r="L540" s="43" t="str">
        <f>IFERROR(ABS(G540/VLOOKUP(2*$B540,$B541:G574,6,TRUE)),"--")</f>
        <v>--</v>
      </c>
      <c r="M540" s="38">
        <f>IF(AND(1+$Q$6&gt;H540,1-$Q$6&lt;H540,1+$Q$6&gt;I540,1-$Q$6&lt;I540,1+$Q$6&gt;J540,1-$Q$6&lt;J540,1+$Q$6&gt;K540,1-$Q$6&lt;K540,1+$Q$6&gt;L540,1-$Q$6&lt;L540),IF(SUM($M$2:M539)=0,1,0),0)</f>
        <v>0</v>
      </c>
      <c r="N540" s="38">
        <f>IF(AND(1+$Q$7&gt;H540,1-$Q$7&lt;H540,1+$Q$7&gt;I540,1-$Q$7&lt;I540,1+$Q$7&gt;J540,1-$Q$7&lt;J540,1+$Q$7&gt;K540,1-$Q$7&lt;K540,1+$Q$7&gt;L540,1-$Q$7&lt;L540),IF(SUM($N$2:N539)=0,1,0),0)</f>
        <v>0</v>
      </c>
      <c r="O540" s="34">
        <f t="shared" si="8"/>
        <v>0</v>
      </c>
    </row>
    <row r="541" spans="8:15" ht="20.100000000000001" customHeight="1" x14ac:dyDescent="0.25">
      <c r="H541" s="43" t="str">
        <f>IFERROR(ABS(C541/VLOOKUP(2*$B541,$B542:C575,2,TRUE)),"--")</f>
        <v>--</v>
      </c>
      <c r="I541" s="43" t="str">
        <f>IFERROR(ABS(D541/VLOOKUP(2*$B541,$B542:D575,3,TRUE)),"--")</f>
        <v>--</v>
      </c>
      <c r="J541" s="43" t="str">
        <f>IFERROR(ABS(E541/VLOOKUP(2*$B541,$B542:E575,4,TRUE)),"--")</f>
        <v>--</v>
      </c>
      <c r="K541" s="43" t="str">
        <f>IFERROR(ABS(F541/VLOOKUP(2*$B541,$B542:F575,5,TRUE)),"--")</f>
        <v>--</v>
      </c>
      <c r="L541" s="43" t="str">
        <f>IFERROR(ABS(G541/VLOOKUP(2*$B541,$B542:G575,6,TRUE)),"--")</f>
        <v>--</v>
      </c>
      <c r="M541" s="38">
        <f>IF(AND(1+$Q$6&gt;H541,1-$Q$6&lt;H541,1+$Q$6&gt;I541,1-$Q$6&lt;I541,1+$Q$6&gt;J541,1-$Q$6&lt;J541,1+$Q$6&gt;K541,1-$Q$6&lt;K541,1+$Q$6&gt;L541,1-$Q$6&lt;L541),IF(SUM($M$2:M540)=0,1,0),0)</f>
        <v>0</v>
      </c>
      <c r="N541" s="38">
        <f>IF(AND(1+$Q$7&gt;H541,1-$Q$7&lt;H541,1+$Q$7&gt;I541,1-$Q$7&lt;I541,1+$Q$7&gt;J541,1-$Q$7&lt;J541,1+$Q$7&gt;K541,1-$Q$7&lt;K541,1+$Q$7&gt;L541,1-$Q$7&lt;L541),IF(SUM($N$2:N540)=0,1,0),0)</f>
        <v>0</v>
      </c>
      <c r="O541" s="34">
        <f t="shared" si="8"/>
        <v>0</v>
      </c>
    </row>
    <row r="542" spans="8:15" ht="20.100000000000001" customHeight="1" x14ac:dyDescent="0.25">
      <c r="H542" s="43" t="str">
        <f>IFERROR(ABS(C542/VLOOKUP(2*$B542,$B543:C576,2,TRUE)),"--")</f>
        <v>--</v>
      </c>
      <c r="I542" s="43" t="str">
        <f>IFERROR(ABS(D542/VLOOKUP(2*$B542,$B543:D576,3,TRUE)),"--")</f>
        <v>--</v>
      </c>
      <c r="J542" s="43" t="str">
        <f>IFERROR(ABS(E542/VLOOKUP(2*$B542,$B543:E576,4,TRUE)),"--")</f>
        <v>--</v>
      </c>
      <c r="K542" s="43" t="str">
        <f>IFERROR(ABS(F542/VLOOKUP(2*$B542,$B543:F576,5,TRUE)),"--")</f>
        <v>--</v>
      </c>
      <c r="L542" s="43" t="str">
        <f>IFERROR(ABS(G542/VLOOKUP(2*$B542,$B543:G576,6,TRUE)),"--")</f>
        <v>--</v>
      </c>
      <c r="M542" s="38">
        <f>IF(AND(1+$Q$6&gt;H542,1-$Q$6&lt;H542,1+$Q$6&gt;I542,1-$Q$6&lt;I542,1+$Q$6&gt;J542,1-$Q$6&lt;J542,1+$Q$6&gt;K542,1-$Q$6&lt;K542,1+$Q$6&gt;L542,1-$Q$6&lt;L542),IF(SUM($M$2:M541)=0,1,0),0)</f>
        <v>0</v>
      </c>
      <c r="N542" s="38">
        <f>IF(AND(1+$Q$7&gt;H542,1-$Q$7&lt;H542,1+$Q$7&gt;I542,1-$Q$7&lt;I542,1+$Q$7&gt;J542,1-$Q$7&lt;J542,1+$Q$7&gt;K542,1-$Q$7&lt;K542,1+$Q$7&gt;L542,1-$Q$7&lt;L542),IF(SUM($N$2:N541)=0,1,0),0)</f>
        <v>0</v>
      </c>
      <c r="O542" s="34">
        <f t="shared" si="8"/>
        <v>0</v>
      </c>
    </row>
    <row r="543" spans="8:15" ht="20.100000000000001" customHeight="1" x14ac:dyDescent="0.25">
      <c r="H543" s="43" t="str">
        <f>IFERROR(ABS(C543/VLOOKUP(2*$B543,$B544:C577,2,TRUE)),"--")</f>
        <v>--</v>
      </c>
      <c r="I543" s="43" t="str">
        <f>IFERROR(ABS(D543/VLOOKUP(2*$B543,$B544:D577,3,TRUE)),"--")</f>
        <v>--</v>
      </c>
      <c r="J543" s="43" t="str">
        <f>IFERROR(ABS(E543/VLOOKUP(2*$B543,$B544:E577,4,TRUE)),"--")</f>
        <v>--</v>
      </c>
      <c r="K543" s="43" t="str">
        <f>IFERROR(ABS(F543/VLOOKUP(2*$B543,$B544:F577,5,TRUE)),"--")</f>
        <v>--</v>
      </c>
      <c r="L543" s="43" t="str">
        <f>IFERROR(ABS(G543/VLOOKUP(2*$B543,$B544:G577,6,TRUE)),"--")</f>
        <v>--</v>
      </c>
      <c r="M543" s="38">
        <f>IF(AND(1+$Q$6&gt;H543,1-$Q$6&lt;H543,1+$Q$6&gt;I543,1-$Q$6&lt;I543,1+$Q$6&gt;J543,1-$Q$6&lt;J543,1+$Q$6&gt;K543,1-$Q$6&lt;K543,1+$Q$6&gt;L543,1-$Q$6&lt;L543),IF(SUM($M$2:M542)=0,1,0),0)</f>
        <v>0</v>
      </c>
      <c r="N543" s="38">
        <f>IF(AND(1+$Q$7&gt;H543,1-$Q$7&lt;H543,1+$Q$7&gt;I543,1-$Q$7&lt;I543,1+$Q$7&gt;J543,1-$Q$7&lt;J543,1+$Q$7&gt;K543,1-$Q$7&lt;K543,1+$Q$7&gt;L543,1-$Q$7&lt;L543),IF(SUM($N$2:N542)=0,1,0),0)</f>
        <v>0</v>
      </c>
      <c r="O543" s="34">
        <f t="shared" si="8"/>
        <v>0</v>
      </c>
    </row>
    <row r="544" spans="8:15" ht="20.100000000000001" customHeight="1" x14ac:dyDescent="0.25">
      <c r="H544" s="43" t="str">
        <f>IFERROR(ABS(C544/VLOOKUP(2*$B544,$B545:C578,2,TRUE)),"--")</f>
        <v>--</v>
      </c>
      <c r="I544" s="43" t="str">
        <f>IFERROR(ABS(D544/VLOOKUP(2*$B544,$B545:D578,3,TRUE)),"--")</f>
        <v>--</v>
      </c>
      <c r="J544" s="43" t="str">
        <f>IFERROR(ABS(E544/VLOOKUP(2*$B544,$B545:E578,4,TRUE)),"--")</f>
        <v>--</v>
      </c>
      <c r="K544" s="43" t="str">
        <f>IFERROR(ABS(F544/VLOOKUP(2*$B544,$B545:F578,5,TRUE)),"--")</f>
        <v>--</v>
      </c>
      <c r="L544" s="43" t="str">
        <f>IFERROR(ABS(G544/VLOOKUP(2*$B544,$B545:G578,6,TRUE)),"--")</f>
        <v>--</v>
      </c>
      <c r="M544" s="38">
        <f>IF(AND(1+$Q$6&gt;H544,1-$Q$6&lt;H544,1+$Q$6&gt;I544,1-$Q$6&lt;I544,1+$Q$6&gt;J544,1-$Q$6&lt;J544,1+$Q$6&gt;K544,1-$Q$6&lt;K544,1+$Q$6&gt;L544,1-$Q$6&lt;L544),IF(SUM($M$2:M543)=0,1,0),0)</f>
        <v>0</v>
      </c>
      <c r="N544" s="38">
        <f>IF(AND(1+$Q$7&gt;H544,1-$Q$7&lt;H544,1+$Q$7&gt;I544,1-$Q$7&lt;I544,1+$Q$7&gt;J544,1-$Q$7&lt;J544,1+$Q$7&gt;K544,1-$Q$7&lt;K544,1+$Q$7&gt;L544,1-$Q$7&lt;L544),IF(SUM($N$2:N543)=0,1,0),0)</f>
        <v>0</v>
      </c>
      <c r="O544" s="34">
        <f t="shared" si="8"/>
        <v>0</v>
      </c>
    </row>
    <row r="545" spans="8:15" ht="20.100000000000001" customHeight="1" x14ac:dyDescent="0.25">
      <c r="H545" s="43" t="str">
        <f>IFERROR(ABS(C545/VLOOKUP(2*$B545,$B546:C579,2,TRUE)),"--")</f>
        <v>--</v>
      </c>
      <c r="I545" s="43" t="str">
        <f>IFERROR(ABS(D545/VLOOKUP(2*$B545,$B546:D579,3,TRUE)),"--")</f>
        <v>--</v>
      </c>
      <c r="J545" s="43" t="str">
        <f>IFERROR(ABS(E545/VLOOKUP(2*$B545,$B546:E579,4,TRUE)),"--")</f>
        <v>--</v>
      </c>
      <c r="K545" s="43" t="str">
        <f>IFERROR(ABS(F545/VLOOKUP(2*$B545,$B546:F579,5,TRUE)),"--")</f>
        <v>--</v>
      </c>
      <c r="L545" s="43" t="str">
        <f>IFERROR(ABS(G545/VLOOKUP(2*$B545,$B546:G579,6,TRUE)),"--")</f>
        <v>--</v>
      </c>
      <c r="M545" s="38">
        <f>IF(AND(1+$Q$6&gt;H545,1-$Q$6&lt;H545,1+$Q$6&gt;I545,1-$Q$6&lt;I545,1+$Q$6&gt;J545,1-$Q$6&lt;J545,1+$Q$6&gt;K545,1-$Q$6&lt;K545,1+$Q$6&gt;L545,1-$Q$6&lt;L545),IF(SUM($M$2:M544)=0,1,0),0)</f>
        <v>0</v>
      </c>
      <c r="N545" s="38">
        <f>IF(AND(1+$Q$7&gt;H545,1-$Q$7&lt;H545,1+$Q$7&gt;I545,1-$Q$7&lt;I545,1+$Q$7&gt;J545,1-$Q$7&lt;J545,1+$Q$7&gt;K545,1-$Q$7&lt;K545,1+$Q$7&gt;L545,1-$Q$7&lt;L545),IF(SUM($N$2:N544)=0,1,0),0)</f>
        <v>0</v>
      </c>
      <c r="O545" s="34">
        <f t="shared" si="8"/>
        <v>0</v>
      </c>
    </row>
    <row r="546" spans="8:15" ht="20.100000000000001" customHeight="1" x14ac:dyDescent="0.25">
      <c r="H546" s="43" t="str">
        <f>IFERROR(ABS(C546/VLOOKUP(2*$B546,$B547:C580,2,TRUE)),"--")</f>
        <v>--</v>
      </c>
      <c r="I546" s="43" t="str">
        <f>IFERROR(ABS(D546/VLOOKUP(2*$B546,$B547:D580,3,TRUE)),"--")</f>
        <v>--</v>
      </c>
      <c r="J546" s="43" t="str">
        <f>IFERROR(ABS(E546/VLOOKUP(2*$B546,$B547:E580,4,TRUE)),"--")</f>
        <v>--</v>
      </c>
      <c r="K546" s="43" t="str">
        <f>IFERROR(ABS(F546/VLOOKUP(2*$B546,$B547:F580,5,TRUE)),"--")</f>
        <v>--</v>
      </c>
      <c r="L546" s="43" t="str">
        <f>IFERROR(ABS(G546/VLOOKUP(2*$B546,$B547:G580,6,TRUE)),"--")</f>
        <v>--</v>
      </c>
      <c r="M546" s="38">
        <f>IF(AND(1+$Q$6&gt;H546,1-$Q$6&lt;H546,1+$Q$6&gt;I546,1-$Q$6&lt;I546,1+$Q$6&gt;J546,1-$Q$6&lt;J546,1+$Q$6&gt;K546,1-$Q$6&lt;K546,1+$Q$6&gt;L546,1-$Q$6&lt;L546),IF(SUM($M$2:M545)=0,1,0),0)</f>
        <v>0</v>
      </c>
      <c r="N546" s="38">
        <f>IF(AND(1+$Q$7&gt;H546,1-$Q$7&lt;H546,1+$Q$7&gt;I546,1-$Q$7&lt;I546,1+$Q$7&gt;J546,1-$Q$7&lt;J546,1+$Q$7&gt;K546,1-$Q$7&lt;K546,1+$Q$7&gt;L546,1-$Q$7&lt;L546),IF(SUM($N$2:N545)=0,1,0),0)</f>
        <v>0</v>
      </c>
      <c r="O546" s="34">
        <f t="shared" si="8"/>
        <v>0</v>
      </c>
    </row>
    <row r="547" spans="8:15" ht="20.100000000000001" customHeight="1" x14ac:dyDescent="0.25">
      <c r="H547" s="43" t="str">
        <f>IFERROR(ABS(C547/VLOOKUP(2*$B547,$B548:C581,2,TRUE)),"--")</f>
        <v>--</v>
      </c>
      <c r="I547" s="43" t="str">
        <f>IFERROR(ABS(D547/VLOOKUP(2*$B547,$B548:D581,3,TRUE)),"--")</f>
        <v>--</v>
      </c>
      <c r="J547" s="43" t="str">
        <f>IFERROR(ABS(E547/VLOOKUP(2*$B547,$B548:E581,4,TRUE)),"--")</f>
        <v>--</v>
      </c>
      <c r="K547" s="43" t="str">
        <f>IFERROR(ABS(F547/VLOOKUP(2*$B547,$B548:F581,5,TRUE)),"--")</f>
        <v>--</v>
      </c>
      <c r="L547" s="43" t="str">
        <f>IFERROR(ABS(G547/VLOOKUP(2*$B547,$B548:G581,6,TRUE)),"--")</f>
        <v>--</v>
      </c>
      <c r="M547" s="38">
        <f>IF(AND(1+$Q$6&gt;H547,1-$Q$6&lt;H547,1+$Q$6&gt;I547,1-$Q$6&lt;I547,1+$Q$6&gt;J547,1-$Q$6&lt;J547,1+$Q$6&gt;K547,1-$Q$6&lt;K547,1+$Q$6&gt;L547,1-$Q$6&lt;L547),IF(SUM($M$2:M546)=0,1,0),0)</f>
        <v>0</v>
      </c>
      <c r="N547" s="38">
        <f>IF(AND(1+$Q$7&gt;H547,1-$Q$7&lt;H547,1+$Q$7&gt;I547,1-$Q$7&lt;I547,1+$Q$7&gt;J547,1-$Q$7&lt;J547,1+$Q$7&gt;K547,1-$Q$7&lt;K547,1+$Q$7&gt;L547,1-$Q$7&lt;L547),IF(SUM($N$2:N546)=0,1,0),0)</f>
        <v>0</v>
      </c>
      <c r="O547" s="34">
        <f t="shared" si="8"/>
        <v>0</v>
      </c>
    </row>
    <row r="548" spans="8:15" ht="20.100000000000001" customHeight="1" x14ac:dyDescent="0.25">
      <c r="H548" s="43" t="str">
        <f>IFERROR(ABS(C548/VLOOKUP(2*$B548,$B549:C582,2,TRUE)),"--")</f>
        <v>--</v>
      </c>
      <c r="I548" s="43" t="str">
        <f>IFERROR(ABS(D548/VLOOKUP(2*$B548,$B549:D582,3,TRUE)),"--")</f>
        <v>--</v>
      </c>
      <c r="J548" s="43" t="str">
        <f>IFERROR(ABS(E548/VLOOKUP(2*$B548,$B549:E582,4,TRUE)),"--")</f>
        <v>--</v>
      </c>
      <c r="K548" s="43" t="str">
        <f>IFERROR(ABS(F548/VLOOKUP(2*$B548,$B549:F582,5,TRUE)),"--")</f>
        <v>--</v>
      </c>
      <c r="L548" s="43" t="str">
        <f>IFERROR(ABS(G548/VLOOKUP(2*$B548,$B549:G582,6,TRUE)),"--")</f>
        <v>--</v>
      </c>
      <c r="M548" s="38">
        <f>IF(AND(1+$Q$6&gt;H548,1-$Q$6&lt;H548,1+$Q$6&gt;I548,1-$Q$6&lt;I548,1+$Q$6&gt;J548,1-$Q$6&lt;J548,1+$Q$6&gt;K548,1-$Q$6&lt;K548,1+$Q$6&gt;L548,1-$Q$6&lt;L548),IF(SUM($M$2:M547)=0,1,0),0)</f>
        <v>0</v>
      </c>
      <c r="N548" s="38">
        <f>IF(AND(1+$Q$7&gt;H548,1-$Q$7&lt;H548,1+$Q$7&gt;I548,1-$Q$7&lt;I548,1+$Q$7&gt;J548,1-$Q$7&lt;J548,1+$Q$7&gt;K548,1-$Q$7&lt;K548,1+$Q$7&gt;L548,1-$Q$7&lt;L548),IF(SUM($N$2:N547)=0,1,0),0)</f>
        <v>0</v>
      </c>
      <c r="O548" s="34">
        <f t="shared" si="8"/>
        <v>0</v>
      </c>
    </row>
    <row r="549" spans="8:15" ht="20.100000000000001" customHeight="1" x14ac:dyDescent="0.25">
      <c r="H549" s="43" t="str">
        <f>IFERROR(ABS(C549/VLOOKUP(2*$B549,$B550:C583,2,TRUE)),"--")</f>
        <v>--</v>
      </c>
      <c r="I549" s="43" t="str">
        <f>IFERROR(ABS(D549/VLOOKUP(2*$B549,$B550:D583,3,TRUE)),"--")</f>
        <v>--</v>
      </c>
      <c r="J549" s="43" t="str">
        <f>IFERROR(ABS(E549/VLOOKUP(2*$B549,$B550:E583,4,TRUE)),"--")</f>
        <v>--</v>
      </c>
      <c r="K549" s="43" t="str">
        <f>IFERROR(ABS(F549/VLOOKUP(2*$B549,$B550:F583,5,TRUE)),"--")</f>
        <v>--</v>
      </c>
      <c r="L549" s="43" t="str">
        <f>IFERROR(ABS(G549/VLOOKUP(2*$B549,$B550:G583,6,TRUE)),"--")</f>
        <v>--</v>
      </c>
      <c r="M549" s="38">
        <f>IF(AND(1+$Q$6&gt;H549,1-$Q$6&lt;H549,1+$Q$6&gt;I549,1-$Q$6&lt;I549,1+$Q$6&gt;J549,1-$Q$6&lt;J549,1+$Q$6&gt;K549,1-$Q$6&lt;K549,1+$Q$6&gt;L549,1-$Q$6&lt;L549),IF(SUM($M$2:M548)=0,1,0),0)</f>
        <v>0</v>
      </c>
      <c r="N549" s="38">
        <f>IF(AND(1+$Q$7&gt;H549,1-$Q$7&lt;H549,1+$Q$7&gt;I549,1-$Q$7&lt;I549,1+$Q$7&gt;J549,1-$Q$7&lt;J549,1+$Q$7&gt;K549,1-$Q$7&lt;K549,1+$Q$7&gt;L549,1-$Q$7&lt;L549),IF(SUM($N$2:N548)=0,1,0),0)</f>
        <v>0</v>
      </c>
      <c r="O549" s="34">
        <f t="shared" si="8"/>
        <v>0</v>
      </c>
    </row>
    <row r="550" spans="8:15" ht="20.100000000000001" customHeight="1" x14ac:dyDescent="0.25">
      <c r="H550" s="43" t="str">
        <f>IFERROR(ABS(C550/VLOOKUP(2*$B550,$B551:C584,2,TRUE)),"--")</f>
        <v>--</v>
      </c>
      <c r="I550" s="43" t="str">
        <f>IFERROR(ABS(D550/VLOOKUP(2*$B550,$B551:D584,3,TRUE)),"--")</f>
        <v>--</v>
      </c>
      <c r="J550" s="43" t="str">
        <f>IFERROR(ABS(E550/VLOOKUP(2*$B550,$B551:E584,4,TRUE)),"--")</f>
        <v>--</v>
      </c>
      <c r="K550" s="43" t="str">
        <f>IFERROR(ABS(F550/VLOOKUP(2*$B550,$B551:F584,5,TRUE)),"--")</f>
        <v>--</v>
      </c>
      <c r="L550" s="43" t="str">
        <f>IFERROR(ABS(G550/VLOOKUP(2*$B550,$B551:G584,6,TRUE)),"--")</f>
        <v>--</v>
      </c>
      <c r="M550" s="38">
        <f>IF(AND(1+$Q$6&gt;H550,1-$Q$6&lt;H550,1+$Q$6&gt;I550,1-$Q$6&lt;I550,1+$Q$6&gt;J550,1-$Q$6&lt;J550,1+$Q$6&gt;K550,1-$Q$6&lt;K550,1+$Q$6&gt;L550,1-$Q$6&lt;L550),IF(SUM($M$2:M549)=0,1,0),0)</f>
        <v>0</v>
      </c>
      <c r="N550" s="38">
        <f>IF(AND(1+$Q$7&gt;H550,1-$Q$7&lt;H550,1+$Q$7&gt;I550,1-$Q$7&lt;I550,1+$Q$7&gt;J550,1-$Q$7&lt;J550,1+$Q$7&gt;K550,1-$Q$7&lt;K550,1+$Q$7&gt;L550,1-$Q$7&lt;L550),IF(SUM($N$2:N549)=0,1,0),0)</f>
        <v>0</v>
      </c>
      <c r="O550" s="34">
        <f t="shared" si="8"/>
        <v>0</v>
      </c>
    </row>
    <row r="551" spans="8:15" ht="20.100000000000001" customHeight="1" x14ac:dyDescent="0.25">
      <c r="H551" s="43" t="str">
        <f>IFERROR(ABS(C551/VLOOKUP(2*$B551,$B552:C585,2,TRUE)),"--")</f>
        <v>--</v>
      </c>
      <c r="I551" s="43" t="str">
        <f>IFERROR(ABS(D551/VLOOKUP(2*$B551,$B552:D585,3,TRUE)),"--")</f>
        <v>--</v>
      </c>
      <c r="J551" s="43" t="str">
        <f>IFERROR(ABS(E551/VLOOKUP(2*$B551,$B552:E585,4,TRUE)),"--")</f>
        <v>--</v>
      </c>
      <c r="K551" s="43" t="str">
        <f>IFERROR(ABS(F551/VLOOKUP(2*$B551,$B552:F585,5,TRUE)),"--")</f>
        <v>--</v>
      </c>
      <c r="L551" s="43" t="str">
        <f>IFERROR(ABS(G551/VLOOKUP(2*$B551,$B552:G585,6,TRUE)),"--")</f>
        <v>--</v>
      </c>
      <c r="M551" s="38">
        <f>IF(AND(1+$Q$6&gt;H551,1-$Q$6&lt;H551,1+$Q$6&gt;I551,1-$Q$6&lt;I551,1+$Q$6&gt;J551,1-$Q$6&lt;J551,1+$Q$6&gt;K551,1-$Q$6&lt;K551,1+$Q$6&gt;L551,1-$Q$6&lt;L551),IF(SUM($M$2:M550)=0,1,0),0)</f>
        <v>0</v>
      </c>
      <c r="N551" s="38">
        <f>IF(AND(1+$Q$7&gt;H551,1-$Q$7&lt;H551,1+$Q$7&gt;I551,1-$Q$7&lt;I551,1+$Q$7&gt;J551,1-$Q$7&lt;J551,1+$Q$7&gt;K551,1-$Q$7&lt;K551,1+$Q$7&gt;L551,1-$Q$7&lt;L551),IF(SUM($N$2:N550)=0,1,0),0)</f>
        <v>0</v>
      </c>
      <c r="O551" s="34">
        <f t="shared" si="8"/>
        <v>0</v>
      </c>
    </row>
    <row r="552" spans="8:15" ht="20.100000000000001" customHeight="1" x14ac:dyDescent="0.25">
      <c r="H552" s="43" t="str">
        <f>IFERROR(ABS(C552/VLOOKUP(2*$B552,$B553:C586,2,TRUE)),"--")</f>
        <v>--</v>
      </c>
      <c r="I552" s="43" t="str">
        <f>IFERROR(ABS(D552/VLOOKUP(2*$B552,$B553:D586,3,TRUE)),"--")</f>
        <v>--</v>
      </c>
      <c r="J552" s="43" t="str">
        <f>IFERROR(ABS(E552/VLOOKUP(2*$B552,$B553:E586,4,TRUE)),"--")</f>
        <v>--</v>
      </c>
      <c r="K552" s="43" t="str">
        <f>IFERROR(ABS(F552/VLOOKUP(2*$B552,$B553:F586,5,TRUE)),"--")</f>
        <v>--</v>
      </c>
      <c r="L552" s="43" t="str">
        <f>IFERROR(ABS(G552/VLOOKUP(2*$B552,$B553:G586,6,TRUE)),"--")</f>
        <v>--</v>
      </c>
      <c r="M552" s="38">
        <f>IF(AND(1+$Q$6&gt;H552,1-$Q$6&lt;H552,1+$Q$6&gt;I552,1-$Q$6&lt;I552,1+$Q$6&gt;J552,1-$Q$6&lt;J552,1+$Q$6&gt;K552,1-$Q$6&lt;K552,1+$Q$6&gt;L552,1-$Q$6&lt;L552),IF(SUM($M$2:M551)=0,1,0),0)</f>
        <v>0</v>
      </c>
      <c r="N552" s="38">
        <f>IF(AND(1+$Q$7&gt;H552,1-$Q$7&lt;H552,1+$Q$7&gt;I552,1-$Q$7&lt;I552,1+$Q$7&gt;J552,1-$Q$7&lt;J552,1+$Q$7&gt;K552,1-$Q$7&lt;K552,1+$Q$7&gt;L552,1-$Q$7&lt;L552),IF(SUM($N$2:N551)=0,1,0),0)</f>
        <v>0</v>
      </c>
      <c r="O552" s="34">
        <f t="shared" si="8"/>
        <v>0</v>
      </c>
    </row>
    <row r="553" spans="8:15" ht="20.100000000000001" customHeight="1" x14ac:dyDescent="0.25">
      <c r="H553" s="43" t="str">
        <f>IFERROR(ABS(C553/VLOOKUP(2*$B553,$B554:C587,2,TRUE)),"--")</f>
        <v>--</v>
      </c>
      <c r="I553" s="43" t="str">
        <f>IFERROR(ABS(D553/VLOOKUP(2*$B553,$B554:D587,3,TRUE)),"--")</f>
        <v>--</v>
      </c>
      <c r="J553" s="43" t="str">
        <f>IFERROR(ABS(E553/VLOOKUP(2*$B553,$B554:E587,4,TRUE)),"--")</f>
        <v>--</v>
      </c>
      <c r="K553" s="43" t="str">
        <f>IFERROR(ABS(F553/VLOOKUP(2*$B553,$B554:F587,5,TRUE)),"--")</f>
        <v>--</v>
      </c>
      <c r="L553" s="43" t="str">
        <f>IFERROR(ABS(G553/VLOOKUP(2*$B553,$B554:G587,6,TRUE)),"--")</f>
        <v>--</v>
      </c>
      <c r="M553" s="38">
        <f>IF(AND(1+$Q$6&gt;H553,1-$Q$6&lt;H553,1+$Q$6&gt;I553,1-$Q$6&lt;I553,1+$Q$6&gt;J553,1-$Q$6&lt;J553,1+$Q$6&gt;K553,1-$Q$6&lt;K553,1+$Q$6&gt;L553,1-$Q$6&lt;L553),IF(SUM($M$2:M552)=0,1,0),0)</f>
        <v>0</v>
      </c>
      <c r="N553" s="38">
        <f>IF(AND(1+$Q$7&gt;H553,1-$Q$7&lt;H553,1+$Q$7&gt;I553,1-$Q$7&lt;I553,1+$Q$7&gt;J553,1-$Q$7&lt;J553,1+$Q$7&gt;K553,1-$Q$7&lt;K553,1+$Q$7&gt;L553,1-$Q$7&lt;L553),IF(SUM($N$2:N552)=0,1,0),0)</f>
        <v>0</v>
      </c>
      <c r="O553" s="34">
        <f t="shared" si="8"/>
        <v>0</v>
      </c>
    </row>
    <row r="554" spans="8:15" ht="20.100000000000001" customHeight="1" x14ac:dyDescent="0.25">
      <c r="H554" s="43" t="str">
        <f>IFERROR(ABS(C554/VLOOKUP(2*$B554,$B555:C588,2,TRUE)),"--")</f>
        <v>--</v>
      </c>
      <c r="I554" s="43" t="str">
        <f>IFERROR(ABS(D554/VLOOKUP(2*$B554,$B555:D588,3,TRUE)),"--")</f>
        <v>--</v>
      </c>
      <c r="J554" s="43" t="str">
        <f>IFERROR(ABS(E554/VLOOKUP(2*$B554,$B555:E588,4,TRUE)),"--")</f>
        <v>--</v>
      </c>
      <c r="K554" s="43" t="str">
        <f>IFERROR(ABS(F554/VLOOKUP(2*$B554,$B555:F588,5,TRUE)),"--")</f>
        <v>--</v>
      </c>
      <c r="L554" s="43" t="str">
        <f>IFERROR(ABS(G554/VLOOKUP(2*$B554,$B555:G588,6,TRUE)),"--")</f>
        <v>--</v>
      </c>
      <c r="M554" s="38">
        <f>IF(AND(1+$Q$6&gt;H554,1-$Q$6&lt;H554,1+$Q$6&gt;I554,1-$Q$6&lt;I554,1+$Q$6&gt;J554,1-$Q$6&lt;J554,1+$Q$6&gt;K554,1-$Q$6&lt;K554,1+$Q$6&gt;L554,1-$Q$6&lt;L554),IF(SUM($M$2:M553)=0,1,0),0)</f>
        <v>0</v>
      </c>
      <c r="N554" s="38">
        <f>IF(AND(1+$Q$7&gt;H554,1-$Q$7&lt;H554,1+$Q$7&gt;I554,1-$Q$7&lt;I554,1+$Q$7&gt;J554,1-$Q$7&lt;J554,1+$Q$7&gt;K554,1-$Q$7&lt;K554,1+$Q$7&gt;L554,1-$Q$7&lt;L554),IF(SUM($N$2:N553)=0,1,0),0)</f>
        <v>0</v>
      </c>
      <c r="O554" s="34">
        <f t="shared" si="8"/>
        <v>0</v>
      </c>
    </row>
    <row r="555" spans="8:15" ht="20.100000000000001" customHeight="1" x14ac:dyDescent="0.25">
      <c r="H555" s="43" t="str">
        <f>IFERROR(ABS(C555/VLOOKUP(2*$B555,$B556:C589,2,TRUE)),"--")</f>
        <v>--</v>
      </c>
      <c r="I555" s="43" t="str">
        <f>IFERROR(ABS(D555/VLOOKUP(2*$B555,$B556:D589,3,TRUE)),"--")</f>
        <v>--</v>
      </c>
      <c r="J555" s="43" t="str">
        <f>IFERROR(ABS(E555/VLOOKUP(2*$B555,$B556:E589,4,TRUE)),"--")</f>
        <v>--</v>
      </c>
      <c r="K555" s="43" t="str">
        <f>IFERROR(ABS(F555/VLOOKUP(2*$B555,$B556:F589,5,TRUE)),"--")</f>
        <v>--</v>
      </c>
      <c r="L555" s="43" t="str">
        <f>IFERROR(ABS(G555/VLOOKUP(2*$B555,$B556:G589,6,TRUE)),"--")</f>
        <v>--</v>
      </c>
      <c r="M555" s="38">
        <f>IF(AND(1+$Q$6&gt;H555,1-$Q$6&lt;H555,1+$Q$6&gt;I555,1-$Q$6&lt;I555,1+$Q$6&gt;J555,1-$Q$6&lt;J555,1+$Q$6&gt;K555,1-$Q$6&lt;K555,1+$Q$6&gt;L555,1-$Q$6&lt;L555),IF(SUM($M$2:M554)=0,1,0),0)</f>
        <v>0</v>
      </c>
      <c r="N555" s="38">
        <f>IF(AND(1+$Q$7&gt;H555,1-$Q$7&lt;H555,1+$Q$7&gt;I555,1-$Q$7&lt;I555,1+$Q$7&gt;J555,1-$Q$7&lt;J555,1+$Q$7&gt;K555,1-$Q$7&lt;K555,1+$Q$7&gt;L555,1-$Q$7&lt;L555),IF(SUM($N$2:N554)=0,1,0),0)</f>
        <v>0</v>
      </c>
      <c r="O555" s="34">
        <f t="shared" si="8"/>
        <v>0</v>
      </c>
    </row>
    <row r="556" spans="8:15" ht="20.100000000000001" customHeight="1" x14ac:dyDescent="0.25">
      <c r="H556" s="43" t="str">
        <f>IFERROR(ABS(C556/VLOOKUP(2*$B556,$B557:C590,2,TRUE)),"--")</f>
        <v>--</v>
      </c>
      <c r="I556" s="43" t="str">
        <f>IFERROR(ABS(D556/VLOOKUP(2*$B556,$B557:D590,3,TRUE)),"--")</f>
        <v>--</v>
      </c>
      <c r="J556" s="43" t="str">
        <f>IFERROR(ABS(E556/VLOOKUP(2*$B556,$B557:E590,4,TRUE)),"--")</f>
        <v>--</v>
      </c>
      <c r="K556" s="43" t="str">
        <f>IFERROR(ABS(F556/VLOOKUP(2*$B556,$B557:F590,5,TRUE)),"--")</f>
        <v>--</v>
      </c>
      <c r="L556" s="43" t="str">
        <f>IFERROR(ABS(G556/VLOOKUP(2*$B556,$B557:G590,6,TRUE)),"--")</f>
        <v>--</v>
      </c>
      <c r="M556" s="38">
        <f>IF(AND(1+$Q$6&gt;H556,1-$Q$6&lt;H556,1+$Q$6&gt;I556,1-$Q$6&lt;I556,1+$Q$6&gt;J556,1-$Q$6&lt;J556,1+$Q$6&gt;K556,1-$Q$6&lt;K556,1+$Q$6&gt;L556,1-$Q$6&lt;L556),IF(SUM($M$2:M555)=0,1,0),0)</f>
        <v>0</v>
      </c>
      <c r="N556" s="38">
        <f>IF(AND(1+$Q$7&gt;H556,1-$Q$7&lt;H556,1+$Q$7&gt;I556,1-$Q$7&lt;I556,1+$Q$7&gt;J556,1-$Q$7&lt;J556,1+$Q$7&gt;K556,1-$Q$7&lt;K556,1+$Q$7&gt;L556,1-$Q$7&lt;L556),IF(SUM($N$2:N555)=0,1,0),0)</f>
        <v>0</v>
      </c>
      <c r="O556" s="34">
        <f t="shared" si="8"/>
        <v>0</v>
      </c>
    </row>
    <row r="557" spans="8:15" ht="20.100000000000001" customHeight="1" x14ac:dyDescent="0.25">
      <c r="H557" s="43" t="str">
        <f>IFERROR(ABS(C557/VLOOKUP(2*$B557,$B558:C591,2,TRUE)),"--")</f>
        <v>--</v>
      </c>
      <c r="I557" s="43" t="str">
        <f>IFERROR(ABS(D557/VLOOKUP(2*$B557,$B558:D591,3,TRUE)),"--")</f>
        <v>--</v>
      </c>
      <c r="J557" s="43" t="str">
        <f>IFERROR(ABS(E557/VLOOKUP(2*$B557,$B558:E591,4,TRUE)),"--")</f>
        <v>--</v>
      </c>
      <c r="K557" s="43" t="str">
        <f>IFERROR(ABS(F557/VLOOKUP(2*$B557,$B558:F591,5,TRUE)),"--")</f>
        <v>--</v>
      </c>
      <c r="L557" s="43" t="str">
        <f>IFERROR(ABS(G557/VLOOKUP(2*$B557,$B558:G591,6,TRUE)),"--")</f>
        <v>--</v>
      </c>
      <c r="M557" s="38">
        <f>IF(AND(1+$Q$6&gt;H557,1-$Q$6&lt;H557,1+$Q$6&gt;I557,1-$Q$6&lt;I557,1+$Q$6&gt;J557,1-$Q$6&lt;J557,1+$Q$6&gt;K557,1-$Q$6&lt;K557,1+$Q$6&gt;L557,1-$Q$6&lt;L557),IF(SUM($M$2:M556)=0,1,0),0)</f>
        <v>0</v>
      </c>
      <c r="N557" s="38">
        <f>IF(AND(1+$Q$7&gt;H557,1-$Q$7&lt;H557,1+$Q$7&gt;I557,1-$Q$7&lt;I557,1+$Q$7&gt;J557,1-$Q$7&lt;J557,1+$Q$7&gt;K557,1-$Q$7&lt;K557,1+$Q$7&gt;L557,1-$Q$7&lt;L557),IF(SUM($N$2:N556)=0,1,0),0)</f>
        <v>0</v>
      </c>
      <c r="O557" s="34">
        <f t="shared" si="8"/>
        <v>0</v>
      </c>
    </row>
    <row r="558" spans="8:15" ht="20.100000000000001" customHeight="1" x14ac:dyDescent="0.25">
      <c r="H558" s="43" t="str">
        <f>IFERROR(ABS(C558/VLOOKUP(2*$B558,$B559:C592,2,TRUE)),"--")</f>
        <v>--</v>
      </c>
      <c r="I558" s="43" t="str">
        <f>IFERROR(ABS(D558/VLOOKUP(2*$B558,$B559:D592,3,TRUE)),"--")</f>
        <v>--</v>
      </c>
      <c r="J558" s="43" t="str">
        <f>IFERROR(ABS(E558/VLOOKUP(2*$B558,$B559:E592,4,TRUE)),"--")</f>
        <v>--</v>
      </c>
      <c r="K558" s="43" t="str">
        <f>IFERROR(ABS(F558/VLOOKUP(2*$B558,$B559:F592,5,TRUE)),"--")</f>
        <v>--</v>
      </c>
      <c r="L558" s="43" t="str">
        <f>IFERROR(ABS(G558/VLOOKUP(2*$B558,$B559:G592,6,TRUE)),"--")</f>
        <v>--</v>
      </c>
      <c r="M558" s="38">
        <f>IF(AND(1+$Q$6&gt;H558,1-$Q$6&lt;H558,1+$Q$6&gt;I558,1-$Q$6&lt;I558,1+$Q$6&gt;J558,1-$Q$6&lt;J558,1+$Q$6&gt;K558,1-$Q$6&lt;K558,1+$Q$6&gt;L558,1-$Q$6&lt;L558),IF(SUM($M$2:M557)=0,1,0),0)</f>
        <v>0</v>
      </c>
      <c r="N558" s="38">
        <f>IF(AND(1+$Q$7&gt;H558,1-$Q$7&lt;H558,1+$Q$7&gt;I558,1-$Q$7&lt;I558,1+$Q$7&gt;J558,1-$Q$7&lt;J558,1+$Q$7&gt;K558,1-$Q$7&lt;K558,1+$Q$7&gt;L558,1-$Q$7&lt;L558),IF(SUM($N$2:N557)=0,1,0),0)</f>
        <v>0</v>
      </c>
      <c r="O558" s="34">
        <f t="shared" si="8"/>
        <v>0</v>
      </c>
    </row>
    <row r="559" spans="8:15" ht="20.100000000000001" customHeight="1" x14ac:dyDescent="0.25">
      <c r="H559" s="43" t="str">
        <f>IFERROR(ABS(C559/VLOOKUP(2*$B559,$B560:C593,2,TRUE)),"--")</f>
        <v>--</v>
      </c>
      <c r="I559" s="43" t="str">
        <f>IFERROR(ABS(D559/VLOOKUP(2*$B559,$B560:D593,3,TRUE)),"--")</f>
        <v>--</v>
      </c>
      <c r="J559" s="43" t="str">
        <f>IFERROR(ABS(E559/VLOOKUP(2*$B559,$B560:E593,4,TRUE)),"--")</f>
        <v>--</v>
      </c>
      <c r="K559" s="43" t="str">
        <f>IFERROR(ABS(F559/VLOOKUP(2*$B559,$B560:F593,5,TRUE)),"--")</f>
        <v>--</v>
      </c>
      <c r="L559" s="43" t="str">
        <f>IFERROR(ABS(G559/VLOOKUP(2*$B559,$B560:G593,6,TRUE)),"--")</f>
        <v>--</v>
      </c>
      <c r="M559" s="38">
        <f>IF(AND(1+$Q$6&gt;H559,1-$Q$6&lt;H559,1+$Q$6&gt;I559,1-$Q$6&lt;I559,1+$Q$6&gt;J559,1-$Q$6&lt;J559,1+$Q$6&gt;K559,1-$Q$6&lt;K559,1+$Q$6&gt;L559,1-$Q$6&lt;L559),IF(SUM($M$2:M558)=0,1,0),0)</f>
        <v>0</v>
      </c>
      <c r="N559" s="38">
        <f>IF(AND(1+$Q$7&gt;H559,1-$Q$7&lt;H559,1+$Q$7&gt;I559,1-$Q$7&lt;I559,1+$Q$7&gt;J559,1-$Q$7&lt;J559,1+$Q$7&gt;K559,1-$Q$7&lt;K559,1+$Q$7&gt;L559,1-$Q$7&lt;L559),IF(SUM($N$2:N558)=0,1,0),0)</f>
        <v>0</v>
      </c>
      <c r="O559" s="34">
        <f t="shared" si="8"/>
        <v>0</v>
      </c>
    </row>
    <row r="560" spans="8:15" ht="20.100000000000001" customHeight="1" x14ac:dyDescent="0.25">
      <c r="H560" s="43" t="str">
        <f>IFERROR(ABS(C560/VLOOKUP(2*$B560,$B561:C594,2,TRUE)),"--")</f>
        <v>--</v>
      </c>
      <c r="I560" s="43" t="str">
        <f>IFERROR(ABS(D560/VLOOKUP(2*$B560,$B561:D594,3,TRUE)),"--")</f>
        <v>--</v>
      </c>
      <c r="J560" s="43" t="str">
        <f>IFERROR(ABS(E560/VLOOKUP(2*$B560,$B561:E594,4,TRUE)),"--")</f>
        <v>--</v>
      </c>
      <c r="K560" s="43" t="str">
        <f>IFERROR(ABS(F560/VLOOKUP(2*$B560,$B561:F594,5,TRUE)),"--")</f>
        <v>--</v>
      </c>
      <c r="L560" s="43" t="str">
        <f>IFERROR(ABS(G560/VLOOKUP(2*$B560,$B561:G594,6,TRUE)),"--")</f>
        <v>--</v>
      </c>
      <c r="M560" s="38">
        <f>IF(AND(1+$Q$6&gt;H560,1-$Q$6&lt;H560,1+$Q$6&gt;I560,1-$Q$6&lt;I560,1+$Q$6&gt;J560,1-$Q$6&lt;J560,1+$Q$6&gt;K560,1-$Q$6&lt;K560,1+$Q$6&gt;L560,1-$Q$6&lt;L560),IF(SUM($M$2:M559)=0,1,0),0)</f>
        <v>0</v>
      </c>
      <c r="N560" s="38">
        <f>IF(AND(1+$Q$7&gt;H560,1-$Q$7&lt;H560,1+$Q$7&gt;I560,1-$Q$7&lt;I560,1+$Q$7&gt;J560,1-$Q$7&lt;J560,1+$Q$7&gt;K560,1-$Q$7&lt;K560,1+$Q$7&gt;L560,1-$Q$7&lt;L560),IF(SUM($N$2:N559)=0,1,0),0)</f>
        <v>0</v>
      </c>
      <c r="O560" s="34">
        <f t="shared" si="8"/>
        <v>0</v>
      </c>
    </row>
    <row r="561" spans="8:15" ht="20.100000000000001" customHeight="1" x14ac:dyDescent="0.25">
      <c r="H561" s="43" t="str">
        <f>IFERROR(ABS(C561/VLOOKUP(2*$B561,$B562:C595,2,TRUE)),"--")</f>
        <v>--</v>
      </c>
      <c r="I561" s="43" t="str">
        <f>IFERROR(ABS(D561/VLOOKUP(2*$B561,$B562:D595,3,TRUE)),"--")</f>
        <v>--</v>
      </c>
      <c r="J561" s="43" t="str">
        <f>IFERROR(ABS(E561/VLOOKUP(2*$B561,$B562:E595,4,TRUE)),"--")</f>
        <v>--</v>
      </c>
      <c r="K561" s="43" t="str">
        <f>IFERROR(ABS(F561/VLOOKUP(2*$B561,$B562:F595,5,TRUE)),"--")</f>
        <v>--</v>
      </c>
      <c r="L561" s="43" t="str">
        <f>IFERROR(ABS(G561/VLOOKUP(2*$B561,$B562:G595,6,TRUE)),"--")</f>
        <v>--</v>
      </c>
      <c r="M561" s="38">
        <f>IF(AND(1+$Q$6&gt;H561,1-$Q$6&lt;H561,1+$Q$6&gt;I561,1-$Q$6&lt;I561,1+$Q$6&gt;J561,1-$Q$6&lt;J561,1+$Q$6&gt;K561,1-$Q$6&lt;K561,1+$Q$6&gt;L561,1-$Q$6&lt;L561),IF(SUM($M$2:M560)=0,1,0),0)</f>
        <v>0</v>
      </c>
      <c r="N561" s="38">
        <f>IF(AND(1+$Q$7&gt;H561,1-$Q$7&lt;H561,1+$Q$7&gt;I561,1-$Q$7&lt;I561,1+$Q$7&gt;J561,1-$Q$7&lt;J561,1+$Q$7&gt;K561,1-$Q$7&lt;K561,1+$Q$7&gt;L561,1-$Q$7&lt;L561),IF(SUM($N$2:N560)=0,1,0),0)</f>
        <v>0</v>
      </c>
      <c r="O561" s="34">
        <f t="shared" si="8"/>
        <v>0</v>
      </c>
    </row>
    <row r="562" spans="8:15" ht="20.100000000000001" customHeight="1" x14ac:dyDescent="0.25">
      <c r="H562" s="43" t="str">
        <f>IFERROR(ABS(C562/VLOOKUP(2*$B562,$B563:C596,2,TRUE)),"--")</f>
        <v>--</v>
      </c>
      <c r="I562" s="43" t="str">
        <f>IFERROR(ABS(D562/VLOOKUP(2*$B562,$B563:D596,3,TRUE)),"--")</f>
        <v>--</v>
      </c>
      <c r="J562" s="43" t="str">
        <f>IFERROR(ABS(E562/VLOOKUP(2*$B562,$B563:E596,4,TRUE)),"--")</f>
        <v>--</v>
      </c>
      <c r="K562" s="43" t="str">
        <f>IFERROR(ABS(F562/VLOOKUP(2*$B562,$B563:F596,5,TRUE)),"--")</f>
        <v>--</v>
      </c>
      <c r="L562" s="43" t="str">
        <f>IFERROR(ABS(G562/VLOOKUP(2*$B562,$B563:G596,6,TRUE)),"--")</f>
        <v>--</v>
      </c>
      <c r="M562" s="38">
        <f>IF(AND(1+$Q$6&gt;H562,1-$Q$6&lt;H562,1+$Q$6&gt;I562,1-$Q$6&lt;I562,1+$Q$6&gt;J562,1-$Q$6&lt;J562,1+$Q$6&gt;K562,1-$Q$6&lt;K562,1+$Q$6&gt;L562,1-$Q$6&lt;L562),IF(SUM($M$2:M561)=0,1,0),0)</f>
        <v>0</v>
      </c>
      <c r="N562" s="38">
        <f>IF(AND(1+$Q$7&gt;H562,1-$Q$7&lt;H562,1+$Q$7&gt;I562,1-$Q$7&lt;I562,1+$Q$7&gt;J562,1-$Q$7&lt;J562,1+$Q$7&gt;K562,1-$Q$7&lt;K562,1+$Q$7&gt;L562,1-$Q$7&lt;L562),IF(SUM($N$2:N561)=0,1,0),0)</f>
        <v>0</v>
      </c>
      <c r="O562" s="34">
        <f t="shared" si="8"/>
        <v>0</v>
      </c>
    </row>
    <row r="563" spans="8:15" ht="20.100000000000001" customHeight="1" x14ac:dyDescent="0.25">
      <c r="H563" s="43" t="str">
        <f>IFERROR(ABS(C563/VLOOKUP(2*$B563,$B564:C597,2,TRUE)),"--")</f>
        <v>--</v>
      </c>
      <c r="I563" s="43" t="str">
        <f>IFERROR(ABS(D563/VLOOKUP(2*$B563,$B564:D597,3,TRUE)),"--")</f>
        <v>--</v>
      </c>
      <c r="J563" s="43" t="str">
        <f>IFERROR(ABS(E563/VLOOKUP(2*$B563,$B564:E597,4,TRUE)),"--")</f>
        <v>--</v>
      </c>
      <c r="K563" s="43" t="str">
        <f>IFERROR(ABS(F563/VLOOKUP(2*$B563,$B564:F597,5,TRUE)),"--")</f>
        <v>--</v>
      </c>
      <c r="L563" s="43" t="str">
        <f>IFERROR(ABS(G563/VLOOKUP(2*$B563,$B564:G597,6,TRUE)),"--")</f>
        <v>--</v>
      </c>
      <c r="M563" s="38">
        <f>IF(AND(1+$Q$6&gt;H563,1-$Q$6&lt;H563,1+$Q$6&gt;I563,1-$Q$6&lt;I563,1+$Q$6&gt;J563,1-$Q$6&lt;J563,1+$Q$6&gt;K563,1-$Q$6&lt;K563,1+$Q$6&gt;L563,1-$Q$6&lt;L563),IF(SUM($M$2:M562)=0,1,0),0)</f>
        <v>0</v>
      </c>
      <c r="N563" s="38">
        <f>IF(AND(1+$Q$7&gt;H563,1-$Q$7&lt;H563,1+$Q$7&gt;I563,1-$Q$7&lt;I563,1+$Q$7&gt;J563,1-$Q$7&lt;J563,1+$Q$7&gt;K563,1-$Q$7&lt;K563,1+$Q$7&gt;L563,1-$Q$7&lt;L563),IF(SUM($N$2:N562)=0,1,0),0)</f>
        <v>0</v>
      </c>
      <c r="O563" s="34">
        <f t="shared" si="8"/>
        <v>0</v>
      </c>
    </row>
    <row r="564" spans="8:15" ht="20.100000000000001" customHeight="1" x14ac:dyDescent="0.25">
      <c r="H564" s="43" t="str">
        <f>IFERROR(ABS(C564/VLOOKUP(2*$B564,$B565:C598,2,TRUE)),"--")</f>
        <v>--</v>
      </c>
      <c r="I564" s="43" t="str">
        <f>IFERROR(ABS(D564/VLOOKUP(2*$B564,$B565:D598,3,TRUE)),"--")</f>
        <v>--</v>
      </c>
      <c r="J564" s="43" t="str">
        <f>IFERROR(ABS(E564/VLOOKUP(2*$B564,$B565:E598,4,TRUE)),"--")</f>
        <v>--</v>
      </c>
      <c r="K564" s="43" t="str">
        <f>IFERROR(ABS(F564/VLOOKUP(2*$B564,$B565:F598,5,TRUE)),"--")</f>
        <v>--</v>
      </c>
      <c r="L564" s="43" t="str">
        <f>IFERROR(ABS(G564/VLOOKUP(2*$B564,$B565:G598,6,TRUE)),"--")</f>
        <v>--</v>
      </c>
      <c r="M564" s="38">
        <f>IF(AND(1+$Q$6&gt;H564,1-$Q$6&lt;H564,1+$Q$6&gt;I564,1-$Q$6&lt;I564,1+$Q$6&gt;J564,1-$Q$6&lt;J564,1+$Q$6&gt;K564,1-$Q$6&lt;K564,1+$Q$6&gt;L564,1-$Q$6&lt;L564),IF(SUM($M$2:M563)=0,1,0),0)</f>
        <v>0</v>
      </c>
      <c r="N564" s="38">
        <f>IF(AND(1+$Q$7&gt;H564,1-$Q$7&lt;H564,1+$Q$7&gt;I564,1-$Q$7&lt;I564,1+$Q$7&gt;J564,1-$Q$7&lt;J564,1+$Q$7&gt;K564,1-$Q$7&lt;K564,1+$Q$7&gt;L564,1-$Q$7&lt;L564),IF(SUM($N$2:N563)=0,1,0),0)</f>
        <v>0</v>
      </c>
      <c r="O564" s="34">
        <f t="shared" si="8"/>
        <v>0</v>
      </c>
    </row>
    <row r="565" spans="8:15" ht="20.100000000000001" customHeight="1" x14ac:dyDescent="0.25">
      <c r="H565" s="43" t="str">
        <f>IFERROR(ABS(C565/VLOOKUP(2*$B565,$B566:C599,2,TRUE)),"--")</f>
        <v>--</v>
      </c>
      <c r="I565" s="43" t="str">
        <f>IFERROR(ABS(D565/VLOOKUP(2*$B565,$B566:D599,3,TRUE)),"--")</f>
        <v>--</v>
      </c>
      <c r="J565" s="43" t="str">
        <f>IFERROR(ABS(E565/VLOOKUP(2*$B565,$B566:E599,4,TRUE)),"--")</f>
        <v>--</v>
      </c>
      <c r="K565" s="43" t="str">
        <f>IFERROR(ABS(F565/VLOOKUP(2*$B565,$B566:F599,5,TRUE)),"--")</f>
        <v>--</v>
      </c>
      <c r="L565" s="43" t="str">
        <f>IFERROR(ABS(G565/VLOOKUP(2*$B565,$B566:G599,6,TRUE)),"--")</f>
        <v>--</v>
      </c>
      <c r="M565" s="38">
        <f>IF(AND(1+$Q$6&gt;H565,1-$Q$6&lt;H565,1+$Q$6&gt;I565,1-$Q$6&lt;I565,1+$Q$6&gt;J565,1-$Q$6&lt;J565,1+$Q$6&gt;K565,1-$Q$6&lt;K565,1+$Q$6&gt;L565,1-$Q$6&lt;L565),IF(SUM($M$2:M564)=0,1,0),0)</f>
        <v>0</v>
      </c>
      <c r="N565" s="38">
        <f>IF(AND(1+$Q$7&gt;H565,1-$Q$7&lt;H565,1+$Q$7&gt;I565,1-$Q$7&lt;I565,1+$Q$7&gt;J565,1-$Q$7&lt;J565,1+$Q$7&gt;K565,1-$Q$7&lt;K565,1+$Q$7&gt;L565,1-$Q$7&lt;L565),IF(SUM($N$2:N564)=0,1,0),0)</f>
        <v>0</v>
      </c>
      <c r="O565" s="34">
        <f t="shared" si="8"/>
        <v>0</v>
      </c>
    </row>
    <row r="566" spans="8:15" ht="20.100000000000001" customHeight="1" x14ac:dyDescent="0.25">
      <c r="H566" s="43" t="str">
        <f>IFERROR(ABS(C566/VLOOKUP(2*$B566,$B567:C600,2,TRUE)),"--")</f>
        <v>--</v>
      </c>
      <c r="I566" s="43" t="str">
        <f>IFERROR(ABS(D566/VLOOKUP(2*$B566,$B567:D600,3,TRUE)),"--")</f>
        <v>--</v>
      </c>
      <c r="J566" s="43" t="str">
        <f>IFERROR(ABS(E566/VLOOKUP(2*$B566,$B567:E600,4,TRUE)),"--")</f>
        <v>--</v>
      </c>
      <c r="K566" s="43" t="str">
        <f>IFERROR(ABS(F566/VLOOKUP(2*$B566,$B567:F600,5,TRUE)),"--")</f>
        <v>--</v>
      </c>
      <c r="L566" s="43" t="str">
        <f>IFERROR(ABS(G566/VLOOKUP(2*$B566,$B567:G600,6,TRUE)),"--")</f>
        <v>--</v>
      </c>
      <c r="M566" s="38">
        <f>IF(AND(1+$Q$6&gt;H566,1-$Q$6&lt;H566,1+$Q$6&gt;I566,1-$Q$6&lt;I566,1+$Q$6&gt;J566,1-$Q$6&lt;J566,1+$Q$6&gt;K566,1-$Q$6&lt;K566,1+$Q$6&gt;L566,1-$Q$6&lt;L566),IF(SUM($M$2:M565)=0,1,0),0)</f>
        <v>0</v>
      </c>
      <c r="N566" s="38">
        <f>IF(AND(1+$Q$7&gt;H566,1-$Q$7&lt;H566,1+$Q$7&gt;I566,1-$Q$7&lt;I566,1+$Q$7&gt;J566,1-$Q$7&lt;J566,1+$Q$7&gt;K566,1-$Q$7&lt;K566,1+$Q$7&gt;L566,1-$Q$7&lt;L566),IF(SUM($N$2:N565)=0,1,0),0)</f>
        <v>0</v>
      </c>
      <c r="O566" s="34">
        <f t="shared" si="8"/>
        <v>0</v>
      </c>
    </row>
    <row r="567" spans="8:15" ht="20.100000000000001" customHeight="1" x14ac:dyDescent="0.25">
      <c r="H567" s="43" t="str">
        <f>IFERROR(ABS(C567/VLOOKUP(2*$B567,$B568:C601,2,TRUE)),"--")</f>
        <v>--</v>
      </c>
      <c r="I567" s="43" t="str">
        <f>IFERROR(ABS(D567/VLOOKUP(2*$B567,$B568:D601,3,TRUE)),"--")</f>
        <v>--</v>
      </c>
      <c r="J567" s="43" t="str">
        <f>IFERROR(ABS(E567/VLOOKUP(2*$B567,$B568:E601,4,TRUE)),"--")</f>
        <v>--</v>
      </c>
      <c r="K567" s="43" t="str">
        <f>IFERROR(ABS(F567/VLOOKUP(2*$B567,$B568:F601,5,TRUE)),"--")</f>
        <v>--</v>
      </c>
      <c r="L567" s="43" t="str">
        <f>IFERROR(ABS(G567/VLOOKUP(2*$B567,$B568:G601,6,TRUE)),"--")</f>
        <v>--</v>
      </c>
      <c r="M567" s="38">
        <f>IF(AND(1+$Q$6&gt;H567,1-$Q$6&lt;H567,1+$Q$6&gt;I567,1-$Q$6&lt;I567,1+$Q$6&gt;J567,1-$Q$6&lt;J567,1+$Q$6&gt;K567,1-$Q$6&lt;K567,1+$Q$6&gt;L567,1-$Q$6&lt;L567),IF(SUM($M$2:M566)=0,1,0),0)</f>
        <v>0</v>
      </c>
      <c r="N567" s="38">
        <f>IF(AND(1+$Q$7&gt;H567,1-$Q$7&lt;H567,1+$Q$7&gt;I567,1-$Q$7&lt;I567,1+$Q$7&gt;J567,1-$Q$7&lt;J567,1+$Q$7&gt;K567,1-$Q$7&lt;K567,1+$Q$7&gt;L567,1-$Q$7&lt;L567),IF(SUM($N$2:N566)=0,1,0),0)</f>
        <v>0</v>
      </c>
      <c r="O567" s="34">
        <f t="shared" si="8"/>
        <v>0</v>
      </c>
    </row>
    <row r="568" spans="8:15" ht="20.100000000000001" customHeight="1" x14ac:dyDescent="0.25">
      <c r="H568" s="43" t="str">
        <f>IFERROR(ABS(C568/VLOOKUP(2*$B568,$B569:C602,2,TRUE)),"--")</f>
        <v>--</v>
      </c>
      <c r="I568" s="43" t="str">
        <f>IFERROR(ABS(D568/VLOOKUP(2*$B568,$B569:D602,3,TRUE)),"--")</f>
        <v>--</v>
      </c>
      <c r="J568" s="43" t="str">
        <f>IFERROR(ABS(E568/VLOOKUP(2*$B568,$B569:E602,4,TRUE)),"--")</f>
        <v>--</v>
      </c>
      <c r="K568" s="43" t="str">
        <f>IFERROR(ABS(F568/VLOOKUP(2*$B568,$B569:F602,5,TRUE)),"--")</f>
        <v>--</v>
      </c>
      <c r="L568" s="43" t="str">
        <f>IFERROR(ABS(G568/VLOOKUP(2*$B568,$B569:G602,6,TRUE)),"--")</f>
        <v>--</v>
      </c>
      <c r="M568" s="38">
        <f>IF(AND(1+$Q$6&gt;H568,1-$Q$6&lt;H568,1+$Q$6&gt;I568,1-$Q$6&lt;I568,1+$Q$6&gt;J568,1-$Q$6&lt;J568,1+$Q$6&gt;K568,1-$Q$6&lt;K568,1+$Q$6&gt;L568,1-$Q$6&lt;L568),IF(SUM($M$2:M567)=0,1,0),0)</f>
        <v>0</v>
      </c>
      <c r="N568" s="38">
        <f>IF(AND(1+$Q$7&gt;H568,1-$Q$7&lt;H568,1+$Q$7&gt;I568,1-$Q$7&lt;I568,1+$Q$7&gt;J568,1-$Q$7&lt;J568,1+$Q$7&gt;K568,1-$Q$7&lt;K568,1+$Q$7&gt;L568,1-$Q$7&lt;L568),IF(SUM($N$2:N567)=0,1,0),0)</f>
        <v>0</v>
      </c>
      <c r="O568" s="34">
        <f t="shared" si="8"/>
        <v>0</v>
      </c>
    </row>
    <row r="569" spans="8:15" ht="20.100000000000001" customHeight="1" x14ac:dyDescent="0.25">
      <c r="H569" s="43" t="str">
        <f>IFERROR(ABS(C569/VLOOKUP(2*$B569,$B570:C603,2,TRUE)),"--")</f>
        <v>--</v>
      </c>
      <c r="I569" s="43" t="str">
        <f>IFERROR(ABS(D569/VLOOKUP(2*$B569,$B570:D603,3,TRUE)),"--")</f>
        <v>--</v>
      </c>
      <c r="J569" s="43" t="str">
        <f>IFERROR(ABS(E569/VLOOKUP(2*$B569,$B570:E603,4,TRUE)),"--")</f>
        <v>--</v>
      </c>
      <c r="K569" s="43" t="str">
        <f>IFERROR(ABS(F569/VLOOKUP(2*$B569,$B570:F603,5,TRUE)),"--")</f>
        <v>--</v>
      </c>
      <c r="L569" s="43" t="str">
        <f>IFERROR(ABS(G569/VLOOKUP(2*$B569,$B570:G603,6,TRUE)),"--")</f>
        <v>--</v>
      </c>
      <c r="M569" s="38">
        <f>IF(AND(1+$Q$6&gt;H569,1-$Q$6&lt;H569,1+$Q$6&gt;I569,1-$Q$6&lt;I569,1+$Q$6&gt;J569,1-$Q$6&lt;J569,1+$Q$6&gt;K569,1-$Q$6&lt;K569,1+$Q$6&gt;L569,1-$Q$6&lt;L569),IF(SUM($M$2:M568)=0,1,0),0)</f>
        <v>0</v>
      </c>
      <c r="N569" s="38">
        <f>IF(AND(1+$Q$7&gt;H569,1-$Q$7&lt;H569,1+$Q$7&gt;I569,1-$Q$7&lt;I569,1+$Q$7&gt;J569,1-$Q$7&lt;J569,1+$Q$7&gt;K569,1-$Q$7&lt;K569,1+$Q$7&gt;L569,1-$Q$7&lt;L569),IF(SUM($N$2:N568)=0,1,0),0)</f>
        <v>0</v>
      </c>
      <c r="O569" s="34">
        <f t="shared" si="8"/>
        <v>0</v>
      </c>
    </row>
    <row r="570" spans="8:15" ht="20.100000000000001" customHeight="1" x14ac:dyDescent="0.25">
      <c r="H570" s="43" t="str">
        <f>IFERROR(ABS(C570/VLOOKUP(2*$B570,$B571:C604,2,TRUE)),"--")</f>
        <v>--</v>
      </c>
      <c r="I570" s="43" t="str">
        <f>IFERROR(ABS(D570/VLOOKUP(2*$B570,$B571:D604,3,TRUE)),"--")</f>
        <v>--</v>
      </c>
      <c r="J570" s="43" t="str">
        <f>IFERROR(ABS(E570/VLOOKUP(2*$B570,$B571:E604,4,TRUE)),"--")</f>
        <v>--</v>
      </c>
      <c r="K570" s="43" t="str">
        <f>IFERROR(ABS(F570/VLOOKUP(2*$B570,$B571:F604,5,TRUE)),"--")</f>
        <v>--</v>
      </c>
      <c r="L570" s="43" t="str">
        <f>IFERROR(ABS(G570/VLOOKUP(2*$B570,$B571:G604,6,TRUE)),"--")</f>
        <v>--</v>
      </c>
      <c r="M570" s="38">
        <f>IF(AND(1+$Q$6&gt;H570,1-$Q$6&lt;H570,1+$Q$6&gt;I570,1-$Q$6&lt;I570,1+$Q$6&gt;J570,1-$Q$6&lt;J570,1+$Q$6&gt;K570,1-$Q$6&lt;K570,1+$Q$6&gt;L570,1-$Q$6&lt;L570),IF(SUM($M$2:M569)=0,1,0),0)</f>
        <v>0</v>
      </c>
      <c r="N570" s="38">
        <f>IF(AND(1+$Q$7&gt;H570,1-$Q$7&lt;H570,1+$Q$7&gt;I570,1-$Q$7&lt;I570,1+$Q$7&gt;J570,1-$Q$7&lt;J570,1+$Q$7&gt;K570,1-$Q$7&lt;K570,1+$Q$7&gt;L570,1-$Q$7&lt;L570),IF(SUM($N$2:N569)=0,1,0),0)</f>
        <v>0</v>
      </c>
      <c r="O570" s="34">
        <f t="shared" si="8"/>
        <v>0</v>
      </c>
    </row>
    <row r="571" spans="8:15" ht="20.100000000000001" customHeight="1" x14ac:dyDescent="0.25">
      <c r="H571" s="43" t="str">
        <f>IFERROR(ABS(C571/VLOOKUP(2*$B571,$B572:C605,2,TRUE)),"--")</f>
        <v>--</v>
      </c>
      <c r="I571" s="43" t="str">
        <f>IFERROR(ABS(D571/VLOOKUP(2*$B571,$B572:D605,3,TRUE)),"--")</f>
        <v>--</v>
      </c>
      <c r="J571" s="43" t="str">
        <f>IFERROR(ABS(E571/VLOOKUP(2*$B571,$B572:E605,4,TRUE)),"--")</f>
        <v>--</v>
      </c>
      <c r="K571" s="43" t="str">
        <f>IFERROR(ABS(F571/VLOOKUP(2*$B571,$B572:F605,5,TRUE)),"--")</f>
        <v>--</v>
      </c>
      <c r="L571" s="43" t="str">
        <f>IFERROR(ABS(G571/VLOOKUP(2*$B571,$B572:G605,6,TRUE)),"--")</f>
        <v>--</v>
      </c>
      <c r="M571" s="38">
        <f>IF(AND(1+$Q$6&gt;H571,1-$Q$6&lt;H571,1+$Q$6&gt;I571,1-$Q$6&lt;I571,1+$Q$6&gt;J571,1-$Q$6&lt;J571,1+$Q$6&gt;K571,1-$Q$6&lt;K571,1+$Q$6&gt;L571,1-$Q$6&lt;L571),IF(SUM($M$2:M570)=0,1,0),0)</f>
        <v>0</v>
      </c>
      <c r="N571" s="38">
        <f>IF(AND(1+$Q$7&gt;H571,1-$Q$7&lt;H571,1+$Q$7&gt;I571,1-$Q$7&lt;I571,1+$Q$7&gt;J571,1-$Q$7&lt;J571,1+$Q$7&gt;K571,1-$Q$7&lt;K571,1+$Q$7&gt;L571,1-$Q$7&lt;L571),IF(SUM($N$2:N570)=0,1,0),0)</f>
        <v>0</v>
      </c>
      <c r="O571" s="34">
        <f t="shared" si="8"/>
        <v>0</v>
      </c>
    </row>
    <row r="572" spans="8:15" ht="20.100000000000001" customHeight="1" x14ac:dyDescent="0.25">
      <c r="H572" s="43" t="str">
        <f>IFERROR(ABS(C572/VLOOKUP(2*$B572,$B573:C606,2,TRUE)),"--")</f>
        <v>--</v>
      </c>
      <c r="I572" s="43" t="str">
        <f>IFERROR(ABS(D572/VLOOKUP(2*$B572,$B573:D606,3,TRUE)),"--")</f>
        <v>--</v>
      </c>
      <c r="J572" s="43" t="str">
        <f>IFERROR(ABS(E572/VLOOKUP(2*$B572,$B573:E606,4,TRUE)),"--")</f>
        <v>--</v>
      </c>
      <c r="K572" s="43" t="str">
        <f>IFERROR(ABS(F572/VLOOKUP(2*$B572,$B573:F606,5,TRUE)),"--")</f>
        <v>--</v>
      </c>
      <c r="L572" s="43" t="str">
        <f>IFERROR(ABS(G572/VLOOKUP(2*$B572,$B573:G606,6,TRUE)),"--")</f>
        <v>--</v>
      </c>
      <c r="M572" s="38">
        <f>IF(AND(1+$Q$6&gt;H572,1-$Q$6&lt;H572,1+$Q$6&gt;I572,1-$Q$6&lt;I572,1+$Q$6&gt;J572,1-$Q$6&lt;J572,1+$Q$6&gt;K572,1-$Q$6&lt;K572,1+$Q$6&gt;L572,1-$Q$6&lt;L572),IF(SUM($M$2:M571)=0,1,0),0)</f>
        <v>0</v>
      </c>
      <c r="N572" s="38">
        <f>IF(AND(1+$Q$7&gt;H572,1-$Q$7&lt;H572,1+$Q$7&gt;I572,1-$Q$7&lt;I572,1+$Q$7&gt;J572,1-$Q$7&lt;J572,1+$Q$7&gt;K572,1-$Q$7&lt;K572,1+$Q$7&gt;L572,1-$Q$7&lt;L572),IF(SUM($N$2:N571)=0,1,0),0)</f>
        <v>0</v>
      </c>
      <c r="O572" s="34">
        <f t="shared" si="8"/>
        <v>0</v>
      </c>
    </row>
    <row r="573" spans="8:15" ht="20.100000000000001" customHeight="1" x14ac:dyDescent="0.25">
      <c r="H573" s="43" t="str">
        <f>IFERROR(ABS(C573/VLOOKUP(2*$B573,$B574:C607,2,TRUE)),"--")</f>
        <v>--</v>
      </c>
      <c r="I573" s="43" t="str">
        <f>IFERROR(ABS(D573/VLOOKUP(2*$B573,$B574:D607,3,TRUE)),"--")</f>
        <v>--</v>
      </c>
      <c r="J573" s="43" t="str">
        <f>IFERROR(ABS(E573/VLOOKUP(2*$B573,$B574:E607,4,TRUE)),"--")</f>
        <v>--</v>
      </c>
      <c r="K573" s="43" t="str">
        <f>IFERROR(ABS(F573/VLOOKUP(2*$B573,$B574:F607,5,TRUE)),"--")</f>
        <v>--</v>
      </c>
      <c r="L573" s="43" t="str">
        <f>IFERROR(ABS(G573/VLOOKUP(2*$B573,$B574:G607,6,TRUE)),"--")</f>
        <v>--</v>
      </c>
      <c r="M573" s="38">
        <f>IF(AND(1+$Q$6&gt;H573,1-$Q$6&lt;H573,1+$Q$6&gt;I573,1-$Q$6&lt;I573,1+$Q$6&gt;J573,1-$Q$6&lt;J573,1+$Q$6&gt;K573,1-$Q$6&lt;K573,1+$Q$6&gt;L573,1-$Q$6&lt;L573),IF(SUM($M$2:M572)=0,1,0),0)</f>
        <v>0</v>
      </c>
      <c r="N573" s="38">
        <f>IF(AND(1+$Q$7&gt;H573,1-$Q$7&lt;H573,1+$Q$7&gt;I573,1-$Q$7&lt;I573,1+$Q$7&gt;J573,1-$Q$7&lt;J573,1+$Q$7&gt;K573,1-$Q$7&lt;K573,1+$Q$7&gt;L573,1-$Q$7&lt;L573),IF(SUM($N$2:N572)=0,1,0),0)</f>
        <v>0</v>
      </c>
      <c r="O573" s="34">
        <f t="shared" si="8"/>
        <v>0</v>
      </c>
    </row>
    <row r="574" spans="8:15" ht="20.100000000000001" customHeight="1" x14ac:dyDescent="0.25">
      <c r="H574" s="43" t="str">
        <f>IFERROR(ABS(C574/VLOOKUP(2*$B574,$B575:C608,2,TRUE)),"--")</f>
        <v>--</v>
      </c>
      <c r="I574" s="43" t="str">
        <f>IFERROR(ABS(D574/VLOOKUP(2*$B574,$B575:D608,3,TRUE)),"--")</f>
        <v>--</v>
      </c>
      <c r="J574" s="43" t="str">
        <f>IFERROR(ABS(E574/VLOOKUP(2*$B574,$B575:E608,4,TRUE)),"--")</f>
        <v>--</v>
      </c>
      <c r="K574" s="43" t="str">
        <f>IFERROR(ABS(F574/VLOOKUP(2*$B574,$B575:F608,5,TRUE)),"--")</f>
        <v>--</v>
      </c>
      <c r="L574" s="43" t="str">
        <f>IFERROR(ABS(G574/VLOOKUP(2*$B574,$B575:G608,6,TRUE)),"--")</f>
        <v>--</v>
      </c>
      <c r="M574" s="38">
        <f>IF(AND(1+$Q$6&gt;H574,1-$Q$6&lt;H574,1+$Q$6&gt;I574,1-$Q$6&lt;I574,1+$Q$6&gt;J574,1-$Q$6&lt;J574,1+$Q$6&gt;K574,1-$Q$6&lt;K574,1+$Q$6&gt;L574,1-$Q$6&lt;L574),IF(SUM($M$2:M573)=0,1,0),0)</f>
        <v>0</v>
      </c>
      <c r="N574" s="38">
        <f>IF(AND(1+$Q$7&gt;H574,1-$Q$7&lt;H574,1+$Q$7&gt;I574,1-$Q$7&lt;I574,1+$Q$7&gt;J574,1-$Q$7&lt;J574,1+$Q$7&gt;K574,1-$Q$7&lt;K574,1+$Q$7&gt;L574,1-$Q$7&lt;L574),IF(SUM($N$2:N573)=0,1,0),0)</f>
        <v>0</v>
      </c>
      <c r="O574" s="34">
        <f t="shared" si="8"/>
        <v>0</v>
      </c>
    </row>
    <row r="575" spans="8:15" ht="20.100000000000001" customHeight="1" x14ac:dyDescent="0.25">
      <c r="H575" s="43" t="str">
        <f>IFERROR(ABS(C575/VLOOKUP(2*$B575,$B576:C609,2,TRUE)),"--")</f>
        <v>--</v>
      </c>
      <c r="I575" s="43" t="str">
        <f>IFERROR(ABS(D575/VLOOKUP(2*$B575,$B576:D609,3,TRUE)),"--")</f>
        <v>--</v>
      </c>
      <c r="J575" s="43" t="str">
        <f>IFERROR(ABS(E575/VLOOKUP(2*$B575,$B576:E609,4,TRUE)),"--")</f>
        <v>--</v>
      </c>
      <c r="K575" s="43" t="str">
        <f>IFERROR(ABS(F575/VLOOKUP(2*$B575,$B576:F609,5,TRUE)),"--")</f>
        <v>--</v>
      </c>
      <c r="L575" s="43" t="str">
        <f>IFERROR(ABS(G575/VLOOKUP(2*$B575,$B576:G609,6,TRUE)),"--")</f>
        <v>--</v>
      </c>
      <c r="M575" s="38">
        <f>IF(AND(1+$Q$6&gt;H575,1-$Q$6&lt;H575,1+$Q$6&gt;I575,1-$Q$6&lt;I575,1+$Q$6&gt;J575,1-$Q$6&lt;J575,1+$Q$6&gt;K575,1-$Q$6&lt;K575,1+$Q$6&gt;L575,1-$Q$6&lt;L575),IF(SUM($M$2:M574)=0,1,0),0)</f>
        <v>0</v>
      </c>
      <c r="N575" s="38">
        <f>IF(AND(1+$Q$7&gt;H575,1-$Q$7&lt;H575,1+$Q$7&gt;I575,1-$Q$7&lt;I575,1+$Q$7&gt;J575,1-$Q$7&lt;J575,1+$Q$7&gt;K575,1-$Q$7&lt;K575,1+$Q$7&gt;L575,1-$Q$7&lt;L575),IF(SUM($N$2:N574)=0,1,0),0)</f>
        <v>0</v>
      </c>
      <c r="O575" s="34">
        <f t="shared" si="8"/>
        <v>0</v>
      </c>
    </row>
    <row r="576" spans="8:15" ht="20.100000000000001" customHeight="1" x14ac:dyDescent="0.25">
      <c r="H576" s="43" t="str">
        <f>IFERROR(ABS(C576/VLOOKUP(2*$B576,$B577:C610,2,TRUE)),"--")</f>
        <v>--</v>
      </c>
      <c r="I576" s="43" t="str">
        <f>IFERROR(ABS(D576/VLOOKUP(2*$B576,$B577:D610,3,TRUE)),"--")</f>
        <v>--</v>
      </c>
      <c r="J576" s="43" t="str">
        <f>IFERROR(ABS(E576/VLOOKUP(2*$B576,$B577:E610,4,TRUE)),"--")</f>
        <v>--</v>
      </c>
      <c r="K576" s="43" t="str">
        <f>IFERROR(ABS(F576/VLOOKUP(2*$B576,$B577:F610,5,TRUE)),"--")</f>
        <v>--</v>
      </c>
      <c r="L576" s="43" t="str">
        <f>IFERROR(ABS(G576/VLOOKUP(2*$B576,$B577:G610,6,TRUE)),"--")</f>
        <v>--</v>
      </c>
      <c r="M576" s="38">
        <f>IF(AND(1+$Q$6&gt;H576,1-$Q$6&lt;H576,1+$Q$6&gt;I576,1-$Q$6&lt;I576,1+$Q$6&gt;J576,1-$Q$6&lt;J576,1+$Q$6&gt;K576,1-$Q$6&lt;K576,1+$Q$6&gt;L576,1-$Q$6&lt;L576),IF(SUM($M$2:M575)=0,1,0),0)</f>
        <v>0</v>
      </c>
      <c r="N576" s="38">
        <f>IF(AND(1+$Q$7&gt;H576,1-$Q$7&lt;H576,1+$Q$7&gt;I576,1-$Q$7&lt;I576,1+$Q$7&gt;J576,1-$Q$7&lt;J576,1+$Q$7&gt;K576,1-$Q$7&lt;K576,1+$Q$7&gt;L576,1-$Q$7&lt;L576),IF(SUM($N$2:N575)=0,1,0),0)</f>
        <v>0</v>
      </c>
      <c r="O576" s="34">
        <f t="shared" si="8"/>
        <v>0</v>
      </c>
    </row>
    <row r="577" spans="8:15" ht="20.100000000000001" customHeight="1" x14ac:dyDescent="0.25">
      <c r="H577" s="43" t="str">
        <f>IFERROR(ABS(C577/VLOOKUP(2*$B577,$B578:C611,2,TRUE)),"--")</f>
        <v>--</v>
      </c>
      <c r="I577" s="43" t="str">
        <f>IFERROR(ABS(D577/VLOOKUP(2*$B577,$B578:D611,3,TRUE)),"--")</f>
        <v>--</v>
      </c>
      <c r="J577" s="43" t="str">
        <f>IFERROR(ABS(E577/VLOOKUP(2*$B577,$B578:E611,4,TRUE)),"--")</f>
        <v>--</v>
      </c>
      <c r="K577" s="43" t="str">
        <f>IFERROR(ABS(F577/VLOOKUP(2*$B577,$B578:F611,5,TRUE)),"--")</f>
        <v>--</v>
      </c>
      <c r="L577" s="43" t="str">
        <f>IFERROR(ABS(G577/VLOOKUP(2*$B577,$B578:G611,6,TRUE)),"--")</f>
        <v>--</v>
      </c>
      <c r="M577" s="38">
        <f>IF(AND(1+$Q$6&gt;H577,1-$Q$6&lt;H577,1+$Q$6&gt;I577,1-$Q$6&lt;I577,1+$Q$6&gt;J577,1-$Q$6&lt;J577,1+$Q$6&gt;K577,1-$Q$6&lt;K577,1+$Q$6&gt;L577,1-$Q$6&lt;L577),IF(SUM($M$2:M576)=0,1,0),0)</f>
        <v>0</v>
      </c>
      <c r="N577" s="38">
        <f>IF(AND(1+$Q$7&gt;H577,1-$Q$7&lt;H577,1+$Q$7&gt;I577,1-$Q$7&lt;I577,1+$Q$7&gt;J577,1-$Q$7&lt;J577,1+$Q$7&gt;K577,1-$Q$7&lt;K577,1+$Q$7&gt;L577,1-$Q$7&lt;L577),IF(SUM($N$2:N576)=0,1,0),0)</f>
        <v>0</v>
      </c>
      <c r="O577" s="34">
        <f t="shared" si="8"/>
        <v>0</v>
      </c>
    </row>
    <row r="578" spans="8:15" ht="20.100000000000001" customHeight="1" x14ac:dyDescent="0.25">
      <c r="H578" s="43" t="str">
        <f>IFERROR(ABS(C578/VLOOKUP(2*$B578,$B579:C612,2,TRUE)),"--")</f>
        <v>--</v>
      </c>
      <c r="I578" s="43" t="str">
        <f>IFERROR(ABS(D578/VLOOKUP(2*$B578,$B579:D612,3,TRUE)),"--")</f>
        <v>--</v>
      </c>
      <c r="J578" s="43" t="str">
        <f>IFERROR(ABS(E578/VLOOKUP(2*$B578,$B579:E612,4,TRUE)),"--")</f>
        <v>--</v>
      </c>
      <c r="K578" s="43" t="str">
        <f>IFERROR(ABS(F578/VLOOKUP(2*$B578,$B579:F612,5,TRUE)),"--")</f>
        <v>--</v>
      </c>
      <c r="L578" s="43" t="str">
        <f>IFERROR(ABS(G578/VLOOKUP(2*$B578,$B579:G612,6,TRUE)),"--")</f>
        <v>--</v>
      </c>
      <c r="M578" s="38">
        <f>IF(AND(1+$Q$6&gt;H578,1-$Q$6&lt;H578,1+$Q$6&gt;I578,1-$Q$6&lt;I578,1+$Q$6&gt;J578,1-$Q$6&lt;J578,1+$Q$6&gt;K578,1-$Q$6&lt;K578,1+$Q$6&gt;L578,1-$Q$6&lt;L578),IF(SUM($M$2:M577)=0,1,0),0)</f>
        <v>0</v>
      </c>
      <c r="N578" s="38">
        <f>IF(AND(1+$Q$7&gt;H578,1-$Q$7&lt;H578,1+$Q$7&gt;I578,1-$Q$7&lt;I578,1+$Q$7&gt;J578,1-$Q$7&lt;J578,1+$Q$7&gt;K578,1-$Q$7&lt;K578,1+$Q$7&gt;L578,1-$Q$7&lt;L578),IF(SUM($N$2:N577)=0,1,0),0)</f>
        <v>0</v>
      </c>
      <c r="O578" s="34">
        <f t="shared" si="8"/>
        <v>0</v>
      </c>
    </row>
    <row r="579" spans="8:15" ht="20.100000000000001" customHeight="1" x14ac:dyDescent="0.25">
      <c r="H579" s="43" t="str">
        <f>IFERROR(ABS(C579/VLOOKUP(2*$B579,$B580:C613,2,TRUE)),"--")</f>
        <v>--</v>
      </c>
      <c r="I579" s="43" t="str">
        <f>IFERROR(ABS(D579/VLOOKUP(2*$B579,$B580:D613,3,TRUE)),"--")</f>
        <v>--</v>
      </c>
      <c r="J579" s="43" t="str">
        <f>IFERROR(ABS(E579/VLOOKUP(2*$B579,$B580:E613,4,TRUE)),"--")</f>
        <v>--</v>
      </c>
      <c r="K579" s="43" t="str">
        <f>IFERROR(ABS(F579/VLOOKUP(2*$B579,$B580:F613,5,TRUE)),"--")</f>
        <v>--</v>
      </c>
      <c r="L579" s="43" t="str">
        <f>IFERROR(ABS(G579/VLOOKUP(2*$B579,$B580:G613,6,TRUE)),"--")</f>
        <v>--</v>
      </c>
      <c r="M579" s="38">
        <f>IF(AND(1+$Q$6&gt;H579,1-$Q$6&lt;H579,1+$Q$6&gt;I579,1-$Q$6&lt;I579,1+$Q$6&gt;J579,1-$Q$6&lt;J579,1+$Q$6&gt;K579,1-$Q$6&lt;K579,1+$Q$6&gt;L579,1-$Q$6&lt;L579),IF(SUM($M$2:M578)=0,1,0),0)</f>
        <v>0</v>
      </c>
      <c r="N579" s="38">
        <f>IF(AND(1+$Q$7&gt;H579,1-$Q$7&lt;H579,1+$Q$7&gt;I579,1-$Q$7&lt;I579,1+$Q$7&gt;J579,1-$Q$7&lt;J579,1+$Q$7&gt;K579,1-$Q$7&lt;K579,1+$Q$7&gt;L579,1-$Q$7&lt;L579),IF(SUM($N$2:N578)=0,1,0),0)</f>
        <v>0</v>
      </c>
      <c r="O579" s="34">
        <f t="shared" ref="O579:O642" si="9">A579</f>
        <v>0</v>
      </c>
    </row>
    <row r="580" spans="8:15" ht="20.100000000000001" customHeight="1" x14ac:dyDescent="0.25">
      <c r="H580" s="43" t="str">
        <f>IFERROR(ABS(C580/VLOOKUP(2*$B580,$B581:C614,2,TRUE)),"--")</f>
        <v>--</v>
      </c>
      <c r="I580" s="43" t="str">
        <f>IFERROR(ABS(D580/VLOOKUP(2*$B580,$B581:D614,3,TRUE)),"--")</f>
        <v>--</v>
      </c>
      <c r="J580" s="43" t="str">
        <f>IFERROR(ABS(E580/VLOOKUP(2*$B580,$B581:E614,4,TRUE)),"--")</f>
        <v>--</v>
      </c>
      <c r="K580" s="43" t="str">
        <f>IFERROR(ABS(F580/VLOOKUP(2*$B580,$B581:F614,5,TRUE)),"--")</f>
        <v>--</v>
      </c>
      <c r="L580" s="43" t="str">
        <f>IFERROR(ABS(G580/VLOOKUP(2*$B580,$B581:G614,6,TRUE)),"--")</f>
        <v>--</v>
      </c>
      <c r="M580" s="38">
        <f>IF(AND(1+$Q$6&gt;H580,1-$Q$6&lt;H580,1+$Q$6&gt;I580,1-$Q$6&lt;I580,1+$Q$6&gt;J580,1-$Q$6&lt;J580,1+$Q$6&gt;K580,1-$Q$6&lt;K580,1+$Q$6&gt;L580,1-$Q$6&lt;L580),IF(SUM($M$2:M579)=0,1,0),0)</f>
        <v>0</v>
      </c>
      <c r="N580" s="38">
        <f>IF(AND(1+$Q$7&gt;H580,1-$Q$7&lt;H580,1+$Q$7&gt;I580,1-$Q$7&lt;I580,1+$Q$7&gt;J580,1-$Q$7&lt;J580,1+$Q$7&gt;K580,1-$Q$7&lt;K580,1+$Q$7&gt;L580,1-$Q$7&lt;L580),IF(SUM($N$2:N579)=0,1,0),0)</f>
        <v>0</v>
      </c>
      <c r="O580" s="34">
        <f t="shared" si="9"/>
        <v>0</v>
      </c>
    </row>
    <row r="581" spans="8:15" ht="20.100000000000001" customHeight="1" x14ac:dyDescent="0.25">
      <c r="H581" s="43" t="str">
        <f>IFERROR(ABS(C581/VLOOKUP(2*$B581,$B582:C615,2,TRUE)),"--")</f>
        <v>--</v>
      </c>
      <c r="I581" s="43" t="str">
        <f>IFERROR(ABS(D581/VLOOKUP(2*$B581,$B582:D615,3,TRUE)),"--")</f>
        <v>--</v>
      </c>
      <c r="J581" s="43" t="str">
        <f>IFERROR(ABS(E581/VLOOKUP(2*$B581,$B582:E615,4,TRUE)),"--")</f>
        <v>--</v>
      </c>
      <c r="K581" s="43" t="str">
        <f>IFERROR(ABS(F581/VLOOKUP(2*$B581,$B582:F615,5,TRUE)),"--")</f>
        <v>--</v>
      </c>
      <c r="L581" s="43" t="str">
        <f>IFERROR(ABS(G581/VLOOKUP(2*$B581,$B582:G615,6,TRUE)),"--")</f>
        <v>--</v>
      </c>
      <c r="M581" s="38">
        <f>IF(AND(1+$Q$6&gt;H581,1-$Q$6&lt;H581,1+$Q$6&gt;I581,1-$Q$6&lt;I581,1+$Q$6&gt;J581,1-$Q$6&lt;J581,1+$Q$6&gt;K581,1-$Q$6&lt;K581,1+$Q$6&gt;L581,1-$Q$6&lt;L581),IF(SUM($M$2:M580)=0,1,0),0)</f>
        <v>0</v>
      </c>
      <c r="N581" s="38">
        <f>IF(AND(1+$Q$7&gt;H581,1-$Q$7&lt;H581,1+$Q$7&gt;I581,1-$Q$7&lt;I581,1+$Q$7&gt;J581,1-$Q$7&lt;J581,1+$Q$7&gt;K581,1-$Q$7&lt;K581,1+$Q$7&gt;L581,1-$Q$7&lt;L581),IF(SUM($N$2:N580)=0,1,0),0)</f>
        <v>0</v>
      </c>
      <c r="O581" s="34">
        <f t="shared" si="9"/>
        <v>0</v>
      </c>
    </row>
    <row r="582" spans="8:15" ht="20.100000000000001" customHeight="1" x14ac:dyDescent="0.25">
      <c r="H582" s="43" t="str">
        <f>IFERROR(ABS(C582/VLOOKUP(2*$B582,$B583:C616,2,TRUE)),"--")</f>
        <v>--</v>
      </c>
      <c r="I582" s="43" t="str">
        <f>IFERROR(ABS(D582/VLOOKUP(2*$B582,$B583:D616,3,TRUE)),"--")</f>
        <v>--</v>
      </c>
      <c r="J582" s="43" t="str">
        <f>IFERROR(ABS(E582/VLOOKUP(2*$B582,$B583:E616,4,TRUE)),"--")</f>
        <v>--</v>
      </c>
      <c r="K582" s="43" t="str">
        <f>IFERROR(ABS(F582/VLOOKUP(2*$B582,$B583:F616,5,TRUE)),"--")</f>
        <v>--</v>
      </c>
      <c r="L582" s="43" t="str">
        <f>IFERROR(ABS(G582/VLOOKUP(2*$B582,$B583:G616,6,TRUE)),"--")</f>
        <v>--</v>
      </c>
      <c r="M582" s="38">
        <f>IF(AND(1+$Q$6&gt;H582,1-$Q$6&lt;H582,1+$Q$6&gt;I582,1-$Q$6&lt;I582,1+$Q$6&gt;J582,1-$Q$6&lt;J582,1+$Q$6&gt;K582,1-$Q$6&lt;K582,1+$Q$6&gt;L582,1-$Q$6&lt;L582),IF(SUM($M$2:M581)=0,1,0),0)</f>
        <v>0</v>
      </c>
      <c r="N582" s="38">
        <f>IF(AND(1+$Q$7&gt;H582,1-$Q$7&lt;H582,1+$Q$7&gt;I582,1-$Q$7&lt;I582,1+$Q$7&gt;J582,1-$Q$7&lt;J582,1+$Q$7&gt;K582,1-$Q$7&lt;K582,1+$Q$7&gt;L582,1-$Q$7&lt;L582),IF(SUM($N$2:N581)=0,1,0),0)</f>
        <v>0</v>
      </c>
      <c r="O582" s="34">
        <f t="shared" si="9"/>
        <v>0</v>
      </c>
    </row>
    <row r="583" spans="8:15" ht="20.100000000000001" customHeight="1" x14ac:dyDescent="0.25">
      <c r="H583" s="43" t="str">
        <f>IFERROR(ABS(C583/VLOOKUP(2*$B583,$B584:C617,2,TRUE)),"--")</f>
        <v>--</v>
      </c>
      <c r="I583" s="43" t="str">
        <f>IFERROR(ABS(D583/VLOOKUP(2*$B583,$B584:D617,3,TRUE)),"--")</f>
        <v>--</v>
      </c>
      <c r="J583" s="43" t="str">
        <f>IFERROR(ABS(E583/VLOOKUP(2*$B583,$B584:E617,4,TRUE)),"--")</f>
        <v>--</v>
      </c>
      <c r="K583" s="43" t="str">
        <f>IFERROR(ABS(F583/VLOOKUP(2*$B583,$B584:F617,5,TRUE)),"--")</f>
        <v>--</v>
      </c>
      <c r="L583" s="43" t="str">
        <f>IFERROR(ABS(G583/VLOOKUP(2*$B583,$B584:G617,6,TRUE)),"--")</f>
        <v>--</v>
      </c>
      <c r="M583" s="38">
        <f>IF(AND(1+$Q$6&gt;H583,1-$Q$6&lt;H583,1+$Q$6&gt;I583,1-$Q$6&lt;I583,1+$Q$6&gt;J583,1-$Q$6&lt;J583,1+$Q$6&gt;K583,1-$Q$6&lt;K583,1+$Q$6&gt;L583,1-$Q$6&lt;L583),IF(SUM($M$2:M582)=0,1,0),0)</f>
        <v>0</v>
      </c>
      <c r="N583" s="38">
        <f>IF(AND(1+$Q$7&gt;H583,1-$Q$7&lt;H583,1+$Q$7&gt;I583,1-$Q$7&lt;I583,1+$Q$7&gt;J583,1-$Q$7&lt;J583,1+$Q$7&gt;K583,1-$Q$7&lt;K583,1+$Q$7&gt;L583,1-$Q$7&lt;L583),IF(SUM($N$2:N582)=0,1,0),0)</f>
        <v>0</v>
      </c>
      <c r="O583" s="34">
        <f t="shared" si="9"/>
        <v>0</v>
      </c>
    </row>
    <row r="584" spans="8:15" ht="20.100000000000001" customHeight="1" x14ac:dyDescent="0.25">
      <c r="H584" s="43" t="str">
        <f>IFERROR(ABS(C584/VLOOKUP(2*$B584,$B585:C618,2,TRUE)),"--")</f>
        <v>--</v>
      </c>
      <c r="I584" s="43" t="str">
        <f>IFERROR(ABS(D584/VLOOKUP(2*$B584,$B585:D618,3,TRUE)),"--")</f>
        <v>--</v>
      </c>
      <c r="J584" s="43" t="str">
        <f>IFERROR(ABS(E584/VLOOKUP(2*$B584,$B585:E618,4,TRUE)),"--")</f>
        <v>--</v>
      </c>
      <c r="K584" s="43" t="str">
        <f>IFERROR(ABS(F584/VLOOKUP(2*$B584,$B585:F618,5,TRUE)),"--")</f>
        <v>--</v>
      </c>
      <c r="L584" s="43" t="str">
        <f>IFERROR(ABS(G584/VLOOKUP(2*$B584,$B585:G618,6,TRUE)),"--")</f>
        <v>--</v>
      </c>
      <c r="M584" s="38">
        <f>IF(AND(1+$Q$6&gt;H584,1-$Q$6&lt;H584,1+$Q$6&gt;I584,1-$Q$6&lt;I584,1+$Q$6&gt;J584,1-$Q$6&lt;J584,1+$Q$6&gt;K584,1-$Q$6&lt;K584,1+$Q$6&gt;L584,1-$Q$6&lt;L584),IF(SUM($M$2:M583)=0,1,0),0)</f>
        <v>0</v>
      </c>
      <c r="N584" s="38">
        <f>IF(AND(1+$Q$7&gt;H584,1-$Q$7&lt;H584,1+$Q$7&gt;I584,1-$Q$7&lt;I584,1+$Q$7&gt;J584,1-$Q$7&lt;J584,1+$Q$7&gt;K584,1-$Q$7&lt;K584,1+$Q$7&gt;L584,1-$Q$7&lt;L584),IF(SUM($N$2:N583)=0,1,0),0)</f>
        <v>0</v>
      </c>
      <c r="O584" s="34">
        <f t="shared" si="9"/>
        <v>0</v>
      </c>
    </row>
    <row r="585" spans="8:15" ht="20.100000000000001" customHeight="1" x14ac:dyDescent="0.25">
      <c r="H585" s="43" t="str">
        <f>IFERROR(ABS(C585/VLOOKUP(2*$B585,$B586:C619,2,TRUE)),"--")</f>
        <v>--</v>
      </c>
      <c r="I585" s="43" t="str">
        <f>IFERROR(ABS(D585/VLOOKUP(2*$B585,$B586:D619,3,TRUE)),"--")</f>
        <v>--</v>
      </c>
      <c r="J585" s="43" t="str">
        <f>IFERROR(ABS(E585/VLOOKUP(2*$B585,$B586:E619,4,TRUE)),"--")</f>
        <v>--</v>
      </c>
      <c r="K585" s="43" t="str">
        <f>IFERROR(ABS(F585/VLOOKUP(2*$B585,$B586:F619,5,TRUE)),"--")</f>
        <v>--</v>
      </c>
      <c r="L585" s="43" t="str">
        <f>IFERROR(ABS(G585/VLOOKUP(2*$B585,$B586:G619,6,TRUE)),"--")</f>
        <v>--</v>
      </c>
      <c r="M585" s="38">
        <f>IF(AND(1+$Q$6&gt;H585,1-$Q$6&lt;H585,1+$Q$6&gt;I585,1-$Q$6&lt;I585,1+$Q$6&gt;J585,1-$Q$6&lt;J585,1+$Q$6&gt;K585,1-$Q$6&lt;K585,1+$Q$6&gt;L585,1-$Q$6&lt;L585),IF(SUM($M$2:M584)=0,1,0),0)</f>
        <v>0</v>
      </c>
      <c r="N585" s="38">
        <f>IF(AND(1+$Q$7&gt;H585,1-$Q$7&lt;H585,1+$Q$7&gt;I585,1-$Q$7&lt;I585,1+$Q$7&gt;J585,1-$Q$7&lt;J585,1+$Q$7&gt;K585,1-$Q$7&lt;K585,1+$Q$7&gt;L585,1-$Q$7&lt;L585),IF(SUM($N$2:N584)=0,1,0),0)</f>
        <v>0</v>
      </c>
      <c r="O585" s="34">
        <f t="shared" si="9"/>
        <v>0</v>
      </c>
    </row>
    <row r="586" spans="8:15" ht="20.100000000000001" customHeight="1" x14ac:dyDescent="0.25">
      <c r="H586" s="43" t="str">
        <f>IFERROR(ABS(C586/VLOOKUP(2*$B586,$B587:C620,2,TRUE)),"--")</f>
        <v>--</v>
      </c>
      <c r="I586" s="43" t="str">
        <f>IFERROR(ABS(D586/VLOOKUP(2*$B586,$B587:D620,3,TRUE)),"--")</f>
        <v>--</v>
      </c>
      <c r="J586" s="43" t="str">
        <f>IFERROR(ABS(E586/VLOOKUP(2*$B586,$B587:E620,4,TRUE)),"--")</f>
        <v>--</v>
      </c>
      <c r="K586" s="43" t="str">
        <f>IFERROR(ABS(F586/VLOOKUP(2*$B586,$B587:F620,5,TRUE)),"--")</f>
        <v>--</v>
      </c>
      <c r="L586" s="43" t="str">
        <f>IFERROR(ABS(G586/VLOOKUP(2*$B586,$B587:G620,6,TRUE)),"--")</f>
        <v>--</v>
      </c>
      <c r="M586" s="38">
        <f>IF(AND(1+$Q$6&gt;H586,1-$Q$6&lt;H586,1+$Q$6&gt;I586,1-$Q$6&lt;I586,1+$Q$6&gt;J586,1-$Q$6&lt;J586,1+$Q$6&gt;K586,1-$Q$6&lt;K586,1+$Q$6&gt;L586,1-$Q$6&lt;L586),IF(SUM($M$2:M585)=0,1,0),0)</f>
        <v>0</v>
      </c>
      <c r="N586" s="38">
        <f>IF(AND(1+$Q$7&gt;H586,1-$Q$7&lt;H586,1+$Q$7&gt;I586,1-$Q$7&lt;I586,1+$Q$7&gt;J586,1-$Q$7&lt;J586,1+$Q$7&gt;K586,1-$Q$7&lt;K586,1+$Q$7&gt;L586,1-$Q$7&lt;L586),IF(SUM($N$2:N585)=0,1,0),0)</f>
        <v>0</v>
      </c>
      <c r="O586" s="34">
        <f t="shared" si="9"/>
        <v>0</v>
      </c>
    </row>
    <row r="587" spans="8:15" ht="20.100000000000001" customHeight="1" x14ac:dyDescent="0.25">
      <c r="H587" s="43" t="str">
        <f>IFERROR(ABS(C587/VLOOKUP(2*$B587,$B588:C621,2,TRUE)),"--")</f>
        <v>--</v>
      </c>
      <c r="I587" s="43" t="str">
        <f>IFERROR(ABS(D587/VLOOKUP(2*$B587,$B588:D621,3,TRUE)),"--")</f>
        <v>--</v>
      </c>
      <c r="J587" s="43" t="str">
        <f>IFERROR(ABS(E587/VLOOKUP(2*$B587,$B588:E621,4,TRUE)),"--")</f>
        <v>--</v>
      </c>
      <c r="K587" s="43" t="str">
        <f>IFERROR(ABS(F587/VLOOKUP(2*$B587,$B588:F621,5,TRUE)),"--")</f>
        <v>--</v>
      </c>
      <c r="L587" s="43" t="str">
        <f>IFERROR(ABS(G587/VLOOKUP(2*$B587,$B588:G621,6,TRUE)),"--")</f>
        <v>--</v>
      </c>
      <c r="M587" s="38">
        <f>IF(AND(1+$Q$6&gt;H587,1-$Q$6&lt;H587,1+$Q$6&gt;I587,1-$Q$6&lt;I587,1+$Q$6&gt;J587,1-$Q$6&lt;J587,1+$Q$6&gt;K587,1-$Q$6&lt;K587,1+$Q$6&gt;L587,1-$Q$6&lt;L587),IF(SUM($M$2:M586)=0,1,0),0)</f>
        <v>0</v>
      </c>
      <c r="N587" s="38">
        <f>IF(AND(1+$Q$7&gt;H587,1-$Q$7&lt;H587,1+$Q$7&gt;I587,1-$Q$7&lt;I587,1+$Q$7&gt;J587,1-$Q$7&lt;J587,1+$Q$7&gt;K587,1-$Q$7&lt;K587,1+$Q$7&gt;L587,1-$Q$7&lt;L587),IF(SUM($N$2:N586)=0,1,0),0)</f>
        <v>0</v>
      </c>
      <c r="O587" s="34">
        <f t="shared" si="9"/>
        <v>0</v>
      </c>
    </row>
    <row r="588" spans="8:15" ht="20.100000000000001" customHeight="1" x14ac:dyDescent="0.25">
      <c r="H588" s="43" t="str">
        <f>IFERROR(ABS(C588/VLOOKUP(2*$B588,$B589:C622,2,TRUE)),"--")</f>
        <v>--</v>
      </c>
      <c r="I588" s="43" t="str">
        <f>IFERROR(ABS(D588/VLOOKUP(2*$B588,$B589:D622,3,TRUE)),"--")</f>
        <v>--</v>
      </c>
      <c r="J588" s="43" t="str">
        <f>IFERROR(ABS(E588/VLOOKUP(2*$B588,$B589:E622,4,TRUE)),"--")</f>
        <v>--</v>
      </c>
      <c r="K588" s="43" t="str">
        <f>IFERROR(ABS(F588/VLOOKUP(2*$B588,$B589:F622,5,TRUE)),"--")</f>
        <v>--</v>
      </c>
      <c r="L588" s="43" t="str">
        <f>IFERROR(ABS(G588/VLOOKUP(2*$B588,$B589:G622,6,TRUE)),"--")</f>
        <v>--</v>
      </c>
      <c r="M588" s="38">
        <f>IF(AND(1+$Q$6&gt;H588,1-$Q$6&lt;H588,1+$Q$6&gt;I588,1-$Q$6&lt;I588,1+$Q$6&gt;J588,1-$Q$6&lt;J588,1+$Q$6&gt;K588,1-$Q$6&lt;K588,1+$Q$6&gt;L588,1-$Q$6&lt;L588),IF(SUM($M$2:M587)=0,1,0),0)</f>
        <v>0</v>
      </c>
      <c r="N588" s="38">
        <f>IF(AND(1+$Q$7&gt;H588,1-$Q$7&lt;H588,1+$Q$7&gt;I588,1-$Q$7&lt;I588,1+$Q$7&gt;J588,1-$Q$7&lt;J588,1+$Q$7&gt;K588,1-$Q$7&lt;K588,1+$Q$7&gt;L588,1-$Q$7&lt;L588),IF(SUM($N$2:N587)=0,1,0),0)</f>
        <v>0</v>
      </c>
      <c r="O588" s="34">
        <f t="shared" si="9"/>
        <v>0</v>
      </c>
    </row>
    <row r="589" spans="8:15" ht="20.100000000000001" customHeight="1" x14ac:dyDescent="0.25">
      <c r="H589" s="43" t="str">
        <f>IFERROR(ABS(C589/VLOOKUP(2*$B589,$B590:C623,2,TRUE)),"--")</f>
        <v>--</v>
      </c>
      <c r="I589" s="43" t="str">
        <f>IFERROR(ABS(D589/VLOOKUP(2*$B589,$B590:D623,3,TRUE)),"--")</f>
        <v>--</v>
      </c>
      <c r="J589" s="43" t="str">
        <f>IFERROR(ABS(E589/VLOOKUP(2*$B589,$B590:E623,4,TRUE)),"--")</f>
        <v>--</v>
      </c>
      <c r="K589" s="43" t="str">
        <f>IFERROR(ABS(F589/VLOOKUP(2*$B589,$B590:F623,5,TRUE)),"--")</f>
        <v>--</v>
      </c>
      <c r="L589" s="43" t="str">
        <f>IFERROR(ABS(G589/VLOOKUP(2*$B589,$B590:G623,6,TRUE)),"--")</f>
        <v>--</v>
      </c>
      <c r="M589" s="38">
        <f>IF(AND(1+$Q$6&gt;H589,1-$Q$6&lt;H589,1+$Q$6&gt;I589,1-$Q$6&lt;I589,1+$Q$6&gt;J589,1-$Q$6&lt;J589,1+$Q$6&gt;K589,1-$Q$6&lt;K589,1+$Q$6&gt;L589,1-$Q$6&lt;L589),IF(SUM($M$2:M588)=0,1,0),0)</f>
        <v>0</v>
      </c>
      <c r="N589" s="38">
        <f>IF(AND(1+$Q$7&gt;H589,1-$Q$7&lt;H589,1+$Q$7&gt;I589,1-$Q$7&lt;I589,1+$Q$7&gt;J589,1-$Q$7&lt;J589,1+$Q$7&gt;K589,1-$Q$7&lt;K589,1+$Q$7&gt;L589,1-$Q$7&lt;L589),IF(SUM($N$2:N588)=0,1,0),0)</f>
        <v>0</v>
      </c>
      <c r="O589" s="34">
        <f t="shared" si="9"/>
        <v>0</v>
      </c>
    </row>
    <row r="590" spans="8:15" ht="20.100000000000001" customHeight="1" x14ac:dyDescent="0.25">
      <c r="H590" s="43" t="str">
        <f>IFERROR(ABS(C590/VLOOKUP(2*$B590,$B591:C624,2,TRUE)),"--")</f>
        <v>--</v>
      </c>
      <c r="I590" s="43" t="str">
        <f>IFERROR(ABS(D590/VLOOKUP(2*$B590,$B591:D624,3,TRUE)),"--")</f>
        <v>--</v>
      </c>
      <c r="J590" s="43" t="str">
        <f>IFERROR(ABS(E590/VLOOKUP(2*$B590,$B591:E624,4,TRUE)),"--")</f>
        <v>--</v>
      </c>
      <c r="K590" s="43" t="str">
        <f>IFERROR(ABS(F590/VLOOKUP(2*$B590,$B591:F624,5,TRUE)),"--")</f>
        <v>--</v>
      </c>
      <c r="L590" s="43" t="str">
        <f>IFERROR(ABS(G590/VLOOKUP(2*$B590,$B591:G624,6,TRUE)),"--")</f>
        <v>--</v>
      </c>
      <c r="M590" s="38">
        <f>IF(AND(1+$Q$6&gt;H590,1-$Q$6&lt;H590,1+$Q$6&gt;I590,1-$Q$6&lt;I590,1+$Q$6&gt;J590,1-$Q$6&lt;J590,1+$Q$6&gt;K590,1-$Q$6&lt;K590,1+$Q$6&gt;L590,1-$Q$6&lt;L590),IF(SUM($M$2:M589)=0,1,0),0)</f>
        <v>0</v>
      </c>
      <c r="N590" s="38">
        <f>IF(AND(1+$Q$7&gt;H590,1-$Q$7&lt;H590,1+$Q$7&gt;I590,1-$Q$7&lt;I590,1+$Q$7&gt;J590,1-$Q$7&lt;J590,1+$Q$7&gt;K590,1-$Q$7&lt;K590,1+$Q$7&gt;L590,1-$Q$7&lt;L590),IF(SUM($N$2:N589)=0,1,0),0)</f>
        <v>0</v>
      </c>
      <c r="O590" s="34">
        <f t="shared" si="9"/>
        <v>0</v>
      </c>
    </row>
    <row r="591" spans="8:15" ht="20.100000000000001" customHeight="1" x14ac:dyDescent="0.25">
      <c r="H591" s="43" t="str">
        <f>IFERROR(ABS(C591/VLOOKUP(2*$B591,$B592:C625,2,TRUE)),"--")</f>
        <v>--</v>
      </c>
      <c r="I591" s="43" t="str">
        <f>IFERROR(ABS(D591/VLOOKUP(2*$B591,$B592:D625,3,TRUE)),"--")</f>
        <v>--</v>
      </c>
      <c r="J591" s="43" t="str">
        <f>IFERROR(ABS(E591/VLOOKUP(2*$B591,$B592:E625,4,TRUE)),"--")</f>
        <v>--</v>
      </c>
      <c r="K591" s="43" t="str">
        <f>IFERROR(ABS(F591/VLOOKUP(2*$B591,$B592:F625,5,TRUE)),"--")</f>
        <v>--</v>
      </c>
      <c r="L591" s="43" t="str">
        <f>IFERROR(ABS(G591/VLOOKUP(2*$B591,$B592:G625,6,TRUE)),"--")</f>
        <v>--</v>
      </c>
      <c r="M591" s="38">
        <f>IF(AND(1+$Q$6&gt;H591,1-$Q$6&lt;H591,1+$Q$6&gt;I591,1-$Q$6&lt;I591,1+$Q$6&gt;J591,1-$Q$6&lt;J591,1+$Q$6&gt;K591,1-$Q$6&lt;K591,1+$Q$6&gt;L591,1-$Q$6&lt;L591),IF(SUM($M$2:M590)=0,1,0),0)</f>
        <v>0</v>
      </c>
      <c r="N591" s="38">
        <f>IF(AND(1+$Q$7&gt;H591,1-$Q$7&lt;H591,1+$Q$7&gt;I591,1-$Q$7&lt;I591,1+$Q$7&gt;J591,1-$Q$7&lt;J591,1+$Q$7&gt;K591,1-$Q$7&lt;K591,1+$Q$7&gt;L591,1-$Q$7&lt;L591),IF(SUM($N$2:N590)=0,1,0),0)</f>
        <v>0</v>
      </c>
      <c r="O591" s="34">
        <f t="shared" si="9"/>
        <v>0</v>
      </c>
    </row>
    <row r="592" spans="8:15" ht="20.100000000000001" customHeight="1" x14ac:dyDescent="0.25">
      <c r="H592" s="43" t="str">
        <f>IFERROR(ABS(C592/VLOOKUP(2*$B592,$B593:C626,2,TRUE)),"--")</f>
        <v>--</v>
      </c>
      <c r="I592" s="43" t="str">
        <f>IFERROR(ABS(D592/VLOOKUP(2*$B592,$B593:D626,3,TRUE)),"--")</f>
        <v>--</v>
      </c>
      <c r="J592" s="43" t="str">
        <f>IFERROR(ABS(E592/VLOOKUP(2*$B592,$B593:E626,4,TRUE)),"--")</f>
        <v>--</v>
      </c>
      <c r="K592" s="43" t="str">
        <f>IFERROR(ABS(F592/VLOOKUP(2*$B592,$B593:F626,5,TRUE)),"--")</f>
        <v>--</v>
      </c>
      <c r="L592" s="43" t="str">
        <f>IFERROR(ABS(G592/VLOOKUP(2*$B592,$B593:G626,6,TRUE)),"--")</f>
        <v>--</v>
      </c>
      <c r="M592" s="38">
        <f>IF(AND(1+$Q$6&gt;H592,1-$Q$6&lt;H592,1+$Q$6&gt;I592,1-$Q$6&lt;I592,1+$Q$6&gt;J592,1-$Q$6&lt;J592,1+$Q$6&gt;K592,1-$Q$6&lt;K592,1+$Q$6&gt;L592,1-$Q$6&lt;L592),IF(SUM($M$2:M591)=0,1,0),0)</f>
        <v>0</v>
      </c>
      <c r="N592" s="38">
        <f>IF(AND(1+$Q$7&gt;H592,1-$Q$7&lt;H592,1+$Q$7&gt;I592,1-$Q$7&lt;I592,1+$Q$7&gt;J592,1-$Q$7&lt;J592,1+$Q$7&gt;K592,1-$Q$7&lt;K592,1+$Q$7&gt;L592,1-$Q$7&lt;L592),IF(SUM($N$2:N591)=0,1,0),0)</f>
        <v>0</v>
      </c>
      <c r="O592" s="34">
        <f t="shared" si="9"/>
        <v>0</v>
      </c>
    </row>
    <row r="593" spans="8:15" ht="20.100000000000001" customHeight="1" x14ac:dyDescent="0.25">
      <c r="H593" s="43" t="str">
        <f>IFERROR(ABS(C593/VLOOKUP(2*$B593,$B594:C627,2,TRUE)),"--")</f>
        <v>--</v>
      </c>
      <c r="I593" s="43" t="str">
        <f>IFERROR(ABS(D593/VLOOKUP(2*$B593,$B594:D627,3,TRUE)),"--")</f>
        <v>--</v>
      </c>
      <c r="J593" s="43" t="str">
        <f>IFERROR(ABS(E593/VLOOKUP(2*$B593,$B594:E627,4,TRUE)),"--")</f>
        <v>--</v>
      </c>
      <c r="K593" s="43" t="str">
        <f>IFERROR(ABS(F593/VLOOKUP(2*$B593,$B594:F627,5,TRUE)),"--")</f>
        <v>--</v>
      </c>
      <c r="L593" s="43" t="str">
        <f>IFERROR(ABS(G593/VLOOKUP(2*$B593,$B594:G627,6,TRUE)),"--")</f>
        <v>--</v>
      </c>
      <c r="M593" s="38">
        <f>IF(AND(1+$Q$6&gt;H593,1-$Q$6&lt;H593,1+$Q$6&gt;I593,1-$Q$6&lt;I593,1+$Q$6&gt;J593,1-$Q$6&lt;J593,1+$Q$6&gt;K593,1-$Q$6&lt;K593,1+$Q$6&gt;L593,1-$Q$6&lt;L593),IF(SUM($M$2:M592)=0,1,0),0)</f>
        <v>0</v>
      </c>
      <c r="N593" s="38">
        <f>IF(AND(1+$Q$7&gt;H593,1-$Q$7&lt;H593,1+$Q$7&gt;I593,1-$Q$7&lt;I593,1+$Q$7&gt;J593,1-$Q$7&lt;J593,1+$Q$7&gt;K593,1-$Q$7&lt;K593,1+$Q$7&gt;L593,1-$Q$7&lt;L593),IF(SUM($N$2:N592)=0,1,0),0)</f>
        <v>0</v>
      </c>
      <c r="O593" s="34">
        <f t="shared" si="9"/>
        <v>0</v>
      </c>
    </row>
    <row r="594" spans="8:15" ht="20.100000000000001" customHeight="1" x14ac:dyDescent="0.25">
      <c r="H594" s="43" t="str">
        <f>IFERROR(ABS(C594/VLOOKUP(2*$B594,$B595:C628,2,TRUE)),"--")</f>
        <v>--</v>
      </c>
      <c r="I594" s="43" t="str">
        <f>IFERROR(ABS(D594/VLOOKUP(2*$B594,$B595:D628,3,TRUE)),"--")</f>
        <v>--</v>
      </c>
      <c r="J594" s="43" t="str">
        <f>IFERROR(ABS(E594/VLOOKUP(2*$B594,$B595:E628,4,TRUE)),"--")</f>
        <v>--</v>
      </c>
      <c r="K594" s="43" t="str">
        <f>IFERROR(ABS(F594/VLOOKUP(2*$B594,$B595:F628,5,TRUE)),"--")</f>
        <v>--</v>
      </c>
      <c r="L594" s="43" t="str">
        <f>IFERROR(ABS(G594/VLOOKUP(2*$B594,$B595:G628,6,TRUE)),"--")</f>
        <v>--</v>
      </c>
      <c r="M594" s="38">
        <f>IF(AND(1+$Q$6&gt;H594,1-$Q$6&lt;H594,1+$Q$6&gt;I594,1-$Q$6&lt;I594,1+$Q$6&gt;J594,1-$Q$6&lt;J594,1+$Q$6&gt;K594,1-$Q$6&lt;K594,1+$Q$6&gt;L594,1-$Q$6&lt;L594),IF(SUM($M$2:M593)=0,1,0),0)</f>
        <v>0</v>
      </c>
      <c r="N594" s="38">
        <f>IF(AND(1+$Q$7&gt;H594,1-$Q$7&lt;H594,1+$Q$7&gt;I594,1-$Q$7&lt;I594,1+$Q$7&gt;J594,1-$Q$7&lt;J594,1+$Q$7&gt;K594,1-$Q$7&lt;K594,1+$Q$7&gt;L594,1-$Q$7&lt;L594),IF(SUM($N$2:N593)=0,1,0),0)</f>
        <v>0</v>
      </c>
      <c r="O594" s="34">
        <f t="shared" si="9"/>
        <v>0</v>
      </c>
    </row>
    <row r="595" spans="8:15" ht="20.100000000000001" customHeight="1" x14ac:dyDescent="0.25">
      <c r="H595" s="43" t="str">
        <f>IFERROR(ABS(C595/VLOOKUP(2*$B595,$B596:C629,2,TRUE)),"--")</f>
        <v>--</v>
      </c>
      <c r="I595" s="43" t="str">
        <f>IFERROR(ABS(D595/VLOOKUP(2*$B595,$B596:D629,3,TRUE)),"--")</f>
        <v>--</v>
      </c>
      <c r="J595" s="43" t="str">
        <f>IFERROR(ABS(E595/VLOOKUP(2*$B595,$B596:E629,4,TRUE)),"--")</f>
        <v>--</v>
      </c>
      <c r="K595" s="43" t="str">
        <f>IFERROR(ABS(F595/VLOOKUP(2*$B595,$B596:F629,5,TRUE)),"--")</f>
        <v>--</v>
      </c>
      <c r="L595" s="43" t="str">
        <f>IFERROR(ABS(G595/VLOOKUP(2*$B595,$B596:G629,6,TRUE)),"--")</f>
        <v>--</v>
      </c>
      <c r="M595" s="38">
        <f>IF(AND(1+$Q$6&gt;H595,1-$Q$6&lt;H595,1+$Q$6&gt;I595,1-$Q$6&lt;I595,1+$Q$6&gt;J595,1-$Q$6&lt;J595,1+$Q$6&gt;K595,1-$Q$6&lt;K595,1+$Q$6&gt;L595,1-$Q$6&lt;L595),IF(SUM($M$2:M594)=0,1,0),0)</f>
        <v>0</v>
      </c>
      <c r="N595" s="38">
        <f>IF(AND(1+$Q$7&gt;H595,1-$Q$7&lt;H595,1+$Q$7&gt;I595,1-$Q$7&lt;I595,1+$Q$7&gt;J595,1-$Q$7&lt;J595,1+$Q$7&gt;K595,1-$Q$7&lt;K595,1+$Q$7&gt;L595,1-$Q$7&lt;L595),IF(SUM($N$2:N594)=0,1,0),0)</f>
        <v>0</v>
      </c>
      <c r="O595" s="34">
        <f t="shared" si="9"/>
        <v>0</v>
      </c>
    </row>
    <row r="596" spans="8:15" ht="20.100000000000001" customHeight="1" x14ac:dyDescent="0.25">
      <c r="H596" s="43" t="str">
        <f>IFERROR(ABS(C596/VLOOKUP(2*$B596,$B597:C630,2,TRUE)),"--")</f>
        <v>--</v>
      </c>
      <c r="I596" s="43" t="str">
        <f>IFERROR(ABS(D596/VLOOKUP(2*$B596,$B597:D630,3,TRUE)),"--")</f>
        <v>--</v>
      </c>
      <c r="J596" s="43" t="str">
        <f>IFERROR(ABS(E596/VLOOKUP(2*$B596,$B597:E630,4,TRUE)),"--")</f>
        <v>--</v>
      </c>
      <c r="K596" s="43" t="str">
        <f>IFERROR(ABS(F596/VLOOKUP(2*$B596,$B597:F630,5,TRUE)),"--")</f>
        <v>--</v>
      </c>
      <c r="L596" s="43" t="str">
        <f>IFERROR(ABS(G596/VLOOKUP(2*$B596,$B597:G630,6,TRUE)),"--")</f>
        <v>--</v>
      </c>
      <c r="M596" s="38">
        <f>IF(AND(1+$Q$6&gt;H596,1-$Q$6&lt;H596,1+$Q$6&gt;I596,1-$Q$6&lt;I596,1+$Q$6&gt;J596,1-$Q$6&lt;J596,1+$Q$6&gt;K596,1-$Q$6&lt;K596,1+$Q$6&gt;L596,1-$Q$6&lt;L596),IF(SUM($M$2:M595)=0,1,0),0)</f>
        <v>0</v>
      </c>
      <c r="N596" s="38">
        <f>IF(AND(1+$Q$7&gt;H596,1-$Q$7&lt;H596,1+$Q$7&gt;I596,1-$Q$7&lt;I596,1+$Q$7&gt;J596,1-$Q$7&lt;J596,1+$Q$7&gt;K596,1-$Q$7&lt;K596,1+$Q$7&gt;L596,1-$Q$7&lt;L596),IF(SUM($N$2:N595)=0,1,0),0)</f>
        <v>0</v>
      </c>
      <c r="O596" s="34">
        <f t="shared" si="9"/>
        <v>0</v>
      </c>
    </row>
    <row r="597" spans="8:15" ht="20.100000000000001" customHeight="1" x14ac:dyDescent="0.25">
      <c r="H597" s="43" t="str">
        <f>IFERROR(ABS(C597/VLOOKUP(2*$B597,$B598:C631,2,TRUE)),"--")</f>
        <v>--</v>
      </c>
      <c r="I597" s="43" t="str">
        <f>IFERROR(ABS(D597/VLOOKUP(2*$B597,$B598:D631,3,TRUE)),"--")</f>
        <v>--</v>
      </c>
      <c r="J597" s="43" t="str">
        <f>IFERROR(ABS(E597/VLOOKUP(2*$B597,$B598:E631,4,TRUE)),"--")</f>
        <v>--</v>
      </c>
      <c r="K597" s="43" t="str">
        <f>IFERROR(ABS(F597/VLOOKUP(2*$B597,$B598:F631,5,TRUE)),"--")</f>
        <v>--</v>
      </c>
      <c r="L597" s="43" t="str">
        <f>IFERROR(ABS(G597/VLOOKUP(2*$B597,$B598:G631,6,TRUE)),"--")</f>
        <v>--</v>
      </c>
      <c r="M597" s="38">
        <f>IF(AND(1+$Q$6&gt;H597,1-$Q$6&lt;H597,1+$Q$6&gt;I597,1-$Q$6&lt;I597,1+$Q$6&gt;J597,1-$Q$6&lt;J597,1+$Q$6&gt;K597,1-$Q$6&lt;K597,1+$Q$6&gt;L597,1-$Q$6&lt;L597),IF(SUM($M$2:M596)=0,1,0),0)</f>
        <v>0</v>
      </c>
      <c r="N597" s="38">
        <f>IF(AND(1+$Q$7&gt;H597,1-$Q$7&lt;H597,1+$Q$7&gt;I597,1-$Q$7&lt;I597,1+$Q$7&gt;J597,1-$Q$7&lt;J597,1+$Q$7&gt;K597,1-$Q$7&lt;K597,1+$Q$7&gt;L597,1-$Q$7&lt;L597),IF(SUM($N$2:N596)=0,1,0),0)</f>
        <v>0</v>
      </c>
      <c r="O597" s="34">
        <f t="shared" si="9"/>
        <v>0</v>
      </c>
    </row>
    <row r="598" spans="8:15" ht="20.100000000000001" customHeight="1" x14ac:dyDescent="0.25">
      <c r="H598" s="43" t="str">
        <f>IFERROR(ABS(C598/VLOOKUP(2*$B598,$B599:C632,2,TRUE)),"--")</f>
        <v>--</v>
      </c>
      <c r="I598" s="43" t="str">
        <f>IFERROR(ABS(D598/VLOOKUP(2*$B598,$B599:D632,3,TRUE)),"--")</f>
        <v>--</v>
      </c>
      <c r="J598" s="43" t="str">
        <f>IFERROR(ABS(E598/VLOOKUP(2*$B598,$B599:E632,4,TRUE)),"--")</f>
        <v>--</v>
      </c>
      <c r="K598" s="43" t="str">
        <f>IFERROR(ABS(F598/VLOOKUP(2*$B598,$B599:F632,5,TRUE)),"--")</f>
        <v>--</v>
      </c>
      <c r="L598" s="43" t="str">
        <f>IFERROR(ABS(G598/VLOOKUP(2*$B598,$B599:G632,6,TRUE)),"--")</f>
        <v>--</v>
      </c>
      <c r="M598" s="38">
        <f>IF(AND(1+$Q$6&gt;H598,1-$Q$6&lt;H598,1+$Q$6&gt;I598,1-$Q$6&lt;I598,1+$Q$6&gt;J598,1-$Q$6&lt;J598,1+$Q$6&gt;K598,1-$Q$6&lt;K598,1+$Q$6&gt;L598,1-$Q$6&lt;L598),IF(SUM($M$2:M597)=0,1,0),0)</f>
        <v>0</v>
      </c>
      <c r="N598" s="38">
        <f>IF(AND(1+$Q$7&gt;H598,1-$Q$7&lt;H598,1+$Q$7&gt;I598,1-$Q$7&lt;I598,1+$Q$7&gt;J598,1-$Q$7&lt;J598,1+$Q$7&gt;K598,1-$Q$7&lt;K598,1+$Q$7&gt;L598,1-$Q$7&lt;L598),IF(SUM($N$2:N597)=0,1,0),0)</f>
        <v>0</v>
      </c>
      <c r="O598" s="34">
        <f t="shared" si="9"/>
        <v>0</v>
      </c>
    </row>
    <row r="599" spans="8:15" ht="20.100000000000001" customHeight="1" x14ac:dyDescent="0.25">
      <c r="H599" s="43" t="str">
        <f>IFERROR(ABS(C599/VLOOKUP(2*$B599,$B600:C633,2,TRUE)),"--")</f>
        <v>--</v>
      </c>
      <c r="I599" s="43" t="str">
        <f>IFERROR(ABS(D599/VLOOKUP(2*$B599,$B600:D633,3,TRUE)),"--")</f>
        <v>--</v>
      </c>
      <c r="J599" s="43" t="str">
        <f>IFERROR(ABS(E599/VLOOKUP(2*$B599,$B600:E633,4,TRUE)),"--")</f>
        <v>--</v>
      </c>
      <c r="K599" s="43" t="str">
        <f>IFERROR(ABS(F599/VLOOKUP(2*$B599,$B600:F633,5,TRUE)),"--")</f>
        <v>--</v>
      </c>
      <c r="L599" s="43" t="str">
        <f>IFERROR(ABS(G599/VLOOKUP(2*$B599,$B600:G633,6,TRUE)),"--")</f>
        <v>--</v>
      </c>
      <c r="M599" s="38">
        <f>IF(AND(1+$Q$6&gt;H599,1-$Q$6&lt;H599,1+$Q$6&gt;I599,1-$Q$6&lt;I599,1+$Q$6&gt;J599,1-$Q$6&lt;J599,1+$Q$6&gt;K599,1-$Q$6&lt;K599,1+$Q$6&gt;L599,1-$Q$6&lt;L599),IF(SUM($M$2:M598)=0,1,0),0)</f>
        <v>0</v>
      </c>
      <c r="N599" s="38">
        <f>IF(AND(1+$Q$7&gt;H599,1-$Q$7&lt;H599,1+$Q$7&gt;I599,1-$Q$7&lt;I599,1+$Q$7&gt;J599,1-$Q$7&lt;J599,1+$Q$7&gt;K599,1-$Q$7&lt;K599,1+$Q$7&gt;L599,1-$Q$7&lt;L599),IF(SUM($N$2:N598)=0,1,0),0)</f>
        <v>0</v>
      </c>
      <c r="O599" s="34">
        <f t="shared" si="9"/>
        <v>0</v>
      </c>
    </row>
    <row r="600" spans="8:15" ht="20.100000000000001" customHeight="1" x14ac:dyDescent="0.25">
      <c r="H600" s="43" t="str">
        <f>IFERROR(ABS(C600/VLOOKUP(2*$B600,$B601:C634,2,TRUE)),"--")</f>
        <v>--</v>
      </c>
      <c r="I600" s="43" t="str">
        <f>IFERROR(ABS(D600/VLOOKUP(2*$B600,$B601:D634,3,TRUE)),"--")</f>
        <v>--</v>
      </c>
      <c r="J600" s="43" t="str">
        <f>IFERROR(ABS(E600/VLOOKUP(2*$B600,$B601:E634,4,TRUE)),"--")</f>
        <v>--</v>
      </c>
      <c r="K600" s="43" t="str">
        <f>IFERROR(ABS(F600/VLOOKUP(2*$B600,$B601:F634,5,TRUE)),"--")</f>
        <v>--</v>
      </c>
      <c r="L600" s="43" t="str">
        <f>IFERROR(ABS(G600/VLOOKUP(2*$B600,$B601:G634,6,TRUE)),"--")</f>
        <v>--</v>
      </c>
      <c r="M600" s="38">
        <f>IF(AND(1+$Q$6&gt;H600,1-$Q$6&lt;H600,1+$Q$6&gt;I600,1-$Q$6&lt;I600,1+$Q$6&gt;J600,1-$Q$6&lt;J600,1+$Q$6&gt;K600,1-$Q$6&lt;K600,1+$Q$6&gt;L600,1-$Q$6&lt;L600),IF(SUM($M$2:M599)=0,1,0),0)</f>
        <v>0</v>
      </c>
      <c r="N600" s="38">
        <f>IF(AND(1+$Q$7&gt;H600,1-$Q$7&lt;H600,1+$Q$7&gt;I600,1-$Q$7&lt;I600,1+$Q$7&gt;J600,1-$Q$7&lt;J600,1+$Q$7&gt;K600,1-$Q$7&lt;K600,1+$Q$7&gt;L600,1-$Q$7&lt;L600),IF(SUM($N$2:N599)=0,1,0),0)</f>
        <v>0</v>
      </c>
      <c r="O600" s="34">
        <f t="shared" si="9"/>
        <v>0</v>
      </c>
    </row>
    <row r="601" spans="8:15" ht="20.100000000000001" customHeight="1" x14ac:dyDescent="0.25">
      <c r="H601" s="43" t="str">
        <f>IFERROR(ABS(C601/VLOOKUP(2*$B601,$B602:C635,2,TRUE)),"--")</f>
        <v>--</v>
      </c>
      <c r="I601" s="43" t="str">
        <f>IFERROR(ABS(D601/VLOOKUP(2*$B601,$B602:D635,3,TRUE)),"--")</f>
        <v>--</v>
      </c>
      <c r="J601" s="43" t="str">
        <f>IFERROR(ABS(E601/VLOOKUP(2*$B601,$B602:E635,4,TRUE)),"--")</f>
        <v>--</v>
      </c>
      <c r="K601" s="43" t="str">
        <f>IFERROR(ABS(F601/VLOOKUP(2*$B601,$B602:F635,5,TRUE)),"--")</f>
        <v>--</v>
      </c>
      <c r="L601" s="43" t="str">
        <f>IFERROR(ABS(G601/VLOOKUP(2*$B601,$B602:G635,6,TRUE)),"--")</f>
        <v>--</v>
      </c>
      <c r="M601" s="38">
        <f>IF(AND(1+$Q$6&gt;H601,1-$Q$6&lt;H601,1+$Q$6&gt;I601,1-$Q$6&lt;I601,1+$Q$6&gt;J601,1-$Q$6&lt;J601,1+$Q$6&gt;K601,1-$Q$6&lt;K601,1+$Q$6&gt;L601,1-$Q$6&lt;L601),IF(SUM($M$2:M600)=0,1,0),0)</f>
        <v>0</v>
      </c>
      <c r="N601" s="38">
        <f>IF(AND(1+$Q$7&gt;H601,1-$Q$7&lt;H601,1+$Q$7&gt;I601,1-$Q$7&lt;I601,1+$Q$7&gt;J601,1-$Q$7&lt;J601,1+$Q$7&gt;K601,1-$Q$7&lt;K601,1+$Q$7&gt;L601,1-$Q$7&lt;L601),IF(SUM($N$2:N600)=0,1,0),0)</f>
        <v>0</v>
      </c>
      <c r="O601" s="34">
        <f t="shared" si="9"/>
        <v>0</v>
      </c>
    </row>
    <row r="602" spans="8:15" ht="20.100000000000001" customHeight="1" x14ac:dyDescent="0.25">
      <c r="H602" s="43" t="str">
        <f>IFERROR(ABS(C602/VLOOKUP(2*$B602,$B603:C636,2,TRUE)),"--")</f>
        <v>--</v>
      </c>
      <c r="I602" s="43" t="str">
        <f>IFERROR(ABS(D602/VLOOKUP(2*$B602,$B603:D636,3,TRUE)),"--")</f>
        <v>--</v>
      </c>
      <c r="J602" s="43" t="str">
        <f>IFERROR(ABS(E602/VLOOKUP(2*$B602,$B603:E636,4,TRUE)),"--")</f>
        <v>--</v>
      </c>
      <c r="K602" s="43" t="str">
        <f>IFERROR(ABS(F602/VLOOKUP(2*$B602,$B603:F636,5,TRUE)),"--")</f>
        <v>--</v>
      </c>
      <c r="L602" s="43" t="str">
        <f>IFERROR(ABS(G602/VLOOKUP(2*$B602,$B603:G636,6,TRUE)),"--")</f>
        <v>--</v>
      </c>
      <c r="M602" s="38">
        <f>IF(AND(1+$Q$6&gt;H602,1-$Q$6&lt;H602,1+$Q$6&gt;I602,1-$Q$6&lt;I602,1+$Q$6&gt;J602,1-$Q$6&lt;J602,1+$Q$6&gt;K602,1-$Q$6&lt;K602,1+$Q$6&gt;L602,1-$Q$6&lt;L602),IF(SUM($M$2:M601)=0,1,0),0)</f>
        <v>0</v>
      </c>
      <c r="N602" s="38">
        <f>IF(AND(1+$Q$7&gt;H602,1-$Q$7&lt;H602,1+$Q$7&gt;I602,1-$Q$7&lt;I602,1+$Q$7&gt;J602,1-$Q$7&lt;J602,1+$Q$7&gt;K602,1-$Q$7&lt;K602,1+$Q$7&gt;L602,1-$Q$7&lt;L602),IF(SUM($N$2:N601)=0,1,0),0)</f>
        <v>0</v>
      </c>
      <c r="O602" s="34">
        <f t="shared" si="9"/>
        <v>0</v>
      </c>
    </row>
    <row r="603" spans="8:15" ht="20.100000000000001" customHeight="1" x14ac:dyDescent="0.25">
      <c r="H603" s="43" t="str">
        <f>IFERROR(ABS(C603/VLOOKUP(2*$B603,$B604:C637,2,TRUE)),"--")</f>
        <v>--</v>
      </c>
      <c r="I603" s="43" t="str">
        <f>IFERROR(ABS(D603/VLOOKUP(2*$B603,$B604:D637,3,TRUE)),"--")</f>
        <v>--</v>
      </c>
      <c r="J603" s="43" t="str">
        <f>IFERROR(ABS(E603/VLOOKUP(2*$B603,$B604:E637,4,TRUE)),"--")</f>
        <v>--</v>
      </c>
      <c r="K603" s="43" t="str">
        <f>IFERROR(ABS(F603/VLOOKUP(2*$B603,$B604:F637,5,TRUE)),"--")</f>
        <v>--</v>
      </c>
      <c r="L603" s="43" t="str">
        <f>IFERROR(ABS(G603/VLOOKUP(2*$B603,$B604:G637,6,TRUE)),"--")</f>
        <v>--</v>
      </c>
      <c r="M603" s="38">
        <f>IF(AND(1+$Q$6&gt;H603,1-$Q$6&lt;H603,1+$Q$6&gt;I603,1-$Q$6&lt;I603,1+$Q$6&gt;J603,1-$Q$6&lt;J603,1+$Q$6&gt;K603,1-$Q$6&lt;K603,1+$Q$6&gt;L603,1-$Q$6&lt;L603),IF(SUM($M$2:M602)=0,1,0),0)</f>
        <v>0</v>
      </c>
      <c r="N603" s="38">
        <f>IF(AND(1+$Q$7&gt;H603,1-$Q$7&lt;H603,1+$Q$7&gt;I603,1-$Q$7&lt;I603,1+$Q$7&gt;J603,1-$Q$7&lt;J603,1+$Q$7&gt;K603,1-$Q$7&lt;K603,1+$Q$7&gt;L603,1-$Q$7&lt;L603),IF(SUM($N$2:N602)=0,1,0),0)</f>
        <v>0</v>
      </c>
      <c r="O603" s="34">
        <f t="shared" si="9"/>
        <v>0</v>
      </c>
    </row>
    <row r="604" spans="8:15" ht="20.100000000000001" customHeight="1" x14ac:dyDescent="0.25">
      <c r="H604" s="43" t="str">
        <f>IFERROR(ABS(C604/VLOOKUP(2*$B604,$B605:C638,2,TRUE)),"--")</f>
        <v>--</v>
      </c>
      <c r="I604" s="43" t="str">
        <f>IFERROR(ABS(D604/VLOOKUP(2*$B604,$B605:D638,3,TRUE)),"--")</f>
        <v>--</v>
      </c>
      <c r="J604" s="43" t="str">
        <f>IFERROR(ABS(E604/VLOOKUP(2*$B604,$B605:E638,4,TRUE)),"--")</f>
        <v>--</v>
      </c>
      <c r="K604" s="43" t="str">
        <f>IFERROR(ABS(F604/VLOOKUP(2*$B604,$B605:F638,5,TRUE)),"--")</f>
        <v>--</v>
      </c>
      <c r="L604" s="43" t="str">
        <f>IFERROR(ABS(G604/VLOOKUP(2*$B604,$B605:G638,6,TRUE)),"--")</f>
        <v>--</v>
      </c>
      <c r="M604" s="38">
        <f>IF(AND(1+$Q$6&gt;H604,1-$Q$6&lt;H604,1+$Q$6&gt;I604,1-$Q$6&lt;I604,1+$Q$6&gt;J604,1-$Q$6&lt;J604,1+$Q$6&gt;K604,1-$Q$6&lt;K604,1+$Q$6&gt;L604,1-$Q$6&lt;L604),IF(SUM($M$2:M603)=0,1,0),0)</f>
        <v>0</v>
      </c>
      <c r="N604" s="38">
        <f>IF(AND(1+$Q$7&gt;H604,1-$Q$7&lt;H604,1+$Q$7&gt;I604,1-$Q$7&lt;I604,1+$Q$7&gt;J604,1-$Q$7&lt;J604,1+$Q$7&gt;K604,1-$Q$7&lt;K604,1+$Q$7&gt;L604,1-$Q$7&lt;L604),IF(SUM($N$2:N603)=0,1,0),0)</f>
        <v>0</v>
      </c>
      <c r="O604" s="34">
        <f t="shared" si="9"/>
        <v>0</v>
      </c>
    </row>
    <row r="605" spans="8:15" ht="20.100000000000001" customHeight="1" x14ac:dyDescent="0.25">
      <c r="H605" s="43" t="str">
        <f>IFERROR(ABS(C605/VLOOKUP(2*$B605,$B606:C639,2,TRUE)),"--")</f>
        <v>--</v>
      </c>
      <c r="I605" s="43" t="str">
        <f>IFERROR(ABS(D605/VLOOKUP(2*$B605,$B606:D639,3,TRUE)),"--")</f>
        <v>--</v>
      </c>
      <c r="J605" s="43" t="str">
        <f>IFERROR(ABS(E605/VLOOKUP(2*$B605,$B606:E639,4,TRUE)),"--")</f>
        <v>--</v>
      </c>
      <c r="K605" s="43" t="str">
        <f>IFERROR(ABS(F605/VLOOKUP(2*$B605,$B606:F639,5,TRUE)),"--")</f>
        <v>--</v>
      </c>
      <c r="L605" s="43" t="str">
        <f>IFERROR(ABS(G605/VLOOKUP(2*$B605,$B606:G639,6,TRUE)),"--")</f>
        <v>--</v>
      </c>
      <c r="M605" s="38">
        <f>IF(AND(1+$Q$6&gt;H605,1-$Q$6&lt;H605,1+$Q$6&gt;I605,1-$Q$6&lt;I605,1+$Q$6&gt;J605,1-$Q$6&lt;J605,1+$Q$6&gt;K605,1-$Q$6&lt;K605,1+$Q$6&gt;L605,1-$Q$6&lt;L605),IF(SUM($M$2:M604)=0,1,0),0)</f>
        <v>0</v>
      </c>
      <c r="N605" s="38">
        <f>IF(AND(1+$Q$7&gt;H605,1-$Q$7&lt;H605,1+$Q$7&gt;I605,1-$Q$7&lt;I605,1+$Q$7&gt;J605,1-$Q$7&lt;J605,1+$Q$7&gt;K605,1-$Q$7&lt;K605,1+$Q$7&gt;L605,1-$Q$7&lt;L605),IF(SUM($N$2:N604)=0,1,0),0)</f>
        <v>0</v>
      </c>
      <c r="O605" s="34">
        <f t="shared" si="9"/>
        <v>0</v>
      </c>
    </row>
    <row r="606" spans="8:15" ht="20.100000000000001" customHeight="1" x14ac:dyDescent="0.25">
      <c r="H606" s="43" t="str">
        <f>IFERROR(ABS(C606/VLOOKUP(2*$B606,$B607:C640,2,TRUE)),"--")</f>
        <v>--</v>
      </c>
      <c r="I606" s="43" t="str">
        <f>IFERROR(ABS(D606/VLOOKUP(2*$B606,$B607:D640,3,TRUE)),"--")</f>
        <v>--</v>
      </c>
      <c r="J606" s="43" t="str">
        <f>IFERROR(ABS(E606/VLOOKUP(2*$B606,$B607:E640,4,TRUE)),"--")</f>
        <v>--</v>
      </c>
      <c r="K606" s="43" t="str">
        <f>IFERROR(ABS(F606/VLOOKUP(2*$B606,$B607:F640,5,TRUE)),"--")</f>
        <v>--</v>
      </c>
      <c r="L606" s="43" t="str">
        <f>IFERROR(ABS(G606/VLOOKUP(2*$B606,$B607:G640,6,TRUE)),"--")</f>
        <v>--</v>
      </c>
      <c r="M606" s="38">
        <f>IF(AND(1+$Q$6&gt;H606,1-$Q$6&lt;H606,1+$Q$6&gt;I606,1-$Q$6&lt;I606,1+$Q$6&gt;J606,1-$Q$6&lt;J606,1+$Q$6&gt;K606,1-$Q$6&lt;K606,1+$Q$6&gt;L606,1-$Q$6&lt;L606),IF(SUM($M$2:M605)=0,1,0),0)</f>
        <v>0</v>
      </c>
      <c r="N606" s="38">
        <f>IF(AND(1+$Q$7&gt;H606,1-$Q$7&lt;H606,1+$Q$7&gt;I606,1-$Q$7&lt;I606,1+$Q$7&gt;J606,1-$Q$7&lt;J606,1+$Q$7&gt;K606,1-$Q$7&lt;K606,1+$Q$7&gt;L606,1-$Q$7&lt;L606),IF(SUM($N$2:N605)=0,1,0),0)</f>
        <v>0</v>
      </c>
      <c r="O606" s="34">
        <f t="shared" si="9"/>
        <v>0</v>
      </c>
    </row>
    <row r="607" spans="8:15" ht="20.100000000000001" customHeight="1" x14ac:dyDescent="0.25">
      <c r="H607" s="43" t="str">
        <f>IFERROR(ABS(C607/VLOOKUP(2*$B607,$B608:C641,2,TRUE)),"--")</f>
        <v>--</v>
      </c>
      <c r="I607" s="43" t="str">
        <f>IFERROR(ABS(D607/VLOOKUP(2*$B607,$B608:D641,3,TRUE)),"--")</f>
        <v>--</v>
      </c>
      <c r="J607" s="43" t="str">
        <f>IFERROR(ABS(E607/VLOOKUP(2*$B607,$B608:E641,4,TRUE)),"--")</f>
        <v>--</v>
      </c>
      <c r="K607" s="43" t="str">
        <f>IFERROR(ABS(F607/VLOOKUP(2*$B607,$B608:F641,5,TRUE)),"--")</f>
        <v>--</v>
      </c>
      <c r="L607" s="43" t="str">
        <f>IFERROR(ABS(G607/VLOOKUP(2*$B607,$B608:G641,6,TRUE)),"--")</f>
        <v>--</v>
      </c>
      <c r="M607" s="38">
        <f>IF(AND(1+$Q$6&gt;H607,1-$Q$6&lt;H607,1+$Q$6&gt;I607,1-$Q$6&lt;I607,1+$Q$6&gt;J607,1-$Q$6&lt;J607,1+$Q$6&gt;K607,1-$Q$6&lt;K607,1+$Q$6&gt;L607,1-$Q$6&lt;L607),IF(SUM($M$2:M606)=0,1,0),0)</f>
        <v>0</v>
      </c>
      <c r="N607" s="38">
        <f>IF(AND(1+$Q$7&gt;H607,1-$Q$7&lt;H607,1+$Q$7&gt;I607,1-$Q$7&lt;I607,1+$Q$7&gt;J607,1-$Q$7&lt;J607,1+$Q$7&gt;K607,1-$Q$7&lt;K607,1+$Q$7&gt;L607,1-$Q$7&lt;L607),IF(SUM($N$2:N606)=0,1,0),0)</f>
        <v>0</v>
      </c>
      <c r="O607" s="34">
        <f t="shared" si="9"/>
        <v>0</v>
      </c>
    </row>
    <row r="608" spans="8:15" ht="20.100000000000001" customHeight="1" x14ac:dyDescent="0.25">
      <c r="H608" s="43" t="str">
        <f>IFERROR(ABS(C608/VLOOKUP(2*$B608,$B609:C642,2,TRUE)),"--")</f>
        <v>--</v>
      </c>
      <c r="I608" s="43" t="str">
        <f>IFERROR(ABS(D608/VLOOKUP(2*$B608,$B609:D642,3,TRUE)),"--")</f>
        <v>--</v>
      </c>
      <c r="J608" s="43" t="str">
        <f>IFERROR(ABS(E608/VLOOKUP(2*$B608,$B609:E642,4,TRUE)),"--")</f>
        <v>--</v>
      </c>
      <c r="K608" s="43" t="str">
        <f>IFERROR(ABS(F608/VLOOKUP(2*$B608,$B609:F642,5,TRUE)),"--")</f>
        <v>--</v>
      </c>
      <c r="L608" s="43" t="str">
        <f>IFERROR(ABS(G608/VLOOKUP(2*$B608,$B609:G642,6,TRUE)),"--")</f>
        <v>--</v>
      </c>
      <c r="M608" s="38">
        <f>IF(AND(1+$Q$6&gt;H608,1-$Q$6&lt;H608,1+$Q$6&gt;I608,1-$Q$6&lt;I608,1+$Q$6&gt;J608,1-$Q$6&lt;J608,1+$Q$6&gt;K608,1-$Q$6&lt;K608,1+$Q$6&gt;L608,1-$Q$6&lt;L608),IF(SUM($M$2:M607)=0,1,0),0)</f>
        <v>0</v>
      </c>
      <c r="N608" s="38">
        <f>IF(AND(1+$Q$7&gt;H608,1-$Q$7&lt;H608,1+$Q$7&gt;I608,1-$Q$7&lt;I608,1+$Q$7&gt;J608,1-$Q$7&lt;J608,1+$Q$7&gt;K608,1-$Q$7&lt;K608,1+$Q$7&gt;L608,1-$Q$7&lt;L608),IF(SUM($N$2:N607)=0,1,0),0)</f>
        <v>0</v>
      </c>
      <c r="O608" s="34">
        <f t="shared" si="9"/>
        <v>0</v>
      </c>
    </row>
    <row r="609" spans="8:15" ht="20.100000000000001" customHeight="1" x14ac:dyDescent="0.25">
      <c r="H609" s="43" t="str">
        <f>IFERROR(ABS(C609/VLOOKUP(2*$B609,$B610:C643,2,TRUE)),"--")</f>
        <v>--</v>
      </c>
      <c r="I609" s="43" t="str">
        <f>IFERROR(ABS(D609/VLOOKUP(2*$B609,$B610:D643,3,TRUE)),"--")</f>
        <v>--</v>
      </c>
      <c r="J609" s="43" t="str">
        <f>IFERROR(ABS(E609/VLOOKUP(2*$B609,$B610:E643,4,TRUE)),"--")</f>
        <v>--</v>
      </c>
      <c r="K609" s="43" t="str">
        <f>IFERROR(ABS(F609/VLOOKUP(2*$B609,$B610:F643,5,TRUE)),"--")</f>
        <v>--</v>
      </c>
      <c r="L609" s="43" t="str">
        <f>IFERROR(ABS(G609/VLOOKUP(2*$B609,$B610:G643,6,TRUE)),"--")</f>
        <v>--</v>
      </c>
      <c r="M609" s="38">
        <f>IF(AND(1+$Q$6&gt;H609,1-$Q$6&lt;H609,1+$Q$6&gt;I609,1-$Q$6&lt;I609,1+$Q$6&gt;J609,1-$Q$6&lt;J609,1+$Q$6&gt;K609,1-$Q$6&lt;K609,1+$Q$6&gt;L609,1-$Q$6&lt;L609),IF(SUM($M$2:M608)=0,1,0),0)</f>
        <v>0</v>
      </c>
      <c r="N609" s="38">
        <f>IF(AND(1+$Q$7&gt;H609,1-$Q$7&lt;H609,1+$Q$7&gt;I609,1-$Q$7&lt;I609,1+$Q$7&gt;J609,1-$Q$7&lt;J609,1+$Q$7&gt;K609,1-$Q$7&lt;K609,1+$Q$7&gt;L609,1-$Q$7&lt;L609),IF(SUM($N$2:N608)=0,1,0),0)</f>
        <v>0</v>
      </c>
      <c r="O609" s="34">
        <f t="shared" si="9"/>
        <v>0</v>
      </c>
    </row>
    <row r="610" spans="8:15" ht="20.100000000000001" customHeight="1" x14ac:dyDescent="0.25">
      <c r="H610" s="43" t="str">
        <f>IFERROR(ABS(C610/VLOOKUP(2*$B610,$B611:C644,2,TRUE)),"--")</f>
        <v>--</v>
      </c>
      <c r="I610" s="43" t="str">
        <f>IFERROR(ABS(D610/VLOOKUP(2*$B610,$B611:D644,3,TRUE)),"--")</f>
        <v>--</v>
      </c>
      <c r="J610" s="43" t="str">
        <f>IFERROR(ABS(E610/VLOOKUP(2*$B610,$B611:E644,4,TRUE)),"--")</f>
        <v>--</v>
      </c>
      <c r="K610" s="43" t="str">
        <f>IFERROR(ABS(F610/VLOOKUP(2*$B610,$B611:F644,5,TRUE)),"--")</f>
        <v>--</v>
      </c>
      <c r="L610" s="43" t="str">
        <f>IFERROR(ABS(G610/VLOOKUP(2*$B610,$B611:G644,6,TRUE)),"--")</f>
        <v>--</v>
      </c>
      <c r="M610" s="38">
        <f>IF(AND(1+$Q$6&gt;H610,1-$Q$6&lt;H610,1+$Q$6&gt;I610,1-$Q$6&lt;I610,1+$Q$6&gt;J610,1-$Q$6&lt;J610,1+$Q$6&gt;K610,1-$Q$6&lt;K610,1+$Q$6&gt;L610,1-$Q$6&lt;L610),IF(SUM($M$2:M609)=0,1,0),0)</f>
        <v>0</v>
      </c>
      <c r="N610" s="38">
        <f>IF(AND(1+$Q$7&gt;H610,1-$Q$7&lt;H610,1+$Q$7&gt;I610,1-$Q$7&lt;I610,1+$Q$7&gt;J610,1-$Q$7&lt;J610,1+$Q$7&gt;K610,1-$Q$7&lt;K610,1+$Q$7&gt;L610,1-$Q$7&lt;L610),IF(SUM($N$2:N609)=0,1,0),0)</f>
        <v>0</v>
      </c>
      <c r="O610" s="34">
        <f t="shared" si="9"/>
        <v>0</v>
      </c>
    </row>
    <row r="611" spans="8:15" ht="20.100000000000001" customHeight="1" x14ac:dyDescent="0.25">
      <c r="H611" s="43" t="str">
        <f>IFERROR(ABS(C611/VLOOKUP(2*$B611,$B612:C645,2,TRUE)),"--")</f>
        <v>--</v>
      </c>
      <c r="I611" s="43" t="str">
        <f>IFERROR(ABS(D611/VLOOKUP(2*$B611,$B612:D645,3,TRUE)),"--")</f>
        <v>--</v>
      </c>
      <c r="J611" s="43" t="str">
        <f>IFERROR(ABS(E611/VLOOKUP(2*$B611,$B612:E645,4,TRUE)),"--")</f>
        <v>--</v>
      </c>
      <c r="K611" s="43" t="str">
        <f>IFERROR(ABS(F611/VLOOKUP(2*$B611,$B612:F645,5,TRUE)),"--")</f>
        <v>--</v>
      </c>
      <c r="L611" s="43" t="str">
        <f>IFERROR(ABS(G611/VLOOKUP(2*$B611,$B612:G645,6,TRUE)),"--")</f>
        <v>--</v>
      </c>
      <c r="M611" s="38">
        <f>IF(AND(1+$Q$6&gt;H611,1-$Q$6&lt;H611,1+$Q$6&gt;I611,1-$Q$6&lt;I611,1+$Q$6&gt;J611,1-$Q$6&lt;J611,1+$Q$6&gt;K611,1-$Q$6&lt;K611,1+$Q$6&gt;L611,1-$Q$6&lt;L611),IF(SUM($M$2:M610)=0,1,0),0)</f>
        <v>0</v>
      </c>
      <c r="N611" s="38">
        <f>IF(AND(1+$Q$7&gt;H611,1-$Q$7&lt;H611,1+$Q$7&gt;I611,1-$Q$7&lt;I611,1+$Q$7&gt;J611,1-$Q$7&lt;J611,1+$Q$7&gt;K611,1-$Q$7&lt;K611,1+$Q$7&gt;L611,1-$Q$7&lt;L611),IF(SUM($N$2:N610)=0,1,0),0)</f>
        <v>0</v>
      </c>
      <c r="O611" s="34">
        <f t="shared" si="9"/>
        <v>0</v>
      </c>
    </row>
    <row r="612" spans="8:15" ht="20.100000000000001" customHeight="1" x14ac:dyDescent="0.25">
      <c r="H612" s="43" t="str">
        <f>IFERROR(ABS(C612/VLOOKUP(2*$B612,$B613:C646,2,TRUE)),"--")</f>
        <v>--</v>
      </c>
      <c r="I612" s="43" t="str">
        <f>IFERROR(ABS(D612/VLOOKUP(2*$B612,$B613:D646,3,TRUE)),"--")</f>
        <v>--</v>
      </c>
      <c r="J612" s="43" t="str">
        <f>IFERROR(ABS(E612/VLOOKUP(2*$B612,$B613:E646,4,TRUE)),"--")</f>
        <v>--</v>
      </c>
      <c r="K612" s="43" t="str">
        <f>IFERROR(ABS(F612/VLOOKUP(2*$B612,$B613:F646,5,TRUE)),"--")</f>
        <v>--</v>
      </c>
      <c r="L612" s="43" t="str">
        <f>IFERROR(ABS(G612/VLOOKUP(2*$B612,$B613:G646,6,TRUE)),"--")</f>
        <v>--</v>
      </c>
      <c r="M612" s="38">
        <f>IF(AND(1+$Q$6&gt;H612,1-$Q$6&lt;H612,1+$Q$6&gt;I612,1-$Q$6&lt;I612,1+$Q$6&gt;J612,1-$Q$6&lt;J612,1+$Q$6&gt;K612,1-$Q$6&lt;K612,1+$Q$6&gt;L612,1-$Q$6&lt;L612),IF(SUM($M$2:M611)=0,1,0),0)</f>
        <v>0</v>
      </c>
      <c r="N612" s="38">
        <f>IF(AND(1+$Q$7&gt;H612,1-$Q$7&lt;H612,1+$Q$7&gt;I612,1-$Q$7&lt;I612,1+$Q$7&gt;J612,1-$Q$7&lt;J612,1+$Q$7&gt;K612,1-$Q$7&lt;K612,1+$Q$7&gt;L612,1-$Q$7&lt;L612),IF(SUM($N$2:N611)=0,1,0),0)</f>
        <v>0</v>
      </c>
      <c r="O612" s="34">
        <f t="shared" si="9"/>
        <v>0</v>
      </c>
    </row>
    <row r="613" spans="8:15" ht="20.100000000000001" customHeight="1" x14ac:dyDescent="0.25">
      <c r="H613" s="43" t="str">
        <f>IFERROR(ABS(C613/VLOOKUP(2*$B613,$B614:C647,2,TRUE)),"--")</f>
        <v>--</v>
      </c>
      <c r="I613" s="43" t="str">
        <f>IFERROR(ABS(D613/VLOOKUP(2*$B613,$B614:D647,3,TRUE)),"--")</f>
        <v>--</v>
      </c>
      <c r="J613" s="43" t="str">
        <f>IFERROR(ABS(E613/VLOOKUP(2*$B613,$B614:E647,4,TRUE)),"--")</f>
        <v>--</v>
      </c>
      <c r="K613" s="43" t="str">
        <f>IFERROR(ABS(F613/VLOOKUP(2*$B613,$B614:F647,5,TRUE)),"--")</f>
        <v>--</v>
      </c>
      <c r="L613" s="43" t="str">
        <f>IFERROR(ABS(G613/VLOOKUP(2*$B613,$B614:G647,6,TRUE)),"--")</f>
        <v>--</v>
      </c>
      <c r="M613" s="38">
        <f>IF(AND(1+$Q$6&gt;H613,1-$Q$6&lt;H613,1+$Q$6&gt;I613,1-$Q$6&lt;I613,1+$Q$6&gt;J613,1-$Q$6&lt;J613,1+$Q$6&gt;K613,1-$Q$6&lt;K613,1+$Q$6&gt;L613,1-$Q$6&lt;L613),IF(SUM($M$2:M612)=0,1,0),0)</f>
        <v>0</v>
      </c>
      <c r="N613" s="38">
        <f>IF(AND(1+$Q$7&gt;H613,1-$Q$7&lt;H613,1+$Q$7&gt;I613,1-$Q$7&lt;I613,1+$Q$7&gt;J613,1-$Q$7&lt;J613,1+$Q$7&gt;K613,1-$Q$7&lt;K613,1+$Q$7&gt;L613,1-$Q$7&lt;L613),IF(SUM($N$2:N612)=0,1,0),0)</f>
        <v>0</v>
      </c>
      <c r="O613" s="34">
        <f t="shared" si="9"/>
        <v>0</v>
      </c>
    </row>
    <row r="614" spans="8:15" ht="20.100000000000001" customHeight="1" x14ac:dyDescent="0.25">
      <c r="H614" s="43" t="str">
        <f>IFERROR(ABS(C614/VLOOKUP(2*$B614,$B615:C648,2,TRUE)),"--")</f>
        <v>--</v>
      </c>
      <c r="I614" s="43" t="str">
        <f>IFERROR(ABS(D614/VLOOKUP(2*$B614,$B615:D648,3,TRUE)),"--")</f>
        <v>--</v>
      </c>
      <c r="J614" s="43" t="str">
        <f>IFERROR(ABS(E614/VLOOKUP(2*$B614,$B615:E648,4,TRUE)),"--")</f>
        <v>--</v>
      </c>
      <c r="K614" s="43" t="str">
        <f>IFERROR(ABS(F614/VLOOKUP(2*$B614,$B615:F648,5,TRUE)),"--")</f>
        <v>--</v>
      </c>
      <c r="L614" s="43" t="str">
        <f>IFERROR(ABS(G614/VLOOKUP(2*$B614,$B615:G648,6,TRUE)),"--")</f>
        <v>--</v>
      </c>
      <c r="M614" s="38">
        <f>IF(AND(1+$Q$6&gt;H614,1-$Q$6&lt;H614,1+$Q$6&gt;I614,1-$Q$6&lt;I614,1+$Q$6&gt;J614,1-$Q$6&lt;J614,1+$Q$6&gt;K614,1-$Q$6&lt;K614,1+$Q$6&gt;L614,1-$Q$6&lt;L614),IF(SUM($M$2:M613)=0,1,0),0)</f>
        <v>0</v>
      </c>
      <c r="N614" s="38">
        <f>IF(AND(1+$Q$7&gt;H614,1-$Q$7&lt;H614,1+$Q$7&gt;I614,1-$Q$7&lt;I614,1+$Q$7&gt;J614,1-$Q$7&lt;J614,1+$Q$7&gt;K614,1-$Q$7&lt;K614,1+$Q$7&gt;L614,1-$Q$7&lt;L614),IF(SUM($N$2:N613)=0,1,0),0)</f>
        <v>0</v>
      </c>
      <c r="O614" s="34">
        <f t="shared" si="9"/>
        <v>0</v>
      </c>
    </row>
    <row r="615" spans="8:15" ht="20.100000000000001" customHeight="1" x14ac:dyDescent="0.25">
      <c r="H615" s="43" t="str">
        <f>IFERROR(ABS(C615/VLOOKUP(2*$B615,$B616:C649,2,TRUE)),"--")</f>
        <v>--</v>
      </c>
      <c r="I615" s="43" t="str">
        <f>IFERROR(ABS(D615/VLOOKUP(2*$B615,$B616:D649,3,TRUE)),"--")</f>
        <v>--</v>
      </c>
      <c r="J615" s="43" t="str">
        <f>IFERROR(ABS(E615/VLOOKUP(2*$B615,$B616:E649,4,TRUE)),"--")</f>
        <v>--</v>
      </c>
      <c r="K615" s="43" t="str">
        <f>IFERROR(ABS(F615/VLOOKUP(2*$B615,$B616:F649,5,TRUE)),"--")</f>
        <v>--</v>
      </c>
      <c r="L615" s="43" t="str">
        <f>IFERROR(ABS(G615/VLOOKUP(2*$B615,$B616:G649,6,TRUE)),"--")</f>
        <v>--</v>
      </c>
      <c r="M615" s="38">
        <f>IF(AND(1+$Q$6&gt;H615,1-$Q$6&lt;H615,1+$Q$6&gt;I615,1-$Q$6&lt;I615,1+$Q$6&gt;J615,1-$Q$6&lt;J615,1+$Q$6&gt;K615,1-$Q$6&lt;K615,1+$Q$6&gt;L615,1-$Q$6&lt;L615),IF(SUM($M$2:M614)=0,1,0),0)</f>
        <v>0</v>
      </c>
      <c r="N615" s="38">
        <f>IF(AND(1+$Q$7&gt;H615,1-$Q$7&lt;H615,1+$Q$7&gt;I615,1-$Q$7&lt;I615,1+$Q$7&gt;J615,1-$Q$7&lt;J615,1+$Q$7&gt;K615,1-$Q$7&lt;K615,1+$Q$7&gt;L615,1-$Q$7&lt;L615),IF(SUM($N$2:N614)=0,1,0),0)</f>
        <v>0</v>
      </c>
      <c r="O615" s="34">
        <f t="shared" si="9"/>
        <v>0</v>
      </c>
    </row>
    <row r="616" spans="8:15" ht="20.100000000000001" customHeight="1" x14ac:dyDescent="0.25">
      <c r="H616" s="43" t="str">
        <f>IFERROR(ABS(C616/VLOOKUP(2*$B616,$B617:C650,2,TRUE)),"--")</f>
        <v>--</v>
      </c>
      <c r="I616" s="43" t="str">
        <f>IFERROR(ABS(D616/VLOOKUP(2*$B616,$B617:D650,3,TRUE)),"--")</f>
        <v>--</v>
      </c>
      <c r="J616" s="43" t="str">
        <f>IFERROR(ABS(E616/VLOOKUP(2*$B616,$B617:E650,4,TRUE)),"--")</f>
        <v>--</v>
      </c>
      <c r="K616" s="43" t="str">
        <f>IFERROR(ABS(F616/VLOOKUP(2*$B616,$B617:F650,5,TRUE)),"--")</f>
        <v>--</v>
      </c>
      <c r="L616" s="43" t="str">
        <f>IFERROR(ABS(G616/VLOOKUP(2*$B616,$B617:G650,6,TRUE)),"--")</f>
        <v>--</v>
      </c>
      <c r="M616" s="38">
        <f>IF(AND(1+$Q$6&gt;H616,1-$Q$6&lt;H616,1+$Q$6&gt;I616,1-$Q$6&lt;I616,1+$Q$6&gt;J616,1-$Q$6&lt;J616,1+$Q$6&gt;K616,1-$Q$6&lt;K616,1+$Q$6&gt;L616,1-$Q$6&lt;L616),IF(SUM($M$2:M615)=0,1,0),0)</f>
        <v>0</v>
      </c>
      <c r="N616" s="38">
        <f>IF(AND(1+$Q$7&gt;H616,1-$Q$7&lt;H616,1+$Q$7&gt;I616,1-$Q$7&lt;I616,1+$Q$7&gt;J616,1-$Q$7&lt;J616,1+$Q$7&gt;K616,1-$Q$7&lt;K616,1+$Q$7&gt;L616,1-$Q$7&lt;L616),IF(SUM($N$2:N615)=0,1,0),0)</f>
        <v>0</v>
      </c>
      <c r="O616" s="34">
        <f t="shared" si="9"/>
        <v>0</v>
      </c>
    </row>
    <row r="617" spans="8:15" ht="20.100000000000001" customHeight="1" x14ac:dyDescent="0.25">
      <c r="H617" s="43" t="str">
        <f>IFERROR(ABS(C617/VLOOKUP(2*$B617,$B618:C651,2,TRUE)),"--")</f>
        <v>--</v>
      </c>
      <c r="I617" s="43" t="str">
        <f>IFERROR(ABS(D617/VLOOKUP(2*$B617,$B618:D651,3,TRUE)),"--")</f>
        <v>--</v>
      </c>
      <c r="J617" s="43" t="str">
        <f>IFERROR(ABS(E617/VLOOKUP(2*$B617,$B618:E651,4,TRUE)),"--")</f>
        <v>--</v>
      </c>
      <c r="K617" s="43" t="str">
        <f>IFERROR(ABS(F617/VLOOKUP(2*$B617,$B618:F651,5,TRUE)),"--")</f>
        <v>--</v>
      </c>
      <c r="L617" s="43" t="str">
        <f>IFERROR(ABS(G617/VLOOKUP(2*$B617,$B618:G651,6,TRUE)),"--")</f>
        <v>--</v>
      </c>
      <c r="M617" s="38">
        <f>IF(AND(1+$Q$6&gt;H617,1-$Q$6&lt;H617,1+$Q$6&gt;I617,1-$Q$6&lt;I617,1+$Q$6&gt;J617,1-$Q$6&lt;J617,1+$Q$6&gt;K617,1-$Q$6&lt;K617,1+$Q$6&gt;L617,1-$Q$6&lt;L617),IF(SUM($M$2:M616)=0,1,0),0)</f>
        <v>0</v>
      </c>
      <c r="N617" s="38">
        <f>IF(AND(1+$Q$7&gt;H617,1-$Q$7&lt;H617,1+$Q$7&gt;I617,1-$Q$7&lt;I617,1+$Q$7&gt;J617,1-$Q$7&lt;J617,1+$Q$7&gt;K617,1-$Q$7&lt;K617,1+$Q$7&gt;L617,1-$Q$7&lt;L617),IF(SUM($N$2:N616)=0,1,0),0)</f>
        <v>0</v>
      </c>
      <c r="O617" s="34">
        <f t="shared" si="9"/>
        <v>0</v>
      </c>
    </row>
    <row r="618" spans="8:15" ht="20.100000000000001" customHeight="1" x14ac:dyDescent="0.25">
      <c r="H618" s="43" t="str">
        <f>IFERROR(ABS(C618/VLOOKUP(2*$B618,$B619:C652,2,TRUE)),"--")</f>
        <v>--</v>
      </c>
      <c r="I618" s="43" t="str">
        <f>IFERROR(ABS(D618/VLOOKUP(2*$B618,$B619:D652,3,TRUE)),"--")</f>
        <v>--</v>
      </c>
      <c r="J618" s="43" t="str">
        <f>IFERROR(ABS(E618/VLOOKUP(2*$B618,$B619:E652,4,TRUE)),"--")</f>
        <v>--</v>
      </c>
      <c r="K618" s="43" t="str">
        <f>IFERROR(ABS(F618/VLOOKUP(2*$B618,$B619:F652,5,TRUE)),"--")</f>
        <v>--</v>
      </c>
      <c r="L618" s="43" t="str">
        <f>IFERROR(ABS(G618/VLOOKUP(2*$B618,$B619:G652,6,TRUE)),"--")</f>
        <v>--</v>
      </c>
      <c r="M618" s="38">
        <f>IF(AND(1+$Q$6&gt;H618,1-$Q$6&lt;H618,1+$Q$6&gt;I618,1-$Q$6&lt;I618,1+$Q$6&gt;J618,1-$Q$6&lt;J618,1+$Q$6&gt;K618,1-$Q$6&lt;K618,1+$Q$6&gt;L618,1-$Q$6&lt;L618),IF(SUM($M$2:M617)=0,1,0),0)</f>
        <v>0</v>
      </c>
      <c r="N618" s="38">
        <f>IF(AND(1+$Q$7&gt;H618,1-$Q$7&lt;H618,1+$Q$7&gt;I618,1-$Q$7&lt;I618,1+$Q$7&gt;J618,1-$Q$7&lt;J618,1+$Q$7&gt;K618,1-$Q$7&lt;K618,1+$Q$7&gt;L618,1-$Q$7&lt;L618),IF(SUM($N$2:N617)=0,1,0),0)</f>
        <v>0</v>
      </c>
      <c r="O618" s="34">
        <f t="shared" si="9"/>
        <v>0</v>
      </c>
    </row>
    <row r="619" spans="8:15" ht="20.100000000000001" customHeight="1" x14ac:dyDescent="0.25">
      <c r="H619" s="43" t="str">
        <f>IFERROR(ABS(C619/VLOOKUP(2*$B619,$B620:C653,2,TRUE)),"--")</f>
        <v>--</v>
      </c>
      <c r="I619" s="43" t="str">
        <f>IFERROR(ABS(D619/VLOOKUP(2*$B619,$B620:D653,3,TRUE)),"--")</f>
        <v>--</v>
      </c>
      <c r="J619" s="43" t="str">
        <f>IFERROR(ABS(E619/VLOOKUP(2*$B619,$B620:E653,4,TRUE)),"--")</f>
        <v>--</v>
      </c>
      <c r="K619" s="43" t="str">
        <f>IFERROR(ABS(F619/VLOOKUP(2*$B619,$B620:F653,5,TRUE)),"--")</f>
        <v>--</v>
      </c>
      <c r="L619" s="43" t="str">
        <f>IFERROR(ABS(G619/VLOOKUP(2*$B619,$B620:G653,6,TRUE)),"--")</f>
        <v>--</v>
      </c>
      <c r="M619" s="38">
        <f>IF(AND(1+$Q$6&gt;H619,1-$Q$6&lt;H619,1+$Q$6&gt;I619,1-$Q$6&lt;I619,1+$Q$6&gt;J619,1-$Q$6&lt;J619,1+$Q$6&gt;K619,1-$Q$6&lt;K619,1+$Q$6&gt;L619,1-$Q$6&lt;L619),IF(SUM($M$2:M618)=0,1,0),0)</f>
        <v>0</v>
      </c>
      <c r="N619" s="38">
        <f>IF(AND(1+$Q$7&gt;H619,1-$Q$7&lt;H619,1+$Q$7&gt;I619,1-$Q$7&lt;I619,1+$Q$7&gt;J619,1-$Q$7&lt;J619,1+$Q$7&gt;K619,1-$Q$7&lt;K619,1+$Q$7&gt;L619,1-$Q$7&lt;L619),IF(SUM($N$2:N618)=0,1,0),0)</f>
        <v>0</v>
      </c>
      <c r="O619" s="34">
        <f t="shared" si="9"/>
        <v>0</v>
      </c>
    </row>
    <row r="620" spans="8:15" ht="20.100000000000001" customHeight="1" x14ac:dyDescent="0.25">
      <c r="H620" s="43" t="str">
        <f>IFERROR(ABS(C620/VLOOKUP(2*$B620,$B621:C654,2,TRUE)),"--")</f>
        <v>--</v>
      </c>
      <c r="I620" s="43" t="str">
        <f>IFERROR(ABS(D620/VLOOKUP(2*$B620,$B621:D654,3,TRUE)),"--")</f>
        <v>--</v>
      </c>
      <c r="J620" s="43" t="str">
        <f>IFERROR(ABS(E620/VLOOKUP(2*$B620,$B621:E654,4,TRUE)),"--")</f>
        <v>--</v>
      </c>
      <c r="K620" s="43" t="str">
        <f>IFERROR(ABS(F620/VLOOKUP(2*$B620,$B621:F654,5,TRUE)),"--")</f>
        <v>--</v>
      </c>
      <c r="L620" s="43" t="str">
        <f>IFERROR(ABS(G620/VLOOKUP(2*$B620,$B621:G654,6,TRUE)),"--")</f>
        <v>--</v>
      </c>
      <c r="M620" s="38">
        <f>IF(AND(1+$Q$6&gt;H620,1-$Q$6&lt;H620,1+$Q$6&gt;I620,1-$Q$6&lt;I620,1+$Q$6&gt;J620,1-$Q$6&lt;J620,1+$Q$6&gt;K620,1-$Q$6&lt;K620,1+$Q$6&gt;L620,1-$Q$6&lt;L620),IF(SUM($M$2:M619)=0,1,0),0)</f>
        <v>0</v>
      </c>
      <c r="N620" s="38">
        <f>IF(AND(1+$Q$7&gt;H620,1-$Q$7&lt;H620,1+$Q$7&gt;I620,1-$Q$7&lt;I620,1+$Q$7&gt;J620,1-$Q$7&lt;J620,1+$Q$7&gt;K620,1-$Q$7&lt;K620,1+$Q$7&gt;L620,1-$Q$7&lt;L620),IF(SUM($N$2:N619)=0,1,0),0)</f>
        <v>0</v>
      </c>
      <c r="O620" s="34">
        <f t="shared" si="9"/>
        <v>0</v>
      </c>
    </row>
    <row r="621" spans="8:15" ht="20.100000000000001" customHeight="1" x14ac:dyDescent="0.25">
      <c r="H621" s="43" t="str">
        <f>IFERROR(ABS(C621/VLOOKUP(2*$B621,$B622:C655,2,TRUE)),"--")</f>
        <v>--</v>
      </c>
      <c r="I621" s="43" t="str">
        <f>IFERROR(ABS(D621/VLOOKUP(2*$B621,$B622:D655,3,TRUE)),"--")</f>
        <v>--</v>
      </c>
      <c r="J621" s="43" t="str">
        <f>IFERROR(ABS(E621/VLOOKUP(2*$B621,$B622:E655,4,TRUE)),"--")</f>
        <v>--</v>
      </c>
      <c r="K621" s="43" t="str">
        <f>IFERROR(ABS(F621/VLOOKUP(2*$B621,$B622:F655,5,TRUE)),"--")</f>
        <v>--</v>
      </c>
      <c r="L621" s="43" t="str">
        <f>IFERROR(ABS(G621/VLOOKUP(2*$B621,$B622:G655,6,TRUE)),"--")</f>
        <v>--</v>
      </c>
      <c r="M621" s="38">
        <f>IF(AND(1+$Q$6&gt;H621,1-$Q$6&lt;H621,1+$Q$6&gt;I621,1-$Q$6&lt;I621,1+$Q$6&gt;J621,1-$Q$6&lt;J621,1+$Q$6&gt;K621,1-$Q$6&lt;K621,1+$Q$6&gt;L621,1-$Q$6&lt;L621),IF(SUM($M$2:M620)=0,1,0),0)</f>
        <v>0</v>
      </c>
      <c r="N621" s="38">
        <f>IF(AND(1+$Q$7&gt;H621,1-$Q$7&lt;H621,1+$Q$7&gt;I621,1-$Q$7&lt;I621,1+$Q$7&gt;J621,1-$Q$7&lt;J621,1+$Q$7&gt;K621,1-$Q$7&lt;K621,1+$Q$7&gt;L621,1-$Q$7&lt;L621),IF(SUM($N$2:N620)=0,1,0),0)</f>
        <v>0</v>
      </c>
      <c r="O621" s="34">
        <f t="shared" si="9"/>
        <v>0</v>
      </c>
    </row>
    <row r="622" spans="8:15" ht="20.100000000000001" customHeight="1" x14ac:dyDescent="0.25">
      <c r="H622" s="43" t="str">
        <f>IFERROR(ABS(C622/VLOOKUP(2*$B622,$B623:C656,2,TRUE)),"--")</f>
        <v>--</v>
      </c>
      <c r="I622" s="43" t="str">
        <f>IFERROR(ABS(D622/VLOOKUP(2*$B622,$B623:D656,3,TRUE)),"--")</f>
        <v>--</v>
      </c>
      <c r="J622" s="43" t="str">
        <f>IFERROR(ABS(E622/VLOOKUP(2*$B622,$B623:E656,4,TRUE)),"--")</f>
        <v>--</v>
      </c>
      <c r="K622" s="43" t="str">
        <f>IFERROR(ABS(F622/VLOOKUP(2*$B622,$B623:F656,5,TRUE)),"--")</f>
        <v>--</v>
      </c>
      <c r="L622" s="43" t="str">
        <f>IFERROR(ABS(G622/VLOOKUP(2*$B622,$B623:G656,6,TRUE)),"--")</f>
        <v>--</v>
      </c>
      <c r="M622" s="38">
        <f>IF(AND(1+$Q$6&gt;H622,1-$Q$6&lt;H622,1+$Q$6&gt;I622,1-$Q$6&lt;I622,1+$Q$6&gt;J622,1-$Q$6&lt;J622,1+$Q$6&gt;K622,1-$Q$6&lt;K622,1+$Q$6&gt;L622,1-$Q$6&lt;L622),IF(SUM($M$2:M621)=0,1,0),0)</f>
        <v>0</v>
      </c>
      <c r="N622" s="38">
        <f>IF(AND(1+$Q$7&gt;H622,1-$Q$7&lt;H622,1+$Q$7&gt;I622,1-$Q$7&lt;I622,1+$Q$7&gt;J622,1-$Q$7&lt;J622,1+$Q$7&gt;K622,1-$Q$7&lt;K622,1+$Q$7&gt;L622,1-$Q$7&lt;L622),IF(SUM($N$2:N621)=0,1,0),0)</f>
        <v>0</v>
      </c>
      <c r="O622" s="34">
        <f t="shared" si="9"/>
        <v>0</v>
      </c>
    </row>
    <row r="623" spans="8:15" ht="20.100000000000001" customHeight="1" x14ac:dyDescent="0.25">
      <c r="H623" s="43" t="str">
        <f>IFERROR(ABS(C623/VLOOKUP(2*$B623,$B624:C657,2,TRUE)),"--")</f>
        <v>--</v>
      </c>
      <c r="I623" s="43" t="str">
        <f>IFERROR(ABS(D623/VLOOKUP(2*$B623,$B624:D657,3,TRUE)),"--")</f>
        <v>--</v>
      </c>
      <c r="J623" s="43" t="str">
        <f>IFERROR(ABS(E623/VLOOKUP(2*$B623,$B624:E657,4,TRUE)),"--")</f>
        <v>--</v>
      </c>
      <c r="K623" s="43" t="str">
        <f>IFERROR(ABS(F623/VLOOKUP(2*$B623,$B624:F657,5,TRUE)),"--")</f>
        <v>--</v>
      </c>
      <c r="L623" s="43" t="str">
        <f>IFERROR(ABS(G623/VLOOKUP(2*$B623,$B624:G657,6,TRUE)),"--")</f>
        <v>--</v>
      </c>
      <c r="M623" s="38">
        <f>IF(AND(1+$Q$6&gt;H623,1-$Q$6&lt;H623,1+$Q$6&gt;I623,1-$Q$6&lt;I623,1+$Q$6&gt;J623,1-$Q$6&lt;J623,1+$Q$6&gt;K623,1-$Q$6&lt;K623,1+$Q$6&gt;L623,1-$Q$6&lt;L623),IF(SUM($M$2:M622)=0,1,0),0)</f>
        <v>0</v>
      </c>
      <c r="N623" s="38">
        <f>IF(AND(1+$Q$7&gt;H623,1-$Q$7&lt;H623,1+$Q$7&gt;I623,1-$Q$7&lt;I623,1+$Q$7&gt;J623,1-$Q$7&lt;J623,1+$Q$7&gt;K623,1-$Q$7&lt;K623,1+$Q$7&gt;L623,1-$Q$7&lt;L623),IF(SUM($N$2:N622)=0,1,0),0)</f>
        <v>0</v>
      </c>
      <c r="O623" s="34">
        <f t="shared" si="9"/>
        <v>0</v>
      </c>
    </row>
    <row r="624" spans="8:15" ht="20.100000000000001" customHeight="1" x14ac:dyDescent="0.25">
      <c r="H624" s="43" t="str">
        <f>IFERROR(ABS(C624/VLOOKUP(2*$B624,$B625:C658,2,TRUE)),"--")</f>
        <v>--</v>
      </c>
      <c r="I624" s="43" t="str">
        <f>IFERROR(ABS(D624/VLOOKUP(2*$B624,$B625:D658,3,TRUE)),"--")</f>
        <v>--</v>
      </c>
      <c r="J624" s="43" t="str">
        <f>IFERROR(ABS(E624/VLOOKUP(2*$B624,$B625:E658,4,TRUE)),"--")</f>
        <v>--</v>
      </c>
      <c r="K624" s="43" t="str">
        <f>IFERROR(ABS(F624/VLOOKUP(2*$B624,$B625:F658,5,TRUE)),"--")</f>
        <v>--</v>
      </c>
      <c r="L624" s="43" t="str">
        <f>IFERROR(ABS(G624/VLOOKUP(2*$B624,$B625:G658,6,TRUE)),"--")</f>
        <v>--</v>
      </c>
      <c r="M624" s="38">
        <f>IF(AND(1+$Q$6&gt;H624,1-$Q$6&lt;H624,1+$Q$6&gt;I624,1-$Q$6&lt;I624,1+$Q$6&gt;J624,1-$Q$6&lt;J624,1+$Q$6&gt;K624,1-$Q$6&lt;K624,1+$Q$6&gt;L624,1-$Q$6&lt;L624),IF(SUM($M$2:M623)=0,1,0),0)</f>
        <v>0</v>
      </c>
      <c r="N624" s="38">
        <f>IF(AND(1+$Q$7&gt;H624,1-$Q$7&lt;H624,1+$Q$7&gt;I624,1-$Q$7&lt;I624,1+$Q$7&gt;J624,1-$Q$7&lt;J624,1+$Q$7&gt;K624,1-$Q$7&lt;K624,1+$Q$7&gt;L624,1-$Q$7&lt;L624),IF(SUM($N$2:N623)=0,1,0),0)</f>
        <v>0</v>
      </c>
      <c r="O624" s="34">
        <f t="shared" si="9"/>
        <v>0</v>
      </c>
    </row>
    <row r="625" spans="8:15" ht="20.100000000000001" customHeight="1" x14ac:dyDescent="0.25">
      <c r="H625" s="43" t="str">
        <f>IFERROR(ABS(C625/VLOOKUP(2*$B625,$B626:C659,2,TRUE)),"--")</f>
        <v>--</v>
      </c>
      <c r="I625" s="43" t="str">
        <f>IFERROR(ABS(D625/VLOOKUP(2*$B625,$B626:D659,3,TRUE)),"--")</f>
        <v>--</v>
      </c>
      <c r="J625" s="43" t="str">
        <f>IFERROR(ABS(E625/VLOOKUP(2*$B625,$B626:E659,4,TRUE)),"--")</f>
        <v>--</v>
      </c>
      <c r="K625" s="43" t="str">
        <f>IFERROR(ABS(F625/VLOOKUP(2*$B625,$B626:F659,5,TRUE)),"--")</f>
        <v>--</v>
      </c>
      <c r="L625" s="43" t="str">
        <f>IFERROR(ABS(G625/VLOOKUP(2*$B625,$B626:G659,6,TRUE)),"--")</f>
        <v>--</v>
      </c>
      <c r="M625" s="38">
        <f>IF(AND(1+$Q$6&gt;H625,1-$Q$6&lt;H625,1+$Q$6&gt;I625,1-$Q$6&lt;I625,1+$Q$6&gt;J625,1-$Q$6&lt;J625,1+$Q$6&gt;K625,1-$Q$6&lt;K625,1+$Q$6&gt;L625,1-$Q$6&lt;L625),IF(SUM($M$2:M624)=0,1,0),0)</f>
        <v>0</v>
      </c>
      <c r="N625" s="38">
        <f>IF(AND(1+$Q$7&gt;H625,1-$Q$7&lt;H625,1+$Q$7&gt;I625,1-$Q$7&lt;I625,1+$Q$7&gt;J625,1-$Q$7&lt;J625,1+$Q$7&gt;K625,1-$Q$7&lt;K625,1+$Q$7&gt;L625,1-$Q$7&lt;L625),IF(SUM($N$2:N624)=0,1,0),0)</f>
        <v>0</v>
      </c>
      <c r="O625" s="34">
        <f t="shared" si="9"/>
        <v>0</v>
      </c>
    </row>
    <row r="626" spans="8:15" ht="20.100000000000001" customHeight="1" x14ac:dyDescent="0.25">
      <c r="H626" s="43" t="str">
        <f>IFERROR(ABS(C626/VLOOKUP(2*$B626,$B627:C660,2,TRUE)),"--")</f>
        <v>--</v>
      </c>
      <c r="I626" s="43" t="str">
        <f>IFERROR(ABS(D626/VLOOKUP(2*$B626,$B627:D660,3,TRUE)),"--")</f>
        <v>--</v>
      </c>
      <c r="J626" s="43" t="str">
        <f>IFERROR(ABS(E626/VLOOKUP(2*$B626,$B627:E660,4,TRUE)),"--")</f>
        <v>--</v>
      </c>
      <c r="K626" s="43" t="str">
        <f>IFERROR(ABS(F626/VLOOKUP(2*$B626,$B627:F660,5,TRUE)),"--")</f>
        <v>--</v>
      </c>
      <c r="L626" s="43" t="str">
        <f>IFERROR(ABS(G626/VLOOKUP(2*$B626,$B627:G660,6,TRUE)),"--")</f>
        <v>--</v>
      </c>
      <c r="M626" s="38">
        <f>IF(AND(1+$Q$6&gt;H626,1-$Q$6&lt;H626,1+$Q$6&gt;I626,1-$Q$6&lt;I626,1+$Q$6&gt;J626,1-$Q$6&lt;J626,1+$Q$6&gt;K626,1-$Q$6&lt;K626,1+$Q$6&gt;L626,1-$Q$6&lt;L626),IF(SUM($M$2:M625)=0,1,0),0)</f>
        <v>0</v>
      </c>
      <c r="N626" s="38">
        <f>IF(AND(1+$Q$7&gt;H626,1-$Q$7&lt;H626,1+$Q$7&gt;I626,1-$Q$7&lt;I626,1+$Q$7&gt;J626,1-$Q$7&lt;J626,1+$Q$7&gt;K626,1-$Q$7&lt;K626,1+$Q$7&gt;L626,1-$Q$7&lt;L626),IF(SUM($N$2:N625)=0,1,0),0)</f>
        <v>0</v>
      </c>
      <c r="O626" s="34">
        <f t="shared" si="9"/>
        <v>0</v>
      </c>
    </row>
    <row r="627" spans="8:15" ht="20.100000000000001" customHeight="1" x14ac:dyDescent="0.25">
      <c r="H627" s="43" t="str">
        <f>IFERROR(ABS(C627/VLOOKUP(2*$B627,$B628:C661,2,TRUE)),"--")</f>
        <v>--</v>
      </c>
      <c r="I627" s="43" t="str">
        <f>IFERROR(ABS(D627/VLOOKUP(2*$B627,$B628:D661,3,TRUE)),"--")</f>
        <v>--</v>
      </c>
      <c r="J627" s="43" t="str">
        <f>IFERROR(ABS(E627/VLOOKUP(2*$B627,$B628:E661,4,TRUE)),"--")</f>
        <v>--</v>
      </c>
      <c r="K627" s="43" t="str">
        <f>IFERROR(ABS(F627/VLOOKUP(2*$B627,$B628:F661,5,TRUE)),"--")</f>
        <v>--</v>
      </c>
      <c r="L627" s="43" t="str">
        <f>IFERROR(ABS(G627/VLOOKUP(2*$B627,$B628:G661,6,TRUE)),"--")</f>
        <v>--</v>
      </c>
      <c r="M627" s="38">
        <f>IF(AND(1+$Q$6&gt;H627,1-$Q$6&lt;H627,1+$Q$6&gt;I627,1-$Q$6&lt;I627,1+$Q$6&gt;J627,1-$Q$6&lt;J627,1+$Q$6&gt;K627,1-$Q$6&lt;K627,1+$Q$6&gt;L627,1-$Q$6&lt;L627),IF(SUM($M$2:M626)=0,1,0),0)</f>
        <v>0</v>
      </c>
      <c r="N627" s="38">
        <f>IF(AND(1+$Q$7&gt;H627,1-$Q$7&lt;H627,1+$Q$7&gt;I627,1-$Q$7&lt;I627,1+$Q$7&gt;J627,1-$Q$7&lt;J627,1+$Q$7&gt;K627,1-$Q$7&lt;K627,1+$Q$7&gt;L627,1-$Q$7&lt;L627),IF(SUM($N$2:N626)=0,1,0),0)</f>
        <v>0</v>
      </c>
      <c r="O627" s="34">
        <f t="shared" si="9"/>
        <v>0</v>
      </c>
    </row>
    <row r="628" spans="8:15" ht="20.100000000000001" customHeight="1" x14ac:dyDescent="0.25">
      <c r="H628" s="43" t="str">
        <f>IFERROR(ABS(C628/VLOOKUP(2*$B628,$B629:C662,2,TRUE)),"--")</f>
        <v>--</v>
      </c>
      <c r="I628" s="43" t="str">
        <f>IFERROR(ABS(D628/VLOOKUP(2*$B628,$B629:D662,3,TRUE)),"--")</f>
        <v>--</v>
      </c>
      <c r="J628" s="43" t="str">
        <f>IFERROR(ABS(E628/VLOOKUP(2*$B628,$B629:E662,4,TRUE)),"--")</f>
        <v>--</v>
      </c>
      <c r="K628" s="43" t="str">
        <f>IFERROR(ABS(F628/VLOOKUP(2*$B628,$B629:F662,5,TRUE)),"--")</f>
        <v>--</v>
      </c>
      <c r="L628" s="43" t="str">
        <f>IFERROR(ABS(G628/VLOOKUP(2*$B628,$B629:G662,6,TRUE)),"--")</f>
        <v>--</v>
      </c>
      <c r="M628" s="38">
        <f>IF(AND(1+$Q$6&gt;H628,1-$Q$6&lt;H628,1+$Q$6&gt;I628,1-$Q$6&lt;I628,1+$Q$6&gt;J628,1-$Q$6&lt;J628,1+$Q$6&gt;K628,1-$Q$6&lt;K628,1+$Q$6&gt;L628,1-$Q$6&lt;L628),IF(SUM($M$2:M627)=0,1,0),0)</f>
        <v>0</v>
      </c>
      <c r="N628" s="38">
        <f>IF(AND(1+$Q$7&gt;H628,1-$Q$7&lt;H628,1+$Q$7&gt;I628,1-$Q$7&lt;I628,1+$Q$7&gt;J628,1-$Q$7&lt;J628,1+$Q$7&gt;K628,1-$Q$7&lt;K628,1+$Q$7&gt;L628,1-$Q$7&lt;L628),IF(SUM($N$2:N627)=0,1,0),0)</f>
        <v>0</v>
      </c>
      <c r="O628" s="34">
        <f t="shared" si="9"/>
        <v>0</v>
      </c>
    </row>
    <row r="629" spans="8:15" ht="20.100000000000001" customHeight="1" x14ac:dyDescent="0.25">
      <c r="H629" s="43" t="str">
        <f>IFERROR(ABS(C629/VLOOKUP(2*$B629,$B630:C663,2,TRUE)),"--")</f>
        <v>--</v>
      </c>
      <c r="I629" s="43" t="str">
        <f>IFERROR(ABS(D629/VLOOKUP(2*$B629,$B630:D663,3,TRUE)),"--")</f>
        <v>--</v>
      </c>
      <c r="J629" s="43" t="str">
        <f>IFERROR(ABS(E629/VLOOKUP(2*$B629,$B630:E663,4,TRUE)),"--")</f>
        <v>--</v>
      </c>
      <c r="K629" s="43" t="str">
        <f>IFERROR(ABS(F629/VLOOKUP(2*$B629,$B630:F663,5,TRUE)),"--")</f>
        <v>--</v>
      </c>
      <c r="L629" s="43" t="str">
        <f>IFERROR(ABS(G629/VLOOKUP(2*$B629,$B630:G663,6,TRUE)),"--")</f>
        <v>--</v>
      </c>
      <c r="M629" s="38">
        <f>IF(AND(1+$Q$6&gt;H629,1-$Q$6&lt;H629,1+$Q$6&gt;I629,1-$Q$6&lt;I629,1+$Q$6&gt;J629,1-$Q$6&lt;J629,1+$Q$6&gt;K629,1-$Q$6&lt;K629,1+$Q$6&gt;L629,1-$Q$6&lt;L629),IF(SUM($M$2:M628)=0,1,0),0)</f>
        <v>0</v>
      </c>
      <c r="N629" s="38">
        <f>IF(AND(1+$Q$7&gt;H629,1-$Q$7&lt;H629,1+$Q$7&gt;I629,1-$Q$7&lt;I629,1+$Q$7&gt;J629,1-$Q$7&lt;J629,1+$Q$7&gt;K629,1-$Q$7&lt;K629,1+$Q$7&gt;L629,1-$Q$7&lt;L629),IF(SUM($N$2:N628)=0,1,0),0)</f>
        <v>0</v>
      </c>
      <c r="O629" s="34">
        <f t="shared" si="9"/>
        <v>0</v>
      </c>
    </row>
    <row r="630" spans="8:15" ht="20.100000000000001" customHeight="1" x14ac:dyDescent="0.25">
      <c r="H630" s="43" t="str">
        <f>IFERROR(ABS(C630/VLOOKUP(2*$B630,$B631:C664,2,TRUE)),"--")</f>
        <v>--</v>
      </c>
      <c r="I630" s="43" t="str">
        <f>IFERROR(ABS(D630/VLOOKUP(2*$B630,$B631:D664,3,TRUE)),"--")</f>
        <v>--</v>
      </c>
      <c r="J630" s="43" t="str">
        <f>IFERROR(ABS(E630/VLOOKUP(2*$B630,$B631:E664,4,TRUE)),"--")</f>
        <v>--</v>
      </c>
      <c r="K630" s="43" t="str">
        <f>IFERROR(ABS(F630/VLOOKUP(2*$B630,$B631:F664,5,TRUE)),"--")</f>
        <v>--</v>
      </c>
      <c r="L630" s="43" t="str">
        <f>IFERROR(ABS(G630/VLOOKUP(2*$B630,$B631:G664,6,TRUE)),"--")</f>
        <v>--</v>
      </c>
      <c r="M630" s="38">
        <f>IF(AND(1+$Q$6&gt;H630,1-$Q$6&lt;H630,1+$Q$6&gt;I630,1-$Q$6&lt;I630,1+$Q$6&gt;J630,1-$Q$6&lt;J630,1+$Q$6&gt;K630,1-$Q$6&lt;K630,1+$Q$6&gt;L630,1-$Q$6&lt;L630),IF(SUM($M$2:M629)=0,1,0),0)</f>
        <v>0</v>
      </c>
      <c r="N630" s="38">
        <f>IF(AND(1+$Q$7&gt;H630,1-$Q$7&lt;H630,1+$Q$7&gt;I630,1-$Q$7&lt;I630,1+$Q$7&gt;J630,1-$Q$7&lt;J630,1+$Q$7&gt;K630,1-$Q$7&lt;K630,1+$Q$7&gt;L630,1-$Q$7&lt;L630),IF(SUM($N$2:N629)=0,1,0),0)</f>
        <v>0</v>
      </c>
      <c r="O630" s="34">
        <f t="shared" si="9"/>
        <v>0</v>
      </c>
    </row>
    <row r="631" spans="8:15" ht="20.100000000000001" customHeight="1" x14ac:dyDescent="0.25">
      <c r="H631" s="43" t="str">
        <f>IFERROR(ABS(C631/VLOOKUP(2*$B631,$B632:C665,2,TRUE)),"--")</f>
        <v>--</v>
      </c>
      <c r="I631" s="43" t="str">
        <f>IFERROR(ABS(D631/VLOOKUP(2*$B631,$B632:D665,3,TRUE)),"--")</f>
        <v>--</v>
      </c>
      <c r="J631" s="43" t="str">
        <f>IFERROR(ABS(E631/VLOOKUP(2*$B631,$B632:E665,4,TRUE)),"--")</f>
        <v>--</v>
      </c>
      <c r="K631" s="43" t="str">
        <f>IFERROR(ABS(F631/VLOOKUP(2*$B631,$B632:F665,5,TRUE)),"--")</f>
        <v>--</v>
      </c>
      <c r="L631" s="43" t="str">
        <f>IFERROR(ABS(G631/VLOOKUP(2*$B631,$B632:G665,6,TRUE)),"--")</f>
        <v>--</v>
      </c>
      <c r="M631" s="38">
        <f>IF(AND(1+$Q$6&gt;H631,1-$Q$6&lt;H631,1+$Q$6&gt;I631,1-$Q$6&lt;I631,1+$Q$6&gt;J631,1-$Q$6&lt;J631,1+$Q$6&gt;K631,1-$Q$6&lt;K631,1+$Q$6&gt;L631,1-$Q$6&lt;L631),IF(SUM($M$2:M630)=0,1,0),0)</f>
        <v>0</v>
      </c>
      <c r="N631" s="38">
        <f>IF(AND(1+$Q$7&gt;H631,1-$Q$7&lt;H631,1+$Q$7&gt;I631,1-$Q$7&lt;I631,1+$Q$7&gt;J631,1-$Q$7&lt;J631,1+$Q$7&gt;K631,1-$Q$7&lt;K631,1+$Q$7&gt;L631,1-$Q$7&lt;L631),IF(SUM($N$2:N630)=0,1,0),0)</f>
        <v>0</v>
      </c>
      <c r="O631" s="34">
        <f t="shared" si="9"/>
        <v>0</v>
      </c>
    </row>
    <row r="632" spans="8:15" ht="20.100000000000001" customHeight="1" x14ac:dyDescent="0.25">
      <c r="H632" s="43" t="str">
        <f>IFERROR(ABS(C632/VLOOKUP(2*$B632,$B633:C666,2,TRUE)),"--")</f>
        <v>--</v>
      </c>
      <c r="I632" s="43" t="str">
        <f>IFERROR(ABS(D632/VLOOKUP(2*$B632,$B633:D666,3,TRUE)),"--")</f>
        <v>--</v>
      </c>
      <c r="J632" s="43" t="str">
        <f>IFERROR(ABS(E632/VLOOKUP(2*$B632,$B633:E666,4,TRUE)),"--")</f>
        <v>--</v>
      </c>
      <c r="K632" s="43" t="str">
        <f>IFERROR(ABS(F632/VLOOKUP(2*$B632,$B633:F666,5,TRUE)),"--")</f>
        <v>--</v>
      </c>
      <c r="L632" s="43" t="str">
        <f>IFERROR(ABS(G632/VLOOKUP(2*$B632,$B633:G666,6,TRUE)),"--")</f>
        <v>--</v>
      </c>
      <c r="M632" s="38">
        <f>IF(AND(1+$Q$6&gt;H632,1-$Q$6&lt;H632,1+$Q$6&gt;I632,1-$Q$6&lt;I632,1+$Q$6&gt;J632,1-$Q$6&lt;J632,1+$Q$6&gt;K632,1-$Q$6&lt;K632,1+$Q$6&gt;L632,1-$Q$6&lt;L632),IF(SUM($M$2:M631)=0,1,0),0)</f>
        <v>0</v>
      </c>
      <c r="N632" s="38">
        <f>IF(AND(1+$Q$7&gt;H632,1-$Q$7&lt;H632,1+$Q$7&gt;I632,1-$Q$7&lt;I632,1+$Q$7&gt;J632,1-$Q$7&lt;J632,1+$Q$7&gt;K632,1-$Q$7&lt;K632,1+$Q$7&gt;L632,1-$Q$7&lt;L632),IF(SUM($N$2:N631)=0,1,0),0)</f>
        <v>0</v>
      </c>
      <c r="O632" s="34">
        <f t="shared" si="9"/>
        <v>0</v>
      </c>
    </row>
    <row r="633" spans="8:15" ht="20.100000000000001" customHeight="1" x14ac:dyDescent="0.25">
      <c r="H633" s="43" t="str">
        <f>IFERROR(ABS(C633/VLOOKUP(2*$B633,$B634:C667,2,TRUE)),"--")</f>
        <v>--</v>
      </c>
      <c r="I633" s="43" t="str">
        <f>IFERROR(ABS(D633/VLOOKUP(2*$B633,$B634:D667,3,TRUE)),"--")</f>
        <v>--</v>
      </c>
      <c r="J633" s="43" t="str">
        <f>IFERROR(ABS(E633/VLOOKUP(2*$B633,$B634:E667,4,TRUE)),"--")</f>
        <v>--</v>
      </c>
      <c r="K633" s="43" t="str">
        <f>IFERROR(ABS(F633/VLOOKUP(2*$B633,$B634:F667,5,TRUE)),"--")</f>
        <v>--</v>
      </c>
      <c r="L633" s="43" t="str">
        <f>IFERROR(ABS(G633/VLOOKUP(2*$B633,$B634:G667,6,TRUE)),"--")</f>
        <v>--</v>
      </c>
      <c r="M633" s="38">
        <f>IF(AND(1+$Q$6&gt;H633,1-$Q$6&lt;H633,1+$Q$6&gt;I633,1-$Q$6&lt;I633,1+$Q$6&gt;J633,1-$Q$6&lt;J633,1+$Q$6&gt;K633,1-$Q$6&lt;K633,1+$Q$6&gt;L633,1-$Q$6&lt;L633),IF(SUM($M$2:M632)=0,1,0),0)</f>
        <v>0</v>
      </c>
      <c r="N633" s="38">
        <f>IF(AND(1+$Q$7&gt;H633,1-$Q$7&lt;H633,1+$Q$7&gt;I633,1-$Q$7&lt;I633,1+$Q$7&gt;J633,1-$Q$7&lt;J633,1+$Q$7&gt;K633,1-$Q$7&lt;K633,1+$Q$7&gt;L633,1-$Q$7&lt;L633),IF(SUM($N$2:N632)=0,1,0),0)</f>
        <v>0</v>
      </c>
      <c r="O633" s="34">
        <f t="shared" si="9"/>
        <v>0</v>
      </c>
    </row>
    <row r="634" spans="8:15" ht="20.100000000000001" customHeight="1" x14ac:dyDescent="0.25">
      <c r="H634" s="43" t="str">
        <f>IFERROR(ABS(C634/VLOOKUP(2*$B634,$B635:C668,2,TRUE)),"--")</f>
        <v>--</v>
      </c>
      <c r="I634" s="43" t="str">
        <f>IFERROR(ABS(D634/VLOOKUP(2*$B634,$B635:D668,3,TRUE)),"--")</f>
        <v>--</v>
      </c>
      <c r="J634" s="43" t="str">
        <f>IFERROR(ABS(E634/VLOOKUP(2*$B634,$B635:E668,4,TRUE)),"--")</f>
        <v>--</v>
      </c>
      <c r="K634" s="43" t="str">
        <f>IFERROR(ABS(F634/VLOOKUP(2*$B634,$B635:F668,5,TRUE)),"--")</f>
        <v>--</v>
      </c>
      <c r="L634" s="43" t="str">
        <f>IFERROR(ABS(G634/VLOOKUP(2*$B634,$B635:G668,6,TRUE)),"--")</f>
        <v>--</v>
      </c>
      <c r="M634" s="38">
        <f>IF(AND(1+$Q$6&gt;H634,1-$Q$6&lt;H634,1+$Q$6&gt;I634,1-$Q$6&lt;I634,1+$Q$6&gt;J634,1-$Q$6&lt;J634,1+$Q$6&gt;K634,1-$Q$6&lt;K634,1+$Q$6&gt;L634,1-$Q$6&lt;L634),IF(SUM($M$2:M633)=0,1,0),0)</f>
        <v>0</v>
      </c>
      <c r="N634" s="38">
        <f>IF(AND(1+$Q$7&gt;H634,1-$Q$7&lt;H634,1+$Q$7&gt;I634,1-$Q$7&lt;I634,1+$Q$7&gt;J634,1-$Q$7&lt;J634,1+$Q$7&gt;K634,1-$Q$7&lt;K634,1+$Q$7&gt;L634,1-$Q$7&lt;L634),IF(SUM($N$2:N633)=0,1,0),0)</f>
        <v>0</v>
      </c>
      <c r="O634" s="34">
        <f t="shared" si="9"/>
        <v>0</v>
      </c>
    </row>
    <row r="635" spans="8:15" ht="20.100000000000001" customHeight="1" x14ac:dyDescent="0.25">
      <c r="H635" s="43" t="str">
        <f>IFERROR(ABS(C635/VLOOKUP(2*$B635,$B636:C669,2,TRUE)),"--")</f>
        <v>--</v>
      </c>
      <c r="I635" s="43" t="str">
        <f>IFERROR(ABS(D635/VLOOKUP(2*$B635,$B636:D669,3,TRUE)),"--")</f>
        <v>--</v>
      </c>
      <c r="J635" s="43" t="str">
        <f>IFERROR(ABS(E635/VLOOKUP(2*$B635,$B636:E669,4,TRUE)),"--")</f>
        <v>--</v>
      </c>
      <c r="K635" s="43" t="str">
        <f>IFERROR(ABS(F635/VLOOKUP(2*$B635,$B636:F669,5,TRUE)),"--")</f>
        <v>--</v>
      </c>
      <c r="L635" s="43" t="str">
        <f>IFERROR(ABS(G635/VLOOKUP(2*$B635,$B636:G669,6,TRUE)),"--")</f>
        <v>--</v>
      </c>
      <c r="M635" s="38">
        <f>IF(AND(1+$Q$6&gt;H635,1-$Q$6&lt;H635,1+$Q$6&gt;I635,1-$Q$6&lt;I635,1+$Q$6&gt;J635,1-$Q$6&lt;J635,1+$Q$6&gt;K635,1-$Q$6&lt;K635,1+$Q$6&gt;L635,1-$Q$6&lt;L635),IF(SUM($M$2:M634)=0,1,0),0)</f>
        <v>0</v>
      </c>
      <c r="N635" s="38">
        <f>IF(AND(1+$Q$7&gt;H635,1-$Q$7&lt;H635,1+$Q$7&gt;I635,1-$Q$7&lt;I635,1+$Q$7&gt;J635,1-$Q$7&lt;J635,1+$Q$7&gt;K635,1-$Q$7&lt;K635,1+$Q$7&gt;L635,1-$Q$7&lt;L635),IF(SUM($N$2:N634)=0,1,0),0)</f>
        <v>0</v>
      </c>
      <c r="O635" s="34">
        <f t="shared" si="9"/>
        <v>0</v>
      </c>
    </row>
    <row r="636" spans="8:15" ht="20.100000000000001" customHeight="1" x14ac:dyDescent="0.25">
      <c r="H636" s="43" t="str">
        <f>IFERROR(ABS(C636/VLOOKUP(2*$B636,$B637:C670,2,TRUE)),"--")</f>
        <v>--</v>
      </c>
      <c r="I636" s="43" t="str">
        <f>IFERROR(ABS(D636/VLOOKUP(2*$B636,$B637:D670,3,TRUE)),"--")</f>
        <v>--</v>
      </c>
      <c r="J636" s="43" t="str">
        <f>IFERROR(ABS(E636/VLOOKUP(2*$B636,$B637:E670,4,TRUE)),"--")</f>
        <v>--</v>
      </c>
      <c r="K636" s="43" t="str">
        <f>IFERROR(ABS(F636/VLOOKUP(2*$B636,$B637:F670,5,TRUE)),"--")</f>
        <v>--</v>
      </c>
      <c r="L636" s="43" t="str">
        <f>IFERROR(ABS(G636/VLOOKUP(2*$B636,$B637:G670,6,TRUE)),"--")</f>
        <v>--</v>
      </c>
      <c r="M636" s="38">
        <f>IF(AND(1+$Q$6&gt;H636,1-$Q$6&lt;H636,1+$Q$6&gt;I636,1-$Q$6&lt;I636,1+$Q$6&gt;J636,1-$Q$6&lt;J636,1+$Q$6&gt;K636,1-$Q$6&lt;K636,1+$Q$6&gt;L636,1-$Q$6&lt;L636),IF(SUM($M$2:M635)=0,1,0),0)</f>
        <v>0</v>
      </c>
      <c r="N636" s="38">
        <f>IF(AND(1+$Q$7&gt;H636,1-$Q$7&lt;H636,1+$Q$7&gt;I636,1-$Q$7&lt;I636,1+$Q$7&gt;J636,1-$Q$7&lt;J636,1+$Q$7&gt;K636,1-$Q$7&lt;K636,1+$Q$7&gt;L636,1-$Q$7&lt;L636),IF(SUM($N$2:N635)=0,1,0),0)</f>
        <v>0</v>
      </c>
      <c r="O636" s="34">
        <f t="shared" si="9"/>
        <v>0</v>
      </c>
    </row>
    <row r="637" spans="8:15" ht="20.100000000000001" customHeight="1" x14ac:dyDescent="0.25">
      <c r="H637" s="43" t="str">
        <f>IFERROR(ABS(C637/VLOOKUP(2*$B637,$B638:C671,2,TRUE)),"--")</f>
        <v>--</v>
      </c>
      <c r="I637" s="43" t="str">
        <f>IFERROR(ABS(D637/VLOOKUP(2*$B637,$B638:D671,3,TRUE)),"--")</f>
        <v>--</v>
      </c>
      <c r="J637" s="43" t="str">
        <f>IFERROR(ABS(E637/VLOOKUP(2*$B637,$B638:E671,4,TRUE)),"--")</f>
        <v>--</v>
      </c>
      <c r="K637" s="43" t="str">
        <f>IFERROR(ABS(F637/VLOOKUP(2*$B637,$B638:F671,5,TRUE)),"--")</f>
        <v>--</v>
      </c>
      <c r="L637" s="43" t="str">
        <f>IFERROR(ABS(G637/VLOOKUP(2*$B637,$B638:G671,6,TRUE)),"--")</f>
        <v>--</v>
      </c>
      <c r="M637" s="38">
        <f>IF(AND(1+$Q$6&gt;H637,1-$Q$6&lt;H637,1+$Q$6&gt;I637,1-$Q$6&lt;I637,1+$Q$6&gt;J637,1-$Q$6&lt;J637,1+$Q$6&gt;K637,1-$Q$6&lt;K637,1+$Q$6&gt;L637,1-$Q$6&lt;L637),IF(SUM($M$2:M636)=0,1,0),0)</f>
        <v>0</v>
      </c>
      <c r="N637" s="38">
        <f>IF(AND(1+$Q$7&gt;H637,1-$Q$7&lt;H637,1+$Q$7&gt;I637,1-$Q$7&lt;I637,1+$Q$7&gt;J637,1-$Q$7&lt;J637,1+$Q$7&gt;K637,1-$Q$7&lt;K637,1+$Q$7&gt;L637,1-$Q$7&lt;L637),IF(SUM($N$2:N636)=0,1,0),0)</f>
        <v>0</v>
      </c>
      <c r="O637" s="34">
        <f t="shared" si="9"/>
        <v>0</v>
      </c>
    </row>
    <row r="638" spans="8:15" ht="20.100000000000001" customHeight="1" x14ac:dyDescent="0.25">
      <c r="H638" s="43" t="str">
        <f>IFERROR(ABS(C638/VLOOKUP(2*$B638,$B639:C672,2,TRUE)),"--")</f>
        <v>--</v>
      </c>
      <c r="I638" s="43" t="str">
        <f>IFERROR(ABS(D638/VLOOKUP(2*$B638,$B639:D672,3,TRUE)),"--")</f>
        <v>--</v>
      </c>
      <c r="J638" s="43" t="str">
        <f>IFERROR(ABS(E638/VLOOKUP(2*$B638,$B639:E672,4,TRUE)),"--")</f>
        <v>--</v>
      </c>
      <c r="K638" s="43" t="str">
        <f>IFERROR(ABS(F638/VLOOKUP(2*$B638,$B639:F672,5,TRUE)),"--")</f>
        <v>--</v>
      </c>
      <c r="L638" s="43" t="str">
        <f>IFERROR(ABS(G638/VLOOKUP(2*$B638,$B639:G672,6,TRUE)),"--")</f>
        <v>--</v>
      </c>
      <c r="M638" s="38">
        <f>IF(AND(1+$Q$6&gt;H638,1-$Q$6&lt;H638,1+$Q$6&gt;I638,1-$Q$6&lt;I638,1+$Q$6&gt;J638,1-$Q$6&lt;J638,1+$Q$6&gt;K638,1-$Q$6&lt;K638,1+$Q$6&gt;L638,1-$Q$6&lt;L638),IF(SUM($M$2:M637)=0,1,0),0)</f>
        <v>0</v>
      </c>
      <c r="N638" s="38">
        <f>IF(AND(1+$Q$7&gt;H638,1-$Q$7&lt;H638,1+$Q$7&gt;I638,1-$Q$7&lt;I638,1+$Q$7&gt;J638,1-$Q$7&lt;J638,1+$Q$7&gt;K638,1-$Q$7&lt;K638,1+$Q$7&gt;L638,1-$Q$7&lt;L638),IF(SUM($N$2:N637)=0,1,0),0)</f>
        <v>0</v>
      </c>
      <c r="O638" s="34">
        <f t="shared" si="9"/>
        <v>0</v>
      </c>
    </row>
    <row r="639" spans="8:15" ht="20.100000000000001" customHeight="1" x14ac:dyDescent="0.25">
      <c r="H639" s="43" t="str">
        <f>IFERROR(ABS(C639/VLOOKUP(2*$B639,$B640:C673,2,TRUE)),"--")</f>
        <v>--</v>
      </c>
      <c r="I639" s="43" t="str">
        <f>IFERROR(ABS(D639/VLOOKUP(2*$B639,$B640:D673,3,TRUE)),"--")</f>
        <v>--</v>
      </c>
      <c r="J639" s="43" t="str">
        <f>IFERROR(ABS(E639/VLOOKUP(2*$B639,$B640:E673,4,TRUE)),"--")</f>
        <v>--</v>
      </c>
      <c r="K639" s="43" t="str">
        <f>IFERROR(ABS(F639/VLOOKUP(2*$B639,$B640:F673,5,TRUE)),"--")</f>
        <v>--</v>
      </c>
      <c r="L639" s="43" t="str">
        <f>IFERROR(ABS(G639/VLOOKUP(2*$B639,$B640:G673,6,TRUE)),"--")</f>
        <v>--</v>
      </c>
      <c r="M639" s="38">
        <f>IF(AND(1+$Q$6&gt;H639,1-$Q$6&lt;H639,1+$Q$6&gt;I639,1-$Q$6&lt;I639,1+$Q$6&gt;J639,1-$Q$6&lt;J639,1+$Q$6&gt;K639,1-$Q$6&lt;K639,1+$Q$6&gt;L639,1-$Q$6&lt;L639),IF(SUM($M$2:M638)=0,1,0),0)</f>
        <v>0</v>
      </c>
      <c r="N639" s="38">
        <f>IF(AND(1+$Q$7&gt;H639,1-$Q$7&lt;H639,1+$Q$7&gt;I639,1-$Q$7&lt;I639,1+$Q$7&gt;J639,1-$Q$7&lt;J639,1+$Q$7&gt;K639,1-$Q$7&lt;K639,1+$Q$7&gt;L639,1-$Q$7&lt;L639),IF(SUM($N$2:N638)=0,1,0),0)</f>
        <v>0</v>
      </c>
      <c r="O639" s="34">
        <f t="shared" si="9"/>
        <v>0</v>
      </c>
    </row>
    <row r="640" spans="8:15" ht="20.100000000000001" customHeight="1" x14ac:dyDescent="0.25">
      <c r="H640" s="43" t="str">
        <f>IFERROR(ABS(C640/VLOOKUP(2*$B640,$B641:C674,2,TRUE)),"--")</f>
        <v>--</v>
      </c>
      <c r="I640" s="43" t="str">
        <f>IFERROR(ABS(D640/VLOOKUP(2*$B640,$B641:D674,3,TRUE)),"--")</f>
        <v>--</v>
      </c>
      <c r="J640" s="43" t="str">
        <f>IFERROR(ABS(E640/VLOOKUP(2*$B640,$B641:E674,4,TRUE)),"--")</f>
        <v>--</v>
      </c>
      <c r="K640" s="43" t="str">
        <f>IFERROR(ABS(F640/VLOOKUP(2*$B640,$B641:F674,5,TRUE)),"--")</f>
        <v>--</v>
      </c>
      <c r="L640" s="43" t="str">
        <f>IFERROR(ABS(G640/VLOOKUP(2*$B640,$B641:G674,6,TRUE)),"--")</f>
        <v>--</v>
      </c>
      <c r="M640" s="38">
        <f>IF(AND(1+$Q$6&gt;H640,1-$Q$6&lt;H640,1+$Q$6&gt;I640,1-$Q$6&lt;I640,1+$Q$6&gt;J640,1-$Q$6&lt;J640,1+$Q$6&gt;K640,1-$Q$6&lt;K640,1+$Q$6&gt;L640,1-$Q$6&lt;L640),IF(SUM($M$2:M639)=0,1,0),0)</f>
        <v>0</v>
      </c>
      <c r="N640" s="38">
        <f>IF(AND(1+$Q$7&gt;H640,1-$Q$7&lt;H640,1+$Q$7&gt;I640,1-$Q$7&lt;I640,1+$Q$7&gt;J640,1-$Q$7&lt;J640,1+$Q$7&gt;K640,1-$Q$7&lt;K640,1+$Q$7&gt;L640,1-$Q$7&lt;L640),IF(SUM($N$2:N639)=0,1,0),0)</f>
        <v>0</v>
      </c>
      <c r="O640" s="34">
        <f t="shared" si="9"/>
        <v>0</v>
      </c>
    </row>
    <row r="641" spans="8:15" ht="20.100000000000001" customHeight="1" x14ac:dyDescent="0.25">
      <c r="H641" s="43" t="str">
        <f>IFERROR(ABS(C641/VLOOKUP(2*$B641,$B642:C675,2,TRUE)),"--")</f>
        <v>--</v>
      </c>
      <c r="I641" s="43" t="str">
        <f>IFERROR(ABS(D641/VLOOKUP(2*$B641,$B642:D675,3,TRUE)),"--")</f>
        <v>--</v>
      </c>
      <c r="J641" s="43" t="str">
        <f>IFERROR(ABS(E641/VLOOKUP(2*$B641,$B642:E675,4,TRUE)),"--")</f>
        <v>--</v>
      </c>
      <c r="K641" s="43" t="str">
        <f>IFERROR(ABS(F641/VLOOKUP(2*$B641,$B642:F675,5,TRUE)),"--")</f>
        <v>--</v>
      </c>
      <c r="L641" s="43" t="str">
        <f>IFERROR(ABS(G641/VLOOKUP(2*$B641,$B642:G675,6,TRUE)),"--")</f>
        <v>--</v>
      </c>
      <c r="M641" s="38">
        <f>IF(AND(1+$Q$6&gt;H641,1-$Q$6&lt;H641,1+$Q$6&gt;I641,1-$Q$6&lt;I641,1+$Q$6&gt;J641,1-$Q$6&lt;J641,1+$Q$6&gt;K641,1-$Q$6&lt;K641,1+$Q$6&gt;L641,1-$Q$6&lt;L641),IF(SUM($M$2:M640)=0,1,0),0)</f>
        <v>0</v>
      </c>
      <c r="N641" s="38">
        <f>IF(AND(1+$Q$7&gt;H641,1-$Q$7&lt;H641,1+$Q$7&gt;I641,1-$Q$7&lt;I641,1+$Q$7&gt;J641,1-$Q$7&lt;J641,1+$Q$7&gt;K641,1-$Q$7&lt;K641,1+$Q$7&gt;L641,1-$Q$7&lt;L641),IF(SUM($N$2:N640)=0,1,0),0)</f>
        <v>0</v>
      </c>
      <c r="O641" s="34">
        <f t="shared" si="9"/>
        <v>0</v>
      </c>
    </row>
    <row r="642" spans="8:15" ht="20.100000000000001" customHeight="1" x14ac:dyDescent="0.25">
      <c r="H642" s="43" t="str">
        <f>IFERROR(ABS(C642/VLOOKUP(2*$B642,$B643:C676,2,TRUE)),"--")</f>
        <v>--</v>
      </c>
      <c r="I642" s="43" t="str">
        <f>IFERROR(ABS(D642/VLOOKUP(2*$B642,$B643:D676,3,TRUE)),"--")</f>
        <v>--</v>
      </c>
      <c r="J642" s="43" t="str">
        <f>IFERROR(ABS(E642/VLOOKUP(2*$B642,$B643:E676,4,TRUE)),"--")</f>
        <v>--</v>
      </c>
      <c r="K642" s="43" t="str">
        <f>IFERROR(ABS(F642/VLOOKUP(2*$B642,$B643:F676,5,TRUE)),"--")</f>
        <v>--</v>
      </c>
      <c r="L642" s="43" t="str">
        <f>IFERROR(ABS(G642/VLOOKUP(2*$B642,$B643:G676,6,TRUE)),"--")</f>
        <v>--</v>
      </c>
      <c r="M642" s="38">
        <f>IF(AND(1+$Q$6&gt;H642,1-$Q$6&lt;H642,1+$Q$6&gt;I642,1-$Q$6&lt;I642,1+$Q$6&gt;J642,1-$Q$6&lt;J642,1+$Q$6&gt;K642,1-$Q$6&lt;K642,1+$Q$6&gt;L642,1-$Q$6&lt;L642),IF(SUM($M$2:M641)=0,1,0),0)</f>
        <v>0</v>
      </c>
      <c r="N642" s="38">
        <f>IF(AND(1+$Q$7&gt;H642,1-$Q$7&lt;H642,1+$Q$7&gt;I642,1-$Q$7&lt;I642,1+$Q$7&gt;J642,1-$Q$7&lt;J642,1+$Q$7&gt;K642,1-$Q$7&lt;K642,1+$Q$7&gt;L642,1-$Q$7&lt;L642),IF(SUM($N$2:N641)=0,1,0),0)</f>
        <v>0</v>
      </c>
      <c r="O642" s="34">
        <f t="shared" si="9"/>
        <v>0</v>
      </c>
    </row>
    <row r="643" spans="8:15" ht="20.100000000000001" customHeight="1" x14ac:dyDescent="0.25">
      <c r="H643" s="43" t="str">
        <f>IFERROR(ABS(C643/VLOOKUP(2*$B643,$B644:C677,2,TRUE)),"--")</f>
        <v>--</v>
      </c>
      <c r="I643" s="43" t="str">
        <f>IFERROR(ABS(D643/VLOOKUP(2*$B643,$B644:D677,3,TRUE)),"--")</f>
        <v>--</v>
      </c>
      <c r="J643" s="43" t="str">
        <f>IFERROR(ABS(E643/VLOOKUP(2*$B643,$B644:E677,4,TRUE)),"--")</f>
        <v>--</v>
      </c>
      <c r="K643" s="43" t="str">
        <f>IFERROR(ABS(F643/VLOOKUP(2*$B643,$B644:F677,5,TRUE)),"--")</f>
        <v>--</v>
      </c>
      <c r="L643" s="43" t="str">
        <f>IFERROR(ABS(G643/VLOOKUP(2*$B643,$B644:G677,6,TRUE)),"--")</f>
        <v>--</v>
      </c>
      <c r="M643" s="38">
        <f>IF(AND(1+$Q$6&gt;H643,1-$Q$6&lt;H643,1+$Q$6&gt;I643,1-$Q$6&lt;I643,1+$Q$6&gt;J643,1-$Q$6&lt;J643,1+$Q$6&gt;K643,1-$Q$6&lt;K643,1+$Q$6&gt;L643,1-$Q$6&lt;L643),IF(SUM($M$2:M642)=0,1,0),0)</f>
        <v>0</v>
      </c>
      <c r="N643" s="38">
        <f>IF(AND(1+$Q$7&gt;H643,1-$Q$7&lt;H643,1+$Q$7&gt;I643,1-$Q$7&lt;I643,1+$Q$7&gt;J643,1-$Q$7&lt;J643,1+$Q$7&gt;K643,1-$Q$7&lt;K643,1+$Q$7&gt;L643,1-$Q$7&lt;L643),IF(SUM($N$2:N642)=0,1,0),0)</f>
        <v>0</v>
      </c>
      <c r="O643" s="34">
        <f t="shared" ref="O643:O706" si="10">A643</f>
        <v>0</v>
      </c>
    </row>
    <row r="644" spans="8:15" ht="20.100000000000001" customHeight="1" x14ac:dyDescent="0.25">
      <c r="H644" s="43" t="str">
        <f>IFERROR(ABS(C644/VLOOKUP(2*$B644,$B645:C678,2,TRUE)),"--")</f>
        <v>--</v>
      </c>
      <c r="I644" s="43" t="str">
        <f>IFERROR(ABS(D644/VLOOKUP(2*$B644,$B645:D678,3,TRUE)),"--")</f>
        <v>--</v>
      </c>
      <c r="J644" s="43" t="str">
        <f>IFERROR(ABS(E644/VLOOKUP(2*$B644,$B645:E678,4,TRUE)),"--")</f>
        <v>--</v>
      </c>
      <c r="K644" s="43" t="str">
        <f>IFERROR(ABS(F644/VLOOKUP(2*$B644,$B645:F678,5,TRUE)),"--")</f>
        <v>--</v>
      </c>
      <c r="L644" s="43" t="str">
        <f>IFERROR(ABS(G644/VLOOKUP(2*$B644,$B645:G678,6,TRUE)),"--")</f>
        <v>--</v>
      </c>
      <c r="M644" s="38">
        <f>IF(AND(1+$Q$6&gt;H644,1-$Q$6&lt;H644,1+$Q$6&gt;I644,1-$Q$6&lt;I644,1+$Q$6&gt;J644,1-$Q$6&lt;J644,1+$Q$6&gt;K644,1-$Q$6&lt;K644,1+$Q$6&gt;L644,1-$Q$6&lt;L644),IF(SUM($M$2:M643)=0,1,0),0)</f>
        <v>0</v>
      </c>
      <c r="N644" s="38">
        <f>IF(AND(1+$Q$7&gt;H644,1-$Q$7&lt;H644,1+$Q$7&gt;I644,1-$Q$7&lt;I644,1+$Q$7&gt;J644,1-$Q$7&lt;J644,1+$Q$7&gt;K644,1-$Q$7&lt;K644,1+$Q$7&gt;L644,1-$Q$7&lt;L644),IF(SUM($N$2:N643)=0,1,0),0)</f>
        <v>0</v>
      </c>
      <c r="O644" s="34">
        <f t="shared" si="10"/>
        <v>0</v>
      </c>
    </row>
    <row r="645" spans="8:15" ht="20.100000000000001" customHeight="1" x14ac:dyDescent="0.25">
      <c r="H645" s="43" t="str">
        <f>IFERROR(ABS(C645/VLOOKUP(2*$B645,$B646:C679,2,TRUE)),"--")</f>
        <v>--</v>
      </c>
      <c r="I645" s="43" t="str">
        <f>IFERROR(ABS(D645/VLOOKUP(2*$B645,$B646:D679,3,TRUE)),"--")</f>
        <v>--</v>
      </c>
      <c r="J645" s="43" t="str">
        <f>IFERROR(ABS(E645/VLOOKUP(2*$B645,$B646:E679,4,TRUE)),"--")</f>
        <v>--</v>
      </c>
      <c r="K645" s="43" t="str">
        <f>IFERROR(ABS(F645/VLOOKUP(2*$B645,$B646:F679,5,TRUE)),"--")</f>
        <v>--</v>
      </c>
      <c r="L645" s="43" t="str">
        <f>IFERROR(ABS(G645/VLOOKUP(2*$B645,$B646:G679,6,TRUE)),"--")</f>
        <v>--</v>
      </c>
      <c r="M645" s="38">
        <f>IF(AND(1+$Q$6&gt;H645,1-$Q$6&lt;H645,1+$Q$6&gt;I645,1-$Q$6&lt;I645,1+$Q$6&gt;J645,1-$Q$6&lt;J645,1+$Q$6&gt;K645,1-$Q$6&lt;K645,1+$Q$6&gt;L645,1-$Q$6&lt;L645),IF(SUM($M$2:M644)=0,1,0),0)</f>
        <v>0</v>
      </c>
      <c r="N645" s="38">
        <f>IF(AND(1+$Q$7&gt;H645,1-$Q$7&lt;H645,1+$Q$7&gt;I645,1-$Q$7&lt;I645,1+$Q$7&gt;J645,1-$Q$7&lt;J645,1+$Q$7&gt;K645,1-$Q$7&lt;K645,1+$Q$7&gt;L645,1-$Q$7&lt;L645),IF(SUM($N$2:N644)=0,1,0),0)</f>
        <v>0</v>
      </c>
      <c r="O645" s="34">
        <f t="shared" si="10"/>
        <v>0</v>
      </c>
    </row>
    <row r="646" spans="8:15" ht="20.100000000000001" customHeight="1" x14ac:dyDescent="0.25">
      <c r="H646" s="43" t="str">
        <f>IFERROR(ABS(C646/VLOOKUP(2*$B646,$B647:C680,2,TRUE)),"--")</f>
        <v>--</v>
      </c>
      <c r="I646" s="43" t="str">
        <f>IFERROR(ABS(D646/VLOOKUP(2*$B646,$B647:D680,3,TRUE)),"--")</f>
        <v>--</v>
      </c>
      <c r="J646" s="43" t="str">
        <f>IFERROR(ABS(E646/VLOOKUP(2*$B646,$B647:E680,4,TRUE)),"--")</f>
        <v>--</v>
      </c>
      <c r="K646" s="43" t="str">
        <f>IFERROR(ABS(F646/VLOOKUP(2*$B646,$B647:F680,5,TRUE)),"--")</f>
        <v>--</v>
      </c>
      <c r="L646" s="43" t="str">
        <f>IFERROR(ABS(G646/VLOOKUP(2*$B646,$B647:G680,6,TRUE)),"--")</f>
        <v>--</v>
      </c>
      <c r="M646" s="38">
        <f>IF(AND(1+$Q$6&gt;H646,1-$Q$6&lt;H646,1+$Q$6&gt;I646,1-$Q$6&lt;I646,1+$Q$6&gt;J646,1-$Q$6&lt;J646,1+$Q$6&gt;K646,1-$Q$6&lt;K646,1+$Q$6&gt;L646,1-$Q$6&lt;L646),IF(SUM($M$2:M645)=0,1,0),0)</f>
        <v>0</v>
      </c>
      <c r="N646" s="38">
        <f>IF(AND(1+$Q$7&gt;H646,1-$Q$7&lt;H646,1+$Q$7&gt;I646,1-$Q$7&lt;I646,1+$Q$7&gt;J646,1-$Q$7&lt;J646,1+$Q$7&gt;K646,1-$Q$7&lt;K646,1+$Q$7&gt;L646,1-$Q$7&lt;L646),IF(SUM($N$2:N645)=0,1,0),0)</f>
        <v>0</v>
      </c>
      <c r="O646" s="34">
        <f t="shared" si="10"/>
        <v>0</v>
      </c>
    </row>
    <row r="647" spans="8:15" ht="20.100000000000001" customHeight="1" x14ac:dyDescent="0.25">
      <c r="H647" s="43" t="str">
        <f>IFERROR(ABS(C647/VLOOKUP(2*$B647,$B648:C681,2,TRUE)),"--")</f>
        <v>--</v>
      </c>
      <c r="I647" s="43" t="str">
        <f>IFERROR(ABS(D647/VLOOKUP(2*$B647,$B648:D681,3,TRUE)),"--")</f>
        <v>--</v>
      </c>
      <c r="J647" s="43" t="str">
        <f>IFERROR(ABS(E647/VLOOKUP(2*$B647,$B648:E681,4,TRUE)),"--")</f>
        <v>--</v>
      </c>
      <c r="K647" s="43" t="str">
        <f>IFERROR(ABS(F647/VLOOKUP(2*$B647,$B648:F681,5,TRUE)),"--")</f>
        <v>--</v>
      </c>
      <c r="L647" s="43" t="str">
        <f>IFERROR(ABS(G647/VLOOKUP(2*$B647,$B648:G681,6,TRUE)),"--")</f>
        <v>--</v>
      </c>
      <c r="M647" s="38">
        <f>IF(AND(1+$Q$6&gt;H647,1-$Q$6&lt;H647,1+$Q$6&gt;I647,1-$Q$6&lt;I647,1+$Q$6&gt;J647,1-$Q$6&lt;J647,1+$Q$6&gt;K647,1-$Q$6&lt;K647,1+$Q$6&gt;L647,1-$Q$6&lt;L647),IF(SUM($M$2:M646)=0,1,0),0)</f>
        <v>0</v>
      </c>
      <c r="N647" s="38">
        <f>IF(AND(1+$Q$7&gt;H647,1-$Q$7&lt;H647,1+$Q$7&gt;I647,1-$Q$7&lt;I647,1+$Q$7&gt;J647,1-$Q$7&lt;J647,1+$Q$7&gt;K647,1-$Q$7&lt;K647,1+$Q$7&gt;L647,1-$Q$7&lt;L647),IF(SUM($N$2:N646)=0,1,0),0)</f>
        <v>0</v>
      </c>
      <c r="O647" s="34">
        <f t="shared" si="10"/>
        <v>0</v>
      </c>
    </row>
    <row r="648" spans="8:15" ht="20.100000000000001" customHeight="1" x14ac:dyDescent="0.25">
      <c r="H648" s="43" t="str">
        <f>IFERROR(ABS(C648/VLOOKUP(2*$B648,$B649:C682,2,TRUE)),"--")</f>
        <v>--</v>
      </c>
      <c r="I648" s="43" t="str">
        <f>IFERROR(ABS(D648/VLOOKUP(2*$B648,$B649:D682,3,TRUE)),"--")</f>
        <v>--</v>
      </c>
      <c r="J648" s="43" t="str">
        <f>IFERROR(ABS(E648/VLOOKUP(2*$B648,$B649:E682,4,TRUE)),"--")</f>
        <v>--</v>
      </c>
      <c r="K648" s="43" t="str">
        <f>IFERROR(ABS(F648/VLOOKUP(2*$B648,$B649:F682,5,TRUE)),"--")</f>
        <v>--</v>
      </c>
      <c r="L648" s="43" t="str">
        <f>IFERROR(ABS(G648/VLOOKUP(2*$B648,$B649:G682,6,TRUE)),"--")</f>
        <v>--</v>
      </c>
      <c r="M648" s="38">
        <f>IF(AND(1+$Q$6&gt;H648,1-$Q$6&lt;H648,1+$Q$6&gt;I648,1-$Q$6&lt;I648,1+$Q$6&gt;J648,1-$Q$6&lt;J648,1+$Q$6&gt;K648,1-$Q$6&lt;K648,1+$Q$6&gt;L648,1-$Q$6&lt;L648),IF(SUM($M$2:M647)=0,1,0),0)</f>
        <v>0</v>
      </c>
      <c r="N648" s="38">
        <f>IF(AND(1+$Q$7&gt;H648,1-$Q$7&lt;H648,1+$Q$7&gt;I648,1-$Q$7&lt;I648,1+$Q$7&gt;J648,1-$Q$7&lt;J648,1+$Q$7&gt;K648,1-$Q$7&lt;K648,1+$Q$7&gt;L648,1-$Q$7&lt;L648),IF(SUM($N$2:N647)=0,1,0),0)</f>
        <v>0</v>
      </c>
      <c r="O648" s="34">
        <f t="shared" si="10"/>
        <v>0</v>
      </c>
    </row>
    <row r="649" spans="8:15" ht="20.100000000000001" customHeight="1" x14ac:dyDescent="0.25">
      <c r="H649" s="43" t="str">
        <f>IFERROR(ABS(C649/VLOOKUP(2*$B649,$B650:C683,2,TRUE)),"--")</f>
        <v>--</v>
      </c>
      <c r="I649" s="43" t="str">
        <f>IFERROR(ABS(D649/VLOOKUP(2*$B649,$B650:D683,3,TRUE)),"--")</f>
        <v>--</v>
      </c>
      <c r="J649" s="43" t="str">
        <f>IFERROR(ABS(E649/VLOOKUP(2*$B649,$B650:E683,4,TRUE)),"--")</f>
        <v>--</v>
      </c>
      <c r="K649" s="43" t="str">
        <f>IFERROR(ABS(F649/VLOOKUP(2*$B649,$B650:F683,5,TRUE)),"--")</f>
        <v>--</v>
      </c>
      <c r="L649" s="43" t="str">
        <f>IFERROR(ABS(G649/VLOOKUP(2*$B649,$B650:G683,6,TRUE)),"--")</f>
        <v>--</v>
      </c>
      <c r="M649" s="38">
        <f>IF(AND(1+$Q$6&gt;H649,1-$Q$6&lt;H649,1+$Q$6&gt;I649,1-$Q$6&lt;I649,1+$Q$6&gt;J649,1-$Q$6&lt;J649,1+$Q$6&gt;K649,1-$Q$6&lt;K649,1+$Q$6&gt;L649,1-$Q$6&lt;L649),IF(SUM($M$2:M648)=0,1,0),0)</f>
        <v>0</v>
      </c>
      <c r="N649" s="38">
        <f>IF(AND(1+$Q$7&gt;H649,1-$Q$7&lt;H649,1+$Q$7&gt;I649,1-$Q$7&lt;I649,1+$Q$7&gt;J649,1-$Q$7&lt;J649,1+$Q$7&gt;K649,1-$Q$7&lt;K649,1+$Q$7&gt;L649,1-$Q$7&lt;L649),IF(SUM($N$2:N648)=0,1,0),0)</f>
        <v>0</v>
      </c>
      <c r="O649" s="34">
        <f t="shared" si="10"/>
        <v>0</v>
      </c>
    </row>
    <row r="650" spans="8:15" ht="20.100000000000001" customHeight="1" x14ac:dyDescent="0.25">
      <c r="H650" s="43" t="str">
        <f>IFERROR(ABS(C650/VLOOKUP(2*$B650,$B651:C684,2,TRUE)),"--")</f>
        <v>--</v>
      </c>
      <c r="I650" s="43" t="str">
        <f>IFERROR(ABS(D650/VLOOKUP(2*$B650,$B651:D684,3,TRUE)),"--")</f>
        <v>--</v>
      </c>
      <c r="J650" s="43" t="str">
        <f>IFERROR(ABS(E650/VLOOKUP(2*$B650,$B651:E684,4,TRUE)),"--")</f>
        <v>--</v>
      </c>
      <c r="K650" s="43" t="str">
        <f>IFERROR(ABS(F650/VLOOKUP(2*$B650,$B651:F684,5,TRUE)),"--")</f>
        <v>--</v>
      </c>
      <c r="L650" s="43" t="str">
        <f>IFERROR(ABS(G650/VLOOKUP(2*$B650,$B651:G684,6,TRUE)),"--")</f>
        <v>--</v>
      </c>
      <c r="M650" s="38">
        <f>IF(AND(1+$Q$6&gt;H650,1-$Q$6&lt;H650,1+$Q$6&gt;I650,1-$Q$6&lt;I650,1+$Q$6&gt;J650,1-$Q$6&lt;J650,1+$Q$6&gt;K650,1-$Q$6&lt;K650,1+$Q$6&gt;L650,1-$Q$6&lt;L650),IF(SUM($M$2:M649)=0,1,0),0)</f>
        <v>0</v>
      </c>
      <c r="N650" s="38">
        <f>IF(AND(1+$Q$7&gt;H650,1-$Q$7&lt;H650,1+$Q$7&gt;I650,1-$Q$7&lt;I650,1+$Q$7&gt;J650,1-$Q$7&lt;J650,1+$Q$7&gt;K650,1-$Q$7&lt;K650,1+$Q$7&gt;L650,1-$Q$7&lt;L650),IF(SUM($N$2:N649)=0,1,0),0)</f>
        <v>0</v>
      </c>
      <c r="O650" s="34">
        <f t="shared" si="10"/>
        <v>0</v>
      </c>
    </row>
    <row r="651" spans="8:15" ht="20.100000000000001" customHeight="1" x14ac:dyDescent="0.25">
      <c r="H651" s="43" t="str">
        <f>IFERROR(ABS(C651/VLOOKUP(2*$B651,$B652:C685,2,TRUE)),"--")</f>
        <v>--</v>
      </c>
      <c r="I651" s="43" t="str">
        <f>IFERROR(ABS(D651/VLOOKUP(2*$B651,$B652:D685,3,TRUE)),"--")</f>
        <v>--</v>
      </c>
      <c r="J651" s="43" t="str">
        <f>IFERROR(ABS(E651/VLOOKUP(2*$B651,$B652:E685,4,TRUE)),"--")</f>
        <v>--</v>
      </c>
      <c r="K651" s="43" t="str">
        <f>IFERROR(ABS(F651/VLOOKUP(2*$B651,$B652:F685,5,TRUE)),"--")</f>
        <v>--</v>
      </c>
      <c r="L651" s="43" t="str">
        <f>IFERROR(ABS(G651/VLOOKUP(2*$B651,$B652:G685,6,TRUE)),"--")</f>
        <v>--</v>
      </c>
      <c r="M651" s="38">
        <f>IF(AND(1+$Q$6&gt;H651,1-$Q$6&lt;H651,1+$Q$6&gt;I651,1-$Q$6&lt;I651,1+$Q$6&gt;J651,1-$Q$6&lt;J651,1+$Q$6&gt;K651,1-$Q$6&lt;K651,1+$Q$6&gt;L651,1-$Q$6&lt;L651),IF(SUM($M$2:M650)=0,1,0),0)</f>
        <v>0</v>
      </c>
      <c r="N651" s="38">
        <f>IF(AND(1+$Q$7&gt;H651,1-$Q$7&lt;H651,1+$Q$7&gt;I651,1-$Q$7&lt;I651,1+$Q$7&gt;J651,1-$Q$7&lt;J651,1+$Q$7&gt;K651,1-$Q$7&lt;K651,1+$Q$7&gt;L651,1-$Q$7&lt;L651),IF(SUM($N$2:N650)=0,1,0),0)</f>
        <v>0</v>
      </c>
      <c r="O651" s="34">
        <f t="shared" si="10"/>
        <v>0</v>
      </c>
    </row>
    <row r="652" spans="8:15" ht="20.100000000000001" customHeight="1" x14ac:dyDescent="0.25">
      <c r="H652" s="43" t="str">
        <f>IFERROR(ABS(C652/VLOOKUP(2*$B652,$B653:C686,2,TRUE)),"--")</f>
        <v>--</v>
      </c>
      <c r="I652" s="43" t="str">
        <f>IFERROR(ABS(D652/VLOOKUP(2*$B652,$B653:D686,3,TRUE)),"--")</f>
        <v>--</v>
      </c>
      <c r="J652" s="43" t="str">
        <f>IFERROR(ABS(E652/VLOOKUP(2*$B652,$B653:E686,4,TRUE)),"--")</f>
        <v>--</v>
      </c>
      <c r="K652" s="43" t="str">
        <f>IFERROR(ABS(F652/VLOOKUP(2*$B652,$B653:F686,5,TRUE)),"--")</f>
        <v>--</v>
      </c>
      <c r="L652" s="43" t="str">
        <f>IFERROR(ABS(G652/VLOOKUP(2*$B652,$B653:G686,6,TRUE)),"--")</f>
        <v>--</v>
      </c>
      <c r="M652" s="38">
        <f>IF(AND(1+$Q$6&gt;H652,1-$Q$6&lt;H652,1+$Q$6&gt;I652,1-$Q$6&lt;I652,1+$Q$6&gt;J652,1-$Q$6&lt;J652,1+$Q$6&gt;K652,1-$Q$6&lt;K652,1+$Q$6&gt;L652,1-$Q$6&lt;L652),IF(SUM($M$2:M651)=0,1,0),0)</f>
        <v>0</v>
      </c>
      <c r="N652" s="38">
        <f>IF(AND(1+$Q$7&gt;H652,1-$Q$7&lt;H652,1+$Q$7&gt;I652,1-$Q$7&lt;I652,1+$Q$7&gt;J652,1-$Q$7&lt;J652,1+$Q$7&gt;K652,1-$Q$7&lt;K652,1+$Q$7&gt;L652,1-$Q$7&lt;L652),IF(SUM($N$2:N651)=0,1,0),0)</f>
        <v>0</v>
      </c>
      <c r="O652" s="34">
        <f t="shared" si="10"/>
        <v>0</v>
      </c>
    </row>
    <row r="653" spans="8:15" ht="20.100000000000001" customHeight="1" x14ac:dyDescent="0.25">
      <c r="H653" s="43" t="str">
        <f>IFERROR(ABS(C653/VLOOKUP(2*$B653,$B654:C687,2,TRUE)),"--")</f>
        <v>--</v>
      </c>
      <c r="I653" s="43" t="str">
        <f>IFERROR(ABS(D653/VLOOKUP(2*$B653,$B654:D687,3,TRUE)),"--")</f>
        <v>--</v>
      </c>
      <c r="J653" s="43" t="str">
        <f>IFERROR(ABS(E653/VLOOKUP(2*$B653,$B654:E687,4,TRUE)),"--")</f>
        <v>--</v>
      </c>
      <c r="K653" s="43" t="str">
        <f>IFERROR(ABS(F653/VLOOKUP(2*$B653,$B654:F687,5,TRUE)),"--")</f>
        <v>--</v>
      </c>
      <c r="L653" s="43" t="str">
        <f>IFERROR(ABS(G653/VLOOKUP(2*$B653,$B654:G687,6,TRUE)),"--")</f>
        <v>--</v>
      </c>
      <c r="M653" s="38">
        <f>IF(AND(1+$Q$6&gt;H653,1-$Q$6&lt;H653,1+$Q$6&gt;I653,1-$Q$6&lt;I653,1+$Q$6&gt;J653,1-$Q$6&lt;J653,1+$Q$6&gt;K653,1-$Q$6&lt;K653,1+$Q$6&gt;L653,1-$Q$6&lt;L653),IF(SUM($M$2:M652)=0,1,0),0)</f>
        <v>0</v>
      </c>
      <c r="N653" s="38">
        <f>IF(AND(1+$Q$7&gt;H653,1-$Q$7&lt;H653,1+$Q$7&gt;I653,1-$Q$7&lt;I653,1+$Q$7&gt;J653,1-$Q$7&lt;J653,1+$Q$7&gt;K653,1-$Q$7&lt;K653,1+$Q$7&gt;L653,1-$Q$7&lt;L653),IF(SUM($N$2:N652)=0,1,0),0)</f>
        <v>0</v>
      </c>
      <c r="O653" s="34">
        <f t="shared" si="10"/>
        <v>0</v>
      </c>
    </row>
    <row r="654" spans="8:15" ht="20.100000000000001" customHeight="1" x14ac:dyDescent="0.25">
      <c r="H654" s="43" t="str">
        <f>IFERROR(ABS(C654/VLOOKUP(2*$B654,$B655:C688,2,TRUE)),"--")</f>
        <v>--</v>
      </c>
      <c r="I654" s="43" t="str">
        <f>IFERROR(ABS(D654/VLOOKUP(2*$B654,$B655:D688,3,TRUE)),"--")</f>
        <v>--</v>
      </c>
      <c r="J654" s="43" t="str">
        <f>IFERROR(ABS(E654/VLOOKUP(2*$B654,$B655:E688,4,TRUE)),"--")</f>
        <v>--</v>
      </c>
      <c r="K654" s="43" t="str">
        <f>IFERROR(ABS(F654/VLOOKUP(2*$B654,$B655:F688,5,TRUE)),"--")</f>
        <v>--</v>
      </c>
      <c r="L654" s="43" t="str">
        <f>IFERROR(ABS(G654/VLOOKUP(2*$B654,$B655:G688,6,TRUE)),"--")</f>
        <v>--</v>
      </c>
      <c r="M654" s="38">
        <f>IF(AND(1+$Q$6&gt;H654,1-$Q$6&lt;H654,1+$Q$6&gt;I654,1-$Q$6&lt;I654,1+$Q$6&gt;J654,1-$Q$6&lt;J654,1+$Q$6&gt;K654,1-$Q$6&lt;K654,1+$Q$6&gt;L654,1-$Q$6&lt;L654),IF(SUM($M$2:M653)=0,1,0),0)</f>
        <v>0</v>
      </c>
      <c r="N654" s="38">
        <f>IF(AND(1+$Q$7&gt;H654,1-$Q$7&lt;H654,1+$Q$7&gt;I654,1-$Q$7&lt;I654,1+$Q$7&gt;J654,1-$Q$7&lt;J654,1+$Q$7&gt;K654,1-$Q$7&lt;K654,1+$Q$7&gt;L654,1-$Q$7&lt;L654),IF(SUM($N$2:N653)=0,1,0),0)</f>
        <v>0</v>
      </c>
      <c r="O654" s="34">
        <f t="shared" si="10"/>
        <v>0</v>
      </c>
    </row>
    <row r="655" spans="8:15" ht="20.100000000000001" customHeight="1" x14ac:dyDescent="0.25">
      <c r="H655" s="43" t="str">
        <f>IFERROR(ABS(C655/VLOOKUP(2*$B655,$B656:C689,2,TRUE)),"--")</f>
        <v>--</v>
      </c>
      <c r="I655" s="43" t="str">
        <f>IFERROR(ABS(D655/VLOOKUP(2*$B655,$B656:D689,3,TRUE)),"--")</f>
        <v>--</v>
      </c>
      <c r="J655" s="43" t="str">
        <f>IFERROR(ABS(E655/VLOOKUP(2*$B655,$B656:E689,4,TRUE)),"--")</f>
        <v>--</v>
      </c>
      <c r="K655" s="43" t="str">
        <f>IFERROR(ABS(F655/VLOOKUP(2*$B655,$B656:F689,5,TRUE)),"--")</f>
        <v>--</v>
      </c>
      <c r="L655" s="43" t="str">
        <f>IFERROR(ABS(G655/VLOOKUP(2*$B655,$B656:G689,6,TRUE)),"--")</f>
        <v>--</v>
      </c>
      <c r="M655" s="38">
        <f>IF(AND(1+$Q$6&gt;H655,1-$Q$6&lt;H655,1+$Q$6&gt;I655,1-$Q$6&lt;I655,1+$Q$6&gt;J655,1-$Q$6&lt;J655,1+$Q$6&gt;K655,1-$Q$6&lt;K655,1+$Q$6&gt;L655,1-$Q$6&lt;L655),IF(SUM($M$2:M654)=0,1,0),0)</f>
        <v>0</v>
      </c>
      <c r="N655" s="38">
        <f>IF(AND(1+$Q$7&gt;H655,1-$Q$7&lt;H655,1+$Q$7&gt;I655,1-$Q$7&lt;I655,1+$Q$7&gt;J655,1-$Q$7&lt;J655,1+$Q$7&gt;K655,1-$Q$7&lt;K655,1+$Q$7&gt;L655,1-$Q$7&lt;L655),IF(SUM($N$2:N654)=0,1,0),0)</f>
        <v>0</v>
      </c>
      <c r="O655" s="34">
        <f t="shared" si="10"/>
        <v>0</v>
      </c>
    </row>
    <row r="656" spans="8:15" ht="20.100000000000001" customHeight="1" x14ac:dyDescent="0.25">
      <c r="H656" s="43" t="str">
        <f>IFERROR(ABS(C656/VLOOKUP(2*$B656,$B657:C690,2,TRUE)),"--")</f>
        <v>--</v>
      </c>
      <c r="I656" s="43" t="str">
        <f>IFERROR(ABS(D656/VLOOKUP(2*$B656,$B657:D690,3,TRUE)),"--")</f>
        <v>--</v>
      </c>
      <c r="J656" s="43" t="str">
        <f>IFERROR(ABS(E656/VLOOKUP(2*$B656,$B657:E690,4,TRUE)),"--")</f>
        <v>--</v>
      </c>
      <c r="K656" s="43" t="str">
        <f>IFERROR(ABS(F656/VLOOKUP(2*$B656,$B657:F690,5,TRUE)),"--")</f>
        <v>--</v>
      </c>
      <c r="L656" s="43" t="str">
        <f>IFERROR(ABS(G656/VLOOKUP(2*$B656,$B657:G690,6,TRUE)),"--")</f>
        <v>--</v>
      </c>
      <c r="M656" s="38">
        <f>IF(AND(1+$Q$6&gt;H656,1-$Q$6&lt;H656,1+$Q$6&gt;I656,1-$Q$6&lt;I656,1+$Q$6&gt;J656,1-$Q$6&lt;J656,1+$Q$6&gt;K656,1-$Q$6&lt;K656,1+$Q$6&gt;L656,1-$Q$6&lt;L656),IF(SUM($M$2:M655)=0,1,0),0)</f>
        <v>0</v>
      </c>
      <c r="N656" s="38">
        <f>IF(AND(1+$Q$7&gt;H656,1-$Q$7&lt;H656,1+$Q$7&gt;I656,1-$Q$7&lt;I656,1+$Q$7&gt;J656,1-$Q$7&lt;J656,1+$Q$7&gt;K656,1-$Q$7&lt;K656,1+$Q$7&gt;L656,1-$Q$7&lt;L656),IF(SUM($N$2:N655)=0,1,0),0)</f>
        <v>0</v>
      </c>
      <c r="O656" s="34">
        <f t="shared" si="10"/>
        <v>0</v>
      </c>
    </row>
    <row r="657" spans="8:15" ht="20.100000000000001" customHeight="1" x14ac:dyDescent="0.25">
      <c r="H657" s="43" t="str">
        <f>IFERROR(ABS(C657/VLOOKUP(2*$B657,$B658:C691,2,TRUE)),"--")</f>
        <v>--</v>
      </c>
      <c r="I657" s="43" t="str">
        <f>IFERROR(ABS(D657/VLOOKUP(2*$B657,$B658:D691,3,TRUE)),"--")</f>
        <v>--</v>
      </c>
      <c r="J657" s="43" t="str">
        <f>IFERROR(ABS(E657/VLOOKUP(2*$B657,$B658:E691,4,TRUE)),"--")</f>
        <v>--</v>
      </c>
      <c r="K657" s="43" t="str">
        <f>IFERROR(ABS(F657/VLOOKUP(2*$B657,$B658:F691,5,TRUE)),"--")</f>
        <v>--</v>
      </c>
      <c r="L657" s="43" t="str">
        <f>IFERROR(ABS(G657/VLOOKUP(2*$B657,$B658:G691,6,TRUE)),"--")</f>
        <v>--</v>
      </c>
      <c r="M657" s="38">
        <f>IF(AND(1+$Q$6&gt;H657,1-$Q$6&lt;H657,1+$Q$6&gt;I657,1-$Q$6&lt;I657,1+$Q$6&gt;J657,1-$Q$6&lt;J657,1+$Q$6&gt;K657,1-$Q$6&lt;K657,1+$Q$6&gt;L657,1-$Q$6&lt;L657),IF(SUM($M$2:M656)=0,1,0),0)</f>
        <v>0</v>
      </c>
      <c r="N657" s="38">
        <f>IF(AND(1+$Q$7&gt;H657,1-$Q$7&lt;H657,1+$Q$7&gt;I657,1-$Q$7&lt;I657,1+$Q$7&gt;J657,1-$Q$7&lt;J657,1+$Q$7&gt;K657,1-$Q$7&lt;K657,1+$Q$7&gt;L657,1-$Q$7&lt;L657),IF(SUM($N$2:N656)=0,1,0),0)</f>
        <v>0</v>
      </c>
      <c r="O657" s="34">
        <f t="shared" si="10"/>
        <v>0</v>
      </c>
    </row>
    <row r="658" spans="8:15" ht="20.100000000000001" customHeight="1" x14ac:dyDescent="0.25">
      <c r="H658" s="43" t="str">
        <f>IFERROR(ABS(C658/VLOOKUP(2*$B658,$B659:C692,2,TRUE)),"--")</f>
        <v>--</v>
      </c>
      <c r="I658" s="43" t="str">
        <f>IFERROR(ABS(D658/VLOOKUP(2*$B658,$B659:D692,3,TRUE)),"--")</f>
        <v>--</v>
      </c>
      <c r="J658" s="43" t="str">
        <f>IFERROR(ABS(E658/VLOOKUP(2*$B658,$B659:E692,4,TRUE)),"--")</f>
        <v>--</v>
      </c>
      <c r="K658" s="43" t="str">
        <f>IFERROR(ABS(F658/VLOOKUP(2*$B658,$B659:F692,5,TRUE)),"--")</f>
        <v>--</v>
      </c>
      <c r="L658" s="43" t="str">
        <f>IFERROR(ABS(G658/VLOOKUP(2*$B658,$B659:G692,6,TRUE)),"--")</f>
        <v>--</v>
      </c>
      <c r="M658" s="38">
        <f>IF(AND(1+$Q$6&gt;H658,1-$Q$6&lt;H658,1+$Q$6&gt;I658,1-$Q$6&lt;I658,1+$Q$6&gt;J658,1-$Q$6&lt;J658,1+$Q$6&gt;K658,1-$Q$6&lt;K658,1+$Q$6&gt;L658,1-$Q$6&lt;L658),IF(SUM($M$2:M657)=0,1,0),0)</f>
        <v>0</v>
      </c>
      <c r="N658" s="38">
        <f>IF(AND(1+$Q$7&gt;H658,1-$Q$7&lt;H658,1+$Q$7&gt;I658,1-$Q$7&lt;I658,1+$Q$7&gt;J658,1-$Q$7&lt;J658,1+$Q$7&gt;K658,1-$Q$7&lt;K658,1+$Q$7&gt;L658,1-$Q$7&lt;L658),IF(SUM($N$2:N657)=0,1,0),0)</f>
        <v>0</v>
      </c>
      <c r="O658" s="34">
        <f t="shared" si="10"/>
        <v>0</v>
      </c>
    </row>
    <row r="659" spans="8:15" ht="20.100000000000001" customHeight="1" x14ac:dyDescent="0.25">
      <c r="H659" s="43" t="str">
        <f>IFERROR(ABS(C659/VLOOKUP(2*$B659,$B660:C693,2,TRUE)),"--")</f>
        <v>--</v>
      </c>
      <c r="I659" s="43" t="str">
        <f>IFERROR(ABS(D659/VLOOKUP(2*$B659,$B660:D693,3,TRUE)),"--")</f>
        <v>--</v>
      </c>
      <c r="J659" s="43" t="str">
        <f>IFERROR(ABS(E659/VLOOKUP(2*$B659,$B660:E693,4,TRUE)),"--")</f>
        <v>--</v>
      </c>
      <c r="K659" s="43" t="str">
        <f>IFERROR(ABS(F659/VLOOKUP(2*$B659,$B660:F693,5,TRUE)),"--")</f>
        <v>--</v>
      </c>
      <c r="L659" s="43" t="str">
        <f>IFERROR(ABS(G659/VLOOKUP(2*$B659,$B660:G693,6,TRUE)),"--")</f>
        <v>--</v>
      </c>
      <c r="M659" s="38">
        <f>IF(AND(1+$Q$6&gt;H659,1-$Q$6&lt;H659,1+$Q$6&gt;I659,1-$Q$6&lt;I659,1+$Q$6&gt;J659,1-$Q$6&lt;J659,1+$Q$6&gt;K659,1-$Q$6&lt;K659,1+$Q$6&gt;L659,1-$Q$6&lt;L659),IF(SUM($M$2:M658)=0,1,0),0)</f>
        <v>0</v>
      </c>
      <c r="N659" s="38">
        <f>IF(AND(1+$Q$7&gt;H659,1-$Q$7&lt;H659,1+$Q$7&gt;I659,1-$Q$7&lt;I659,1+$Q$7&gt;J659,1-$Q$7&lt;J659,1+$Q$7&gt;K659,1-$Q$7&lt;K659,1+$Q$7&gt;L659,1-$Q$7&lt;L659),IF(SUM($N$2:N658)=0,1,0),0)</f>
        <v>0</v>
      </c>
      <c r="O659" s="34">
        <f t="shared" si="10"/>
        <v>0</v>
      </c>
    </row>
    <row r="660" spans="8:15" ht="20.100000000000001" customHeight="1" x14ac:dyDescent="0.25">
      <c r="H660" s="43" t="str">
        <f>IFERROR(ABS(C660/VLOOKUP(2*$B660,$B661:C694,2,TRUE)),"--")</f>
        <v>--</v>
      </c>
      <c r="I660" s="43" t="str">
        <f>IFERROR(ABS(D660/VLOOKUP(2*$B660,$B661:D694,3,TRUE)),"--")</f>
        <v>--</v>
      </c>
      <c r="J660" s="43" t="str">
        <f>IFERROR(ABS(E660/VLOOKUP(2*$B660,$B661:E694,4,TRUE)),"--")</f>
        <v>--</v>
      </c>
      <c r="K660" s="43" t="str">
        <f>IFERROR(ABS(F660/VLOOKUP(2*$B660,$B661:F694,5,TRUE)),"--")</f>
        <v>--</v>
      </c>
      <c r="L660" s="43" t="str">
        <f>IFERROR(ABS(G660/VLOOKUP(2*$B660,$B661:G694,6,TRUE)),"--")</f>
        <v>--</v>
      </c>
      <c r="M660" s="38">
        <f>IF(AND(1+$Q$6&gt;H660,1-$Q$6&lt;H660,1+$Q$6&gt;I660,1-$Q$6&lt;I660,1+$Q$6&gt;J660,1-$Q$6&lt;J660,1+$Q$6&gt;K660,1-$Q$6&lt;K660,1+$Q$6&gt;L660,1-$Q$6&lt;L660),IF(SUM($M$2:M659)=0,1,0),0)</f>
        <v>0</v>
      </c>
      <c r="N660" s="38">
        <f>IF(AND(1+$Q$7&gt;H660,1-$Q$7&lt;H660,1+$Q$7&gt;I660,1-$Q$7&lt;I660,1+$Q$7&gt;J660,1-$Q$7&lt;J660,1+$Q$7&gt;K660,1-$Q$7&lt;K660,1+$Q$7&gt;L660,1-$Q$7&lt;L660),IF(SUM($N$2:N659)=0,1,0),0)</f>
        <v>0</v>
      </c>
      <c r="O660" s="34">
        <f t="shared" si="10"/>
        <v>0</v>
      </c>
    </row>
    <row r="661" spans="8:15" ht="20.100000000000001" customHeight="1" x14ac:dyDescent="0.25">
      <c r="H661" s="43" t="str">
        <f>IFERROR(ABS(C661/VLOOKUP(2*$B661,$B662:C695,2,TRUE)),"--")</f>
        <v>--</v>
      </c>
      <c r="I661" s="43" t="str">
        <f>IFERROR(ABS(D661/VLOOKUP(2*$B661,$B662:D695,3,TRUE)),"--")</f>
        <v>--</v>
      </c>
      <c r="J661" s="43" t="str">
        <f>IFERROR(ABS(E661/VLOOKUP(2*$B661,$B662:E695,4,TRUE)),"--")</f>
        <v>--</v>
      </c>
      <c r="K661" s="43" t="str">
        <f>IFERROR(ABS(F661/VLOOKUP(2*$B661,$B662:F695,5,TRUE)),"--")</f>
        <v>--</v>
      </c>
      <c r="L661" s="43" t="str">
        <f>IFERROR(ABS(G661/VLOOKUP(2*$B661,$B662:G695,6,TRUE)),"--")</f>
        <v>--</v>
      </c>
      <c r="M661" s="38">
        <f>IF(AND(1+$Q$6&gt;H661,1-$Q$6&lt;H661,1+$Q$6&gt;I661,1-$Q$6&lt;I661,1+$Q$6&gt;J661,1-$Q$6&lt;J661,1+$Q$6&gt;K661,1-$Q$6&lt;K661,1+$Q$6&gt;L661,1-$Q$6&lt;L661),IF(SUM($M$2:M660)=0,1,0),0)</f>
        <v>0</v>
      </c>
      <c r="N661" s="38">
        <f>IF(AND(1+$Q$7&gt;H661,1-$Q$7&lt;H661,1+$Q$7&gt;I661,1-$Q$7&lt;I661,1+$Q$7&gt;J661,1-$Q$7&lt;J661,1+$Q$7&gt;K661,1-$Q$7&lt;K661,1+$Q$7&gt;L661,1-$Q$7&lt;L661),IF(SUM($N$2:N660)=0,1,0),0)</f>
        <v>0</v>
      </c>
      <c r="O661" s="34">
        <f t="shared" si="10"/>
        <v>0</v>
      </c>
    </row>
    <row r="662" spans="8:15" ht="20.100000000000001" customHeight="1" x14ac:dyDescent="0.25">
      <c r="H662" s="43" t="str">
        <f>IFERROR(ABS(C662/VLOOKUP(2*$B662,$B663:C696,2,TRUE)),"--")</f>
        <v>--</v>
      </c>
      <c r="I662" s="43" t="str">
        <f>IFERROR(ABS(D662/VLOOKUP(2*$B662,$B663:D696,3,TRUE)),"--")</f>
        <v>--</v>
      </c>
      <c r="J662" s="43" t="str">
        <f>IFERROR(ABS(E662/VLOOKUP(2*$B662,$B663:E696,4,TRUE)),"--")</f>
        <v>--</v>
      </c>
      <c r="K662" s="43" t="str">
        <f>IFERROR(ABS(F662/VLOOKUP(2*$B662,$B663:F696,5,TRUE)),"--")</f>
        <v>--</v>
      </c>
      <c r="L662" s="43" t="str">
        <f>IFERROR(ABS(G662/VLOOKUP(2*$B662,$B663:G696,6,TRUE)),"--")</f>
        <v>--</v>
      </c>
      <c r="M662" s="38">
        <f>IF(AND(1+$Q$6&gt;H662,1-$Q$6&lt;H662,1+$Q$6&gt;I662,1-$Q$6&lt;I662,1+$Q$6&gt;J662,1-$Q$6&lt;J662,1+$Q$6&gt;K662,1-$Q$6&lt;K662,1+$Q$6&gt;L662,1-$Q$6&lt;L662),IF(SUM($M$2:M661)=0,1,0),0)</f>
        <v>0</v>
      </c>
      <c r="N662" s="38">
        <f>IF(AND(1+$Q$7&gt;H662,1-$Q$7&lt;H662,1+$Q$7&gt;I662,1-$Q$7&lt;I662,1+$Q$7&gt;J662,1-$Q$7&lt;J662,1+$Q$7&gt;K662,1-$Q$7&lt;K662,1+$Q$7&gt;L662,1-$Q$7&lt;L662),IF(SUM($N$2:N661)=0,1,0),0)</f>
        <v>0</v>
      </c>
      <c r="O662" s="34">
        <f t="shared" si="10"/>
        <v>0</v>
      </c>
    </row>
    <row r="663" spans="8:15" ht="20.100000000000001" customHeight="1" x14ac:dyDescent="0.25">
      <c r="H663" s="43" t="str">
        <f>IFERROR(ABS(C663/VLOOKUP(2*$B663,$B664:C697,2,TRUE)),"--")</f>
        <v>--</v>
      </c>
      <c r="I663" s="43" t="str">
        <f>IFERROR(ABS(D663/VLOOKUP(2*$B663,$B664:D697,3,TRUE)),"--")</f>
        <v>--</v>
      </c>
      <c r="J663" s="43" t="str">
        <f>IFERROR(ABS(E663/VLOOKUP(2*$B663,$B664:E697,4,TRUE)),"--")</f>
        <v>--</v>
      </c>
      <c r="K663" s="43" t="str">
        <f>IFERROR(ABS(F663/VLOOKUP(2*$B663,$B664:F697,5,TRUE)),"--")</f>
        <v>--</v>
      </c>
      <c r="L663" s="43" t="str">
        <f>IFERROR(ABS(G663/VLOOKUP(2*$B663,$B664:G697,6,TRUE)),"--")</f>
        <v>--</v>
      </c>
      <c r="M663" s="38">
        <f>IF(AND(1+$Q$6&gt;H663,1-$Q$6&lt;H663,1+$Q$6&gt;I663,1-$Q$6&lt;I663,1+$Q$6&gt;J663,1-$Q$6&lt;J663,1+$Q$6&gt;K663,1-$Q$6&lt;K663,1+$Q$6&gt;L663,1-$Q$6&lt;L663),IF(SUM($M$2:M662)=0,1,0),0)</f>
        <v>0</v>
      </c>
      <c r="N663" s="38">
        <f>IF(AND(1+$Q$7&gt;H663,1-$Q$7&lt;H663,1+$Q$7&gt;I663,1-$Q$7&lt;I663,1+$Q$7&gt;J663,1-$Q$7&lt;J663,1+$Q$7&gt;K663,1-$Q$7&lt;K663,1+$Q$7&gt;L663,1-$Q$7&lt;L663),IF(SUM($N$2:N662)=0,1,0),0)</f>
        <v>0</v>
      </c>
      <c r="O663" s="34">
        <f t="shared" si="10"/>
        <v>0</v>
      </c>
    </row>
    <row r="664" spans="8:15" ht="20.100000000000001" customHeight="1" x14ac:dyDescent="0.25">
      <c r="H664" s="43" t="str">
        <f>IFERROR(ABS(C664/VLOOKUP(2*$B664,$B665:C698,2,TRUE)),"--")</f>
        <v>--</v>
      </c>
      <c r="I664" s="43" t="str">
        <f>IFERROR(ABS(D664/VLOOKUP(2*$B664,$B665:D698,3,TRUE)),"--")</f>
        <v>--</v>
      </c>
      <c r="J664" s="43" t="str">
        <f>IFERROR(ABS(E664/VLOOKUP(2*$B664,$B665:E698,4,TRUE)),"--")</f>
        <v>--</v>
      </c>
      <c r="K664" s="43" t="str">
        <f>IFERROR(ABS(F664/VLOOKUP(2*$B664,$B665:F698,5,TRUE)),"--")</f>
        <v>--</v>
      </c>
      <c r="L664" s="43" t="str">
        <f>IFERROR(ABS(G664/VLOOKUP(2*$B664,$B665:G698,6,TRUE)),"--")</f>
        <v>--</v>
      </c>
      <c r="M664" s="38">
        <f>IF(AND(1+$Q$6&gt;H664,1-$Q$6&lt;H664,1+$Q$6&gt;I664,1-$Q$6&lt;I664,1+$Q$6&gt;J664,1-$Q$6&lt;J664,1+$Q$6&gt;K664,1-$Q$6&lt;K664,1+$Q$6&gt;L664,1-$Q$6&lt;L664),IF(SUM($M$2:M663)=0,1,0),0)</f>
        <v>0</v>
      </c>
      <c r="N664" s="38">
        <f>IF(AND(1+$Q$7&gt;H664,1-$Q$7&lt;H664,1+$Q$7&gt;I664,1-$Q$7&lt;I664,1+$Q$7&gt;J664,1-$Q$7&lt;J664,1+$Q$7&gt;K664,1-$Q$7&lt;K664,1+$Q$7&gt;L664,1-$Q$7&lt;L664),IF(SUM($N$2:N663)=0,1,0),0)</f>
        <v>0</v>
      </c>
      <c r="O664" s="34">
        <f t="shared" si="10"/>
        <v>0</v>
      </c>
    </row>
    <row r="665" spans="8:15" ht="20.100000000000001" customHeight="1" x14ac:dyDescent="0.25">
      <c r="H665" s="43" t="str">
        <f>IFERROR(ABS(C665/VLOOKUP(2*$B665,$B666:C699,2,TRUE)),"--")</f>
        <v>--</v>
      </c>
      <c r="I665" s="43" t="str">
        <f>IFERROR(ABS(D665/VLOOKUP(2*$B665,$B666:D699,3,TRUE)),"--")</f>
        <v>--</v>
      </c>
      <c r="J665" s="43" t="str">
        <f>IFERROR(ABS(E665/VLOOKUP(2*$B665,$B666:E699,4,TRUE)),"--")</f>
        <v>--</v>
      </c>
      <c r="K665" s="43" t="str">
        <f>IFERROR(ABS(F665/VLOOKUP(2*$B665,$B666:F699,5,TRUE)),"--")</f>
        <v>--</v>
      </c>
      <c r="L665" s="43" t="str">
        <f>IFERROR(ABS(G665/VLOOKUP(2*$B665,$B666:G699,6,TRUE)),"--")</f>
        <v>--</v>
      </c>
      <c r="M665" s="38">
        <f>IF(AND(1+$Q$6&gt;H665,1-$Q$6&lt;H665,1+$Q$6&gt;I665,1-$Q$6&lt;I665,1+$Q$6&gt;J665,1-$Q$6&lt;J665,1+$Q$6&gt;K665,1-$Q$6&lt;K665,1+$Q$6&gt;L665,1-$Q$6&lt;L665),IF(SUM($M$2:M664)=0,1,0),0)</f>
        <v>0</v>
      </c>
      <c r="N665" s="38">
        <f>IF(AND(1+$Q$7&gt;H665,1-$Q$7&lt;H665,1+$Q$7&gt;I665,1-$Q$7&lt;I665,1+$Q$7&gt;J665,1-$Q$7&lt;J665,1+$Q$7&gt;K665,1-$Q$7&lt;K665,1+$Q$7&gt;L665,1-$Q$7&lt;L665),IF(SUM($N$2:N664)=0,1,0),0)</f>
        <v>0</v>
      </c>
      <c r="O665" s="34">
        <f t="shared" si="10"/>
        <v>0</v>
      </c>
    </row>
    <row r="666" spans="8:15" ht="20.100000000000001" customHeight="1" x14ac:dyDescent="0.25">
      <c r="H666" s="43" t="str">
        <f>IFERROR(ABS(C666/VLOOKUP(2*$B666,$B667:C700,2,TRUE)),"--")</f>
        <v>--</v>
      </c>
      <c r="I666" s="43" t="str">
        <f>IFERROR(ABS(D666/VLOOKUP(2*$B666,$B667:D700,3,TRUE)),"--")</f>
        <v>--</v>
      </c>
      <c r="J666" s="43" t="str">
        <f>IFERROR(ABS(E666/VLOOKUP(2*$B666,$B667:E700,4,TRUE)),"--")</f>
        <v>--</v>
      </c>
      <c r="K666" s="43" t="str">
        <f>IFERROR(ABS(F666/VLOOKUP(2*$B666,$B667:F700,5,TRUE)),"--")</f>
        <v>--</v>
      </c>
      <c r="L666" s="43" t="str">
        <f>IFERROR(ABS(G666/VLOOKUP(2*$B666,$B667:G700,6,TRUE)),"--")</f>
        <v>--</v>
      </c>
      <c r="M666" s="38">
        <f>IF(AND(1+$Q$6&gt;H666,1-$Q$6&lt;H666,1+$Q$6&gt;I666,1-$Q$6&lt;I666,1+$Q$6&gt;J666,1-$Q$6&lt;J666,1+$Q$6&gt;K666,1-$Q$6&lt;K666,1+$Q$6&gt;L666,1-$Q$6&lt;L666),IF(SUM($M$2:M665)=0,1,0),0)</f>
        <v>0</v>
      </c>
      <c r="N666" s="38">
        <f>IF(AND(1+$Q$7&gt;H666,1-$Q$7&lt;H666,1+$Q$7&gt;I666,1-$Q$7&lt;I666,1+$Q$7&gt;J666,1-$Q$7&lt;J666,1+$Q$7&gt;K666,1-$Q$7&lt;K666,1+$Q$7&gt;L666,1-$Q$7&lt;L666),IF(SUM($N$2:N665)=0,1,0),0)</f>
        <v>0</v>
      </c>
      <c r="O666" s="34">
        <f t="shared" si="10"/>
        <v>0</v>
      </c>
    </row>
    <row r="667" spans="8:15" ht="20.100000000000001" customHeight="1" x14ac:dyDescent="0.25">
      <c r="H667" s="43" t="str">
        <f>IFERROR(ABS(C667/VLOOKUP(2*$B667,$B668:C701,2,TRUE)),"--")</f>
        <v>--</v>
      </c>
      <c r="I667" s="43" t="str">
        <f>IFERROR(ABS(D667/VLOOKUP(2*$B667,$B668:D701,3,TRUE)),"--")</f>
        <v>--</v>
      </c>
      <c r="J667" s="43" t="str">
        <f>IFERROR(ABS(E667/VLOOKUP(2*$B667,$B668:E701,4,TRUE)),"--")</f>
        <v>--</v>
      </c>
      <c r="K667" s="43" t="str">
        <f>IFERROR(ABS(F667/VLOOKUP(2*$B667,$B668:F701,5,TRUE)),"--")</f>
        <v>--</v>
      </c>
      <c r="L667" s="43" t="str">
        <f>IFERROR(ABS(G667/VLOOKUP(2*$B667,$B668:G701,6,TRUE)),"--")</f>
        <v>--</v>
      </c>
      <c r="M667" s="38">
        <f>IF(AND(1+$Q$6&gt;H667,1-$Q$6&lt;H667,1+$Q$6&gt;I667,1-$Q$6&lt;I667,1+$Q$6&gt;J667,1-$Q$6&lt;J667,1+$Q$6&gt;K667,1-$Q$6&lt;K667,1+$Q$6&gt;L667,1-$Q$6&lt;L667),IF(SUM($M$2:M666)=0,1,0),0)</f>
        <v>0</v>
      </c>
      <c r="N667" s="38">
        <f>IF(AND(1+$Q$7&gt;H667,1-$Q$7&lt;H667,1+$Q$7&gt;I667,1-$Q$7&lt;I667,1+$Q$7&gt;J667,1-$Q$7&lt;J667,1+$Q$7&gt;K667,1-$Q$7&lt;K667,1+$Q$7&gt;L667,1-$Q$7&lt;L667),IF(SUM($N$2:N666)=0,1,0),0)</f>
        <v>0</v>
      </c>
      <c r="O667" s="34">
        <f t="shared" si="10"/>
        <v>0</v>
      </c>
    </row>
    <row r="668" spans="8:15" ht="20.100000000000001" customHeight="1" x14ac:dyDescent="0.25">
      <c r="H668" s="43" t="str">
        <f>IFERROR(ABS(C668/VLOOKUP(2*$B668,$B669:C702,2,TRUE)),"--")</f>
        <v>--</v>
      </c>
      <c r="I668" s="43" t="str">
        <f>IFERROR(ABS(D668/VLOOKUP(2*$B668,$B669:D702,3,TRUE)),"--")</f>
        <v>--</v>
      </c>
      <c r="J668" s="43" t="str">
        <f>IFERROR(ABS(E668/VLOOKUP(2*$B668,$B669:E702,4,TRUE)),"--")</f>
        <v>--</v>
      </c>
      <c r="K668" s="43" t="str">
        <f>IFERROR(ABS(F668/VLOOKUP(2*$B668,$B669:F702,5,TRUE)),"--")</f>
        <v>--</v>
      </c>
      <c r="L668" s="43" t="str">
        <f>IFERROR(ABS(G668/VLOOKUP(2*$B668,$B669:G702,6,TRUE)),"--")</f>
        <v>--</v>
      </c>
      <c r="M668" s="38">
        <f>IF(AND(1+$Q$6&gt;H668,1-$Q$6&lt;H668,1+$Q$6&gt;I668,1-$Q$6&lt;I668,1+$Q$6&gt;J668,1-$Q$6&lt;J668,1+$Q$6&gt;K668,1-$Q$6&lt;K668,1+$Q$6&gt;L668,1-$Q$6&lt;L668),IF(SUM($M$2:M667)=0,1,0),0)</f>
        <v>0</v>
      </c>
      <c r="N668" s="38">
        <f>IF(AND(1+$Q$7&gt;H668,1-$Q$7&lt;H668,1+$Q$7&gt;I668,1-$Q$7&lt;I668,1+$Q$7&gt;J668,1-$Q$7&lt;J668,1+$Q$7&gt;K668,1-$Q$7&lt;K668,1+$Q$7&gt;L668,1-$Q$7&lt;L668),IF(SUM($N$2:N667)=0,1,0),0)</f>
        <v>0</v>
      </c>
      <c r="O668" s="34">
        <f t="shared" si="10"/>
        <v>0</v>
      </c>
    </row>
    <row r="669" spans="8:15" ht="20.100000000000001" customHeight="1" x14ac:dyDescent="0.25">
      <c r="H669" s="43" t="str">
        <f>IFERROR(ABS(C669/VLOOKUP(2*$B669,$B670:C703,2,TRUE)),"--")</f>
        <v>--</v>
      </c>
      <c r="I669" s="43" t="str">
        <f>IFERROR(ABS(D669/VLOOKUP(2*$B669,$B670:D703,3,TRUE)),"--")</f>
        <v>--</v>
      </c>
      <c r="J669" s="43" t="str">
        <f>IFERROR(ABS(E669/VLOOKUP(2*$B669,$B670:E703,4,TRUE)),"--")</f>
        <v>--</v>
      </c>
      <c r="K669" s="43" t="str">
        <f>IFERROR(ABS(F669/VLOOKUP(2*$B669,$B670:F703,5,TRUE)),"--")</f>
        <v>--</v>
      </c>
      <c r="L669" s="43" t="str">
        <f>IFERROR(ABS(G669/VLOOKUP(2*$B669,$B670:G703,6,TRUE)),"--")</f>
        <v>--</v>
      </c>
      <c r="M669" s="38">
        <f>IF(AND(1+$Q$6&gt;H669,1-$Q$6&lt;H669,1+$Q$6&gt;I669,1-$Q$6&lt;I669,1+$Q$6&gt;J669,1-$Q$6&lt;J669,1+$Q$6&gt;K669,1-$Q$6&lt;K669,1+$Q$6&gt;L669,1-$Q$6&lt;L669),IF(SUM($M$2:M668)=0,1,0),0)</f>
        <v>0</v>
      </c>
      <c r="N669" s="38">
        <f>IF(AND(1+$Q$7&gt;H669,1-$Q$7&lt;H669,1+$Q$7&gt;I669,1-$Q$7&lt;I669,1+$Q$7&gt;J669,1-$Q$7&lt;J669,1+$Q$7&gt;K669,1-$Q$7&lt;K669,1+$Q$7&gt;L669,1-$Q$7&lt;L669),IF(SUM($N$2:N668)=0,1,0),0)</f>
        <v>0</v>
      </c>
      <c r="O669" s="34">
        <f t="shared" si="10"/>
        <v>0</v>
      </c>
    </row>
    <row r="670" spans="8:15" ht="20.100000000000001" customHeight="1" x14ac:dyDescent="0.25">
      <c r="H670" s="43" t="str">
        <f>IFERROR(ABS(C670/VLOOKUP(2*$B670,$B671:C704,2,TRUE)),"--")</f>
        <v>--</v>
      </c>
      <c r="I670" s="43" t="str">
        <f>IFERROR(ABS(D670/VLOOKUP(2*$B670,$B671:D704,3,TRUE)),"--")</f>
        <v>--</v>
      </c>
      <c r="J670" s="43" t="str">
        <f>IFERROR(ABS(E670/VLOOKUP(2*$B670,$B671:E704,4,TRUE)),"--")</f>
        <v>--</v>
      </c>
      <c r="K670" s="43" t="str">
        <f>IFERROR(ABS(F670/VLOOKUP(2*$B670,$B671:F704,5,TRUE)),"--")</f>
        <v>--</v>
      </c>
      <c r="L670" s="43" t="str">
        <f>IFERROR(ABS(G670/VLOOKUP(2*$B670,$B671:G704,6,TRUE)),"--")</f>
        <v>--</v>
      </c>
      <c r="M670" s="38">
        <f>IF(AND(1+$Q$6&gt;H670,1-$Q$6&lt;H670,1+$Q$6&gt;I670,1-$Q$6&lt;I670,1+$Q$6&gt;J670,1-$Q$6&lt;J670,1+$Q$6&gt;K670,1-$Q$6&lt;K670,1+$Q$6&gt;L670,1-$Q$6&lt;L670),IF(SUM($M$2:M669)=0,1,0),0)</f>
        <v>0</v>
      </c>
      <c r="N670" s="38">
        <f>IF(AND(1+$Q$7&gt;H670,1-$Q$7&lt;H670,1+$Q$7&gt;I670,1-$Q$7&lt;I670,1+$Q$7&gt;J670,1-$Q$7&lt;J670,1+$Q$7&gt;K670,1-$Q$7&lt;K670,1+$Q$7&gt;L670,1-$Q$7&lt;L670),IF(SUM($N$2:N669)=0,1,0),0)</f>
        <v>0</v>
      </c>
      <c r="O670" s="34">
        <f t="shared" si="10"/>
        <v>0</v>
      </c>
    </row>
    <row r="671" spans="8:15" ht="20.100000000000001" customHeight="1" x14ac:dyDescent="0.25">
      <c r="H671" s="43" t="str">
        <f>IFERROR(ABS(C671/VLOOKUP(2*$B671,$B672:C705,2,TRUE)),"--")</f>
        <v>--</v>
      </c>
      <c r="I671" s="43" t="str">
        <f>IFERROR(ABS(D671/VLOOKUP(2*$B671,$B672:D705,3,TRUE)),"--")</f>
        <v>--</v>
      </c>
      <c r="J671" s="43" t="str">
        <f>IFERROR(ABS(E671/VLOOKUP(2*$B671,$B672:E705,4,TRUE)),"--")</f>
        <v>--</v>
      </c>
      <c r="K671" s="43" t="str">
        <f>IFERROR(ABS(F671/VLOOKUP(2*$B671,$B672:F705,5,TRUE)),"--")</f>
        <v>--</v>
      </c>
      <c r="L671" s="43" t="str">
        <f>IFERROR(ABS(G671/VLOOKUP(2*$B671,$B672:G705,6,TRUE)),"--")</f>
        <v>--</v>
      </c>
      <c r="M671" s="38">
        <f>IF(AND(1+$Q$6&gt;H671,1-$Q$6&lt;H671,1+$Q$6&gt;I671,1-$Q$6&lt;I671,1+$Q$6&gt;J671,1-$Q$6&lt;J671,1+$Q$6&gt;K671,1-$Q$6&lt;K671,1+$Q$6&gt;L671,1-$Q$6&lt;L671),IF(SUM($M$2:M670)=0,1,0),0)</f>
        <v>0</v>
      </c>
      <c r="N671" s="38">
        <f>IF(AND(1+$Q$7&gt;H671,1-$Q$7&lt;H671,1+$Q$7&gt;I671,1-$Q$7&lt;I671,1+$Q$7&gt;J671,1-$Q$7&lt;J671,1+$Q$7&gt;K671,1-$Q$7&lt;K671,1+$Q$7&gt;L671,1-$Q$7&lt;L671),IF(SUM($N$2:N670)=0,1,0),0)</f>
        <v>0</v>
      </c>
      <c r="O671" s="34">
        <f t="shared" si="10"/>
        <v>0</v>
      </c>
    </row>
    <row r="672" spans="8:15" ht="20.100000000000001" customHeight="1" x14ac:dyDescent="0.25">
      <c r="H672" s="43" t="str">
        <f>IFERROR(ABS(C672/VLOOKUP(2*$B672,$B673:C706,2,TRUE)),"--")</f>
        <v>--</v>
      </c>
      <c r="I672" s="43" t="str">
        <f>IFERROR(ABS(D672/VLOOKUP(2*$B672,$B673:D706,3,TRUE)),"--")</f>
        <v>--</v>
      </c>
      <c r="J672" s="43" t="str">
        <f>IFERROR(ABS(E672/VLOOKUP(2*$B672,$B673:E706,4,TRUE)),"--")</f>
        <v>--</v>
      </c>
      <c r="K672" s="43" t="str">
        <f>IFERROR(ABS(F672/VLOOKUP(2*$B672,$B673:F706,5,TRUE)),"--")</f>
        <v>--</v>
      </c>
      <c r="L672" s="43" t="str">
        <f>IFERROR(ABS(G672/VLOOKUP(2*$B672,$B673:G706,6,TRUE)),"--")</f>
        <v>--</v>
      </c>
      <c r="M672" s="38">
        <f>IF(AND(1+$Q$6&gt;H672,1-$Q$6&lt;H672,1+$Q$6&gt;I672,1-$Q$6&lt;I672,1+$Q$6&gt;J672,1-$Q$6&lt;J672,1+$Q$6&gt;K672,1-$Q$6&lt;K672,1+$Q$6&gt;L672,1-$Q$6&lt;L672),IF(SUM($M$2:M671)=0,1,0),0)</f>
        <v>0</v>
      </c>
      <c r="N672" s="38">
        <f>IF(AND(1+$Q$7&gt;H672,1-$Q$7&lt;H672,1+$Q$7&gt;I672,1-$Q$7&lt;I672,1+$Q$7&gt;J672,1-$Q$7&lt;J672,1+$Q$7&gt;K672,1-$Q$7&lt;K672,1+$Q$7&gt;L672,1-$Q$7&lt;L672),IF(SUM($N$2:N671)=0,1,0),0)</f>
        <v>0</v>
      </c>
      <c r="O672" s="34">
        <f t="shared" si="10"/>
        <v>0</v>
      </c>
    </row>
    <row r="673" spans="8:15" ht="20.100000000000001" customHeight="1" x14ac:dyDescent="0.25">
      <c r="H673" s="43" t="str">
        <f>IFERROR(ABS(C673/VLOOKUP(2*$B673,$B674:C707,2,TRUE)),"--")</f>
        <v>--</v>
      </c>
      <c r="I673" s="43" t="str">
        <f>IFERROR(ABS(D673/VLOOKUP(2*$B673,$B674:D707,3,TRUE)),"--")</f>
        <v>--</v>
      </c>
      <c r="J673" s="43" t="str">
        <f>IFERROR(ABS(E673/VLOOKUP(2*$B673,$B674:E707,4,TRUE)),"--")</f>
        <v>--</v>
      </c>
      <c r="K673" s="43" t="str">
        <f>IFERROR(ABS(F673/VLOOKUP(2*$B673,$B674:F707,5,TRUE)),"--")</f>
        <v>--</v>
      </c>
      <c r="L673" s="43" t="str">
        <f>IFERROR(ABS(G673/VLOOKUP(2*$B673,$B674:G707,6,TRUE)),"--")</f>
        <v>--</v>
      </c>
      <c r="M673" s="38">
        <f>IF(AND(1+$Q$6&gt;H673,1-$Q$6&lt;H673,1+$Q$6&gt;I673,1-$Q$6&lt;I673,1+$Q$6&gt;J673,1-$Q$6&lt;J673,1+$Q$6&gt;K673,1-$Q$6&lt;K673,1+$Q$6&gt;L673,1-$Q$6&lt;L673),IF(SUM($M$2:M672)=0,1,0),0)</f>
        <v>0</v>
      </c>
      <c r="N673" s="38">
        <f>IF(AND(1+$Q$7&gt;H673,1-$Q$7&lt;H673,1+$Q$7&gt;I673,1-$Q$7&lt;I673,1+$Q$7&gt;J673,1-$Q$7&lt;J673,1+$Q$7&gt;K673,1-$Q$7&lt;K673,1+$Q$7&gt;L673,1-$Q$7&lt;L673),IF(SUM($N$2:N672)=0,1,0),0)</f>
        <v>0</v>
      </c>
      <c r="O673" s="34">
        <f t="shared" si="10"/>
        <v>0</v>
      </c>
    </row>
    <row r="674" spans="8:15" ht="20.100000000000001" customHeight="1" x14ac:dyDescent="0.25">
      <c r="H674" s="43" t="str">
        <f>IFERROR(ABS(C674/VLOOKUP(2*$B674,$B675:C708,2,TRUE)),"--")</f>
        <v>--</v>
      </c>
      <c r="I674" s="43" t="str">
        <f>IFERROR(ABS(D674/VLOOKUP(2*$B674,$B675:D708,3,TRUE)),"--")</f>
        <v>--</v>
      </c>
      <c r="J674" s="43" t="str">
        <f>IFERROR(ABS(E674/VLOOKUP(2*$B674,$B675:E708,4,TRUE)),"--")</f>
        <v>--</v>
      </c>
      <c r="K674" s="43" t="str">
        <f>IFERROR(ABS(F674/VLOOKUP(2*$B674,$B675:F708,5,TRUE)),"--")</f>
        <v>--</v>
      </c>
      <c r="L674" s="43" t="str">
        <f>IFERROR(ABS(G674/VLOOKUP(2*$B674,$B675:G708,6,TRUE)),"--")</f>
        <v>--</v>
      </c>
      <c r="M674" s="38">
        <f>IF(AND(1+$Q$6&gt;H674,1-$Q$6&lt;H674,1+$Q$6&gt;I674,1-$Q$6&lt;I674,1+$Q$6&gt;J674,1-$Q$6&lt;J674,1+$Q$6&gt;K674,1-$Q$6&lt;K674,1+$Q$6&gt;L674,1-$Q$6&lt;L674),IF(SUM($M$2:M673)=0,1,0),0)</f>
        <v>0</v>
      </c>
      <c r="N674" s="38">
        <f>IF(AND(1+$Q$7&gt;H674,1-$Q$7&lt;H674,1+$Q$7&gt;I674,1-$Q$7&lt;I674,1+$Q$7&gt;J674,1-$Q$7&lt;J674,1+$Q$7&gt;K674,1-$Q$7&lt;K674,1+$Q$7&gt;L674,1-$Q$7&lt;L674),IF(SUM($N$2:N673)=0,1,0),0)</f>
        <v>0</v>
      </c>
      <c r="O674" s="34">
        <f t="shared" si="10"/>
        <v>0</v>
      </c>
    </row>
    <row r="675" spans="8:15" ht="20.100000000000001" customHeight="1" x14ac:dyDescent="0.25">
      <c r="H675" s="43" t="str">
        <f>IFERROR(ABS(C675/VLOOKUP(2*$B675,$B676:C709,2,TRUE)),"--")</f>
        <v>--</v>
      </c>
      <c r="I675" s="43" t="str">
        <f>IFERROR(ABS(D675/VLOOKUP(2*$B675,$B676:D709,3,TRUE)),"--")</f>
        <v>--</v>
      </c>
      <c r="J675" s="43" t="str">
        <f>IFERROR(ABS(E675/VLOOKUP(2*$B675,$B676:E709,4,TRUE)),"--")</f>
        <v>--</v>
      </c>
      <c r="K675" s="43" t="str">
        <f>IFERROR(ABS(F675/VLOOKUP(2*$B675,$B676:F709,5,TRUE)),"--")</f>
        <v>--</v>
      </c>
      <c r="L675" s="43" t="str">
        <f>IFERROR(ABS(G675/VLOOKUP(2*$B675,$B676:G709,6,TRUE)),"--")</f>
        <v>--</v>
      </c>
      <c r="M675" s="38">
        <f>IF(AND(1+$Q$6&gt;H675,1-$Q$6&lt;H675,1+$Q$6&gt;I675,1-$Q$6&lt;I675,1+$Q$6&gt;J675,1-$Q$6&lt;J675,1+$Q$6&gt;K675,1-$Q$6&lt;K675,1+$Q$6&gt;L675,1-$Q$6&lt;L675),IF(SUM($M$2:M674)=0,1,0),0)</f>
        <v>0</v>
      </c>
      <c r="N675" s="38">
        <f>IF(AND(1+$Q$7&gt;H675,1-$Q$7&lt;H675,1+$Q$7&gt;I675,1-$Q$7&lt;I675,1+$Q$7&gt;J675,1-$Q$7&lt;J675,1+$Q$7&gt;K675,1-$Q$7&lt;K675,1+$Q$7&gt;L675,1-$Q$7&lt;L675),IF(SUM($N$2:N674)=0,1,0),0)</f>
        <v>0</v>
      </c>
      <c r="O675" s="34">
        <f t="shared" si="10"/>
        <v>0</v>
      </c>
    </row>
    <row r="676" spans="8:15" ht="20.100000000000001" customHeight="1" x14ac:dyDescent="0.25">
      <c r="H676" s="43" t="str">
        <f>IFERROR(ABS(C676/VLOOKUP(2*$B676,$B677:C710,2,TRUE)),"--")</f>
        <v>--</v>
      </c>
      <c r="I676" s="43" t="str">
        <f>IFERROR(ABS(D676/VLOOKUP(2*$B676,$B677:D710,3,TRUE)),"--")</f>
        <v>--</v>
      </c>
      <c r="J676" s="43" t="str">
        <f>IFERROR(ABS(E676/VLOOKUP(2*$B676,$B677:E710,4,TRUE)),"--")</f>
        <v>--</v>
      </c>
      <c r="K676" s="43" t="str">
        <f>IFERROR(ABS(F676/VLOOKUP(2*$B676,$B677:F710,5,TRUE)),"--")</f>
        <v>--</v>
      </c>
      <c r="L676" s="43" t="str">
        <f>IFERROR(ABS(G676/VLOOKUP(2*$B676,$B677:G710,6,TRUE)),"--")</f>
        <v>--</v>
      </c>
      <c r="M676" s="38">
        <f>IF(AND(1+$Q$6&gt;H676,1-$Q$6&lt;H676,1+$Q$6&gt;I676,1-$Q$6&lt;I676,1+$Q$6&gt;J676,1-$Q$6&lt;J676,1+$Q$6&gt;K676,1-$Q$6&lt;K676,1+$Q$6&gt;L676,1-$Q$6&lt;L676),IF(SUM($M$2:M675)=0,1,0),0)</f>
        <v>0</v>
      </c>
      <c r="N676" s="38">
        <f>IF(AND(1+$Q$7&gt;H676,1-$Q$7&lt;H676,1+$Q$7&gt;I676,1-$Q$7&lt;I676,1+$Q$7&gt;J676,1-$Q$7&lt;J676,1+$Q$7&gt;K676,1-$Q$7&lt;K676,1+$Q$7&gt;L676,1-$Q$7&lt;L676),IF(SUM($N$2:N675)=0,1,0),0)</f>
        <v>0</v>
      </c>
      <c r="O676" s="34">
        <f t="shared" si="10"/>
        <v>0</v>
      </c>
    </row>
    <row r="677" spans="8:15" ht="20.100000000000001" customHeight="1" x14ac:dyDescent="0.25">
      <c r="H677" s="43" t="str">
        <f>IFERROR(ABS(C677/VLOOKUP(2*$B677,$B678:C711,2,TRUE)),"--")</f>
        <v>--</v>
      </c>
      <c r="I677" s="43" t="str">
        <f>IFERROR(ABS(D677/VLOOKUP(2*$B677,$B678:D711,3,TRUE)),"--")</f>
        <v>--</v>
      </c>
      <c r="J677" s="43" t="str">
        <f>IFERROR(ABS(E677/VLOOKUP(2*$B677,$B678:E711,4,TRUE)),"--")</f>
        <v>--</v>
      </c>
      <c r="K677" s="43" t="str">
        <f>IFERROR(ABS(F677/VLOOKUP(2*$B677,$B678:F711,5,TRUE)),"--")</f>
        <v>--</v>
      </c>
      <c r="L677" s="43" t="str">
        <f>IFERROR(ABS(G677/VLOOKUP(2*$B677,$B678:G711,6,TRUE)),"--")</f>
        <v>--</v>
      </c>
      <c r="M677" s="38">
        <f>IF(AND(1+$Q$6&gt;H677,1-$Q$6&lt;H677,1+$Q$6&gt;I677,1-$Q$6&lt;I677,1+$Q$6&gt;J677,1-$Q$6&lt;J677,1+$Q$6&gt;K677,1-$Q$6&lt;K677,1+$Q$6&gt;L677,1-$Q$6&lt;L677),IF(SUM($M$2:M676)=0,1,0),0)</f>
        <v>0</v>
      </c>
      <c r="N677" s="38">
        <f>IF(AND(1+$Q$7&gt;H677,1-$Q$7&lt;H677,1+$Q$7&gt;I677,1-$Q$7&lt;I677,1+$Q$7&gt;J677,1-$Q$7&lt;J677,1+$Q$7&gt;K677,1-$Q$7&lt;K677,1+$Q$7&gt;L677,1-$Q$7&lt;L677),IF(SUM($N$2:N676)=0,1,0),0)</f>
        <v>0</v>
      </c>
      <c r="O677" s="34">
        <f t="shared" si="10"/>
        <v>0</v>
      </c>
    </row>
    <row r="678" spans="8:15" ht="20.100000000000001" customHeight="1" x14ac:dyDescent="0.25">
      <c r="H678" s="43" t="str">
        <f>IFERROR(ABS(C678/VLOOKUP(2*$B678,$B679:C712,2,TRUE)),"--")</f>
        <v>--</v>
      </c>
      <c r="I678" s="43" t="str">
        <f>IFERROR(ABS(D678/VLOOKUP(2*$B678,$B679:D712,3,TRUE)),"--")</f>
        <v>--</v>
      </c>
      <c r="J678" s="43" t="str">
        <f>IFERROR(ABS(E678/VLOOKUP(2*$B678,$B679:E712,4,TRUE)),"--")</f>
        <v>--</v>
      </c>
      <c r="K678" s="43" t="str">
        <f>IFERROR(ABS(F678/VLOOKUP(2*$B678,$B679:F712,5,TRUE)),"--")</f>
        <v>--</v>
      </c>
      <c r="L678" s="43" t="str">
        <f>IFERROR(ABS(G678/VLOOKUP(2*$B678,$B679:G712,6,TRUE)),"--")</f>
        <v>--</v>
      </c>
      <c r="M678" s="38">
        <f>IF(AND(1+$Q$6&gt;H678,1-$Q$6&lt;H678,1+$Q$6&gt;I678,1-$Q$6&lt;I678,1+$Q$6&gt;J678,1-$Q$6&lt;J678,1+$Q$6&gt;K678,1-$Q$6&lt;K678,1+$Q$6&gt;L678,1-$Q$6&lt;L678),IF(SUM($M$2:M677)=0,1,0),0)</f>
        <v>0</v>
      </c>
      <c r="N678" s="38">
        <f>IF(AND(1+$Q$7&gt;H678,1-$Q$7&lt;H678,1+$Q$7&gt;I678,1-$Q$7&lt;I678,1+$Q$7&gt;J678,1-$Q$7&lt;J678,1+$Q$7&gt;K678,1-$Q$7&lt;K678,1+$Q$7&gt;L678,1-$Q$7&lt;L678),IF(SUM($N$2:N677)=0,1,0),0)</f>
        <v>0</v>
      </c>
      <c r="O678" s="34">
        <f t="shared" si="10"/>
        <v>0</v>
      </c>
    </row>
    <row r="679" spans="8:15" ht="20.100000000000001" customHeight="1" x14ac:dyDescent="0.25">
      <c r="H679" s="43" t="str">
        <f>IFERROR(ABS(C679/VLOOKUP(2*$B679,$B680:C713,2,TRUE)),"--")</f>
        <v>--</v>
      </c>
      <c r="I679" s="43" t="str">
        <f>IFERROR(ABS(D679/VLOOKUP(2*$B679,$B680:D713,3,TRUE)),"--")</f>
        <v>--</v>
      </c>
      <c r="J679" s="43" t="str">
        <f>IFERROR(ABS(E679/VLOOKUP(2*$B679,$B680:E713,4,TRUE)),"--")</f>
        <v>--</v>
      </c>
      <c r="K679" s="43" t="str">
        <f>IFERROR(ABS(F679/VLOOKUP(2*$B679,$B680:F713,5,TRUE)),"--")</f>
        <v>--</v>
      </c>
      <c r="L679" s="43" t="str">
        <f>IFERROR(ABS(G679/VLOOKUP(2*$B679,$B680:G713,6,TRUE)),"--")</f>
        <v>--</v>
      </c>
      <c r="M679" s="38">
        <f>IF(AND(1+$Q$6&gt;H679,1-$Q$6&lt;H679,1+$Q$6&gt;I679,1-$Q$6&lt;I679,1+$Q$6&gt;J679,1-$Q$6&lt;J679,1+$Q$6&gt;K679,1-$Q$6&lt;K679,1+$Q$6&gt;L679,1-$Q$6&lt;L679),IF(SUM($M$2:M678)=0,1,0),0)</f>
        <v>0</v>
      </c>
      <c r="N679" s="38">
        <f>IF(AND(1+$Q$7&gt;H679,1-$Q$7&lt;H679,1+$Q$7&gt;I679,1-$Q$7&lt;I679,1+$Q$7&gt;J679,1-$Q$7&lt;J679,1+$Q$7&gt;K679,1-$Q$7&lt;K679,1+$Q$7&gt;L679,1-$Q$7&lt;L679),IF(SUM($N$2:N678)=0,1,0),0)</f>
        <v>0</v>
      </c>
      <c r="O679" s="34">
        <f t="shared" si="10"/>
        <v>0</v>
      </c>
    </row>
    <row r="680" spans="8:15" ht="20.100000000000001" customHeight="1" x14ac:dyDescent="0.25">
      <c r="H680" s="43" t="str">
        <f>IFERROR(ABS(C680/VLOOKUP(2*$B680,$B681:C714,2,TRUE)),"--")</f>
        <v>--</v>
      </c>
      <c r="I680" s="43" t="str">
        <f>IFERROR(ABS(D680/VLOOKUP(2*$B680,$B681:D714,3,TRUE)),"--")</f>
        <v>--</v>
      </c>
      <c r="J680" s="43" t="str">
        <f>IFERROR(ABS(E680/VLOOKUP(2*$B680,$B681:E714,4,TRUE)),"--")</f>
        <v>--</v>
      </c>
      <c r="K680" s="43" t="str">
        <f>IFERROR(ABS(F680/VLOOKUP(2*$B680,$B681:F714,5,TRUE)),"--")</f>
        <v>--</v>
      </c>
      <c r="L680" s="43" t="str">
        <f>IFERROR(ABS(G680/VLOOKUP(2*$B680,$B681:G714,6,TRUE)),"--")</f>
        <v>--</v>
      </c>
      <c r="M680" s="38">
        <f>IF(AND(1+$Q$6&gt;H680,1-$Q$6&lt;H680,1+$Q$6&gt;I680,1-$Q$6&lt;I680,1+$Q$6&gt;J680,1-$Q$6&lt;J680,1+$Q$6&gt;K680,1-$Q$6&lt;K680,1+$Q$6&gt;L680,1-$Q$6&lt;L680),IF(SUM($M$2:M679)=0,1,0),0)</f>
        <v>0</v>
      </c>
      <c r="N680" s="38">
        <f>IF(AND(1+$Q$7&gt;H680,1-$Q$7&lt;H680,1+$Q$7&gt;I680,1-$Q$7&lt;I680,1+$Q$7&gt;J680,1-$Q$7&lt;J680,1+$Q$7&gt;K680,1-$Q$7&lt;K680,1+$Q$7&gt;L680,1-$Q$7&lt;L680),IF(SUM($N$2:N679)=0,1,0),0)</f>
        <v>0</v>
      </c>
      <c r="O680" s="34">
        <f t="shared" si="10"/>
        <v>0</v>
      </c>
    </row>
    <row r="681" spans="8:15" ht="20.100000000000001" customHeight="1" x14ac:dyDescent="0.25">
      <c r="H681" s="43" t="str">
        <f>IFERROR(ABS(C681/VLOOKUP(2*$B681,$B682:C715,2,TRUE)),"--")</f>
        <v>--</v>
      </c>
      <c r="I681" s="43" t="str">
        <f>IFERROR(ABS(D681/VLOOKUP(2*$B681,$B682:D715,3,TRUE)),"--")</f>
        <v>--</v>
      </c>
      <c r="J681" s="43" t="str">
        <f>IFERROR(ABS(E681/VLOOKUP(2*$B681,$B682:E715,4,TRUE)),"--")</f>
        <v>--</v>
      </c>
      <c r="K681" s="43" t="str">
        <f>IFERROR(ABS(F681/VLOOKUP(2*$B681,$B682:F715,5,TRUE)),"--")</f>
        <v>--</v>
      </c>
      <c r="L681" s="43" t="str">
        <f>IFERROR(ABS(G681/VLOOKUP(2*$B681,$B682:G715,6,TRUE)),"--")</f>
        <v>--</v>
      </c>
      <c r="M681" s="38">
        <f>IF(AND(1+$Q$6&gt;H681,1-$Q$6&lt;H681,1+$Q$6&gt;I681,1-$Q$6&lt;I681,1+$Q$6&gt;J681,1-$Q$6&lt;J681,1+$Q$6&gt;K681,1-$Q$6&lt;K681,1+$Q$6&gt;L681,1-$Q$6&lt;L681),IF(SUM($M$2:M680)=0,1,0),0)</f>
        <v>0</v>
      </c>
      <c r="N681" s="38">
        <f>IF(AND(1+$Q$7&gt;H681,1-$Q$7&lt;H681,1+$Q$7&gt;I681,1-$Q$7&lt;I681,1+$Q$7&gt;J681,1-$Q$7&lt;J681,1+$Q$7&gt;K681,1-$Q$7&lt;K681,1+$Q$7&gt;L681,1-$Q$7&lt;L681),IF(SUM($N$2:N680)=0,1,0),0)</f>
        <v>0</v>
      </c>
      <c r="O681" s="34">
        <f t="shared" si="10"/>
        <v>0</v>
      </c>
    </row>
    <row r="682" spans="8:15" ht="20.100000000000001" customHeight="1" x14ac:dyDescent="0.25">
      <c r="H682" s="43" t="str">
        <f>IFERROR(ABS(C682/VLOOKUP(2*$B682,$B683:C716,2,TRUE)),"--")</f>
        <v>--</v>
      </c>
      <c r="I682" s="43" t="str">
        <f>IFERROR(ABS(D682/VLOOKUP(2*$B682,$B683:D716,3,TRUE)),"--")</f>
        <v>--</v>
      </c>
      <c r="J682" s="43" t="str">
        <f>IFERROR(ABS(E682/VLOOKUP(2*$B682,$B683:E716,4,TRUE)),"--")</f>
        <v>--</v>
      </c>
      <c r="K682" s="43" t="str">
        <f>IFERROR(ABS(F682/VLOOKUP(2*$B682,$B683:F716,5,TRUE)),"--")</f>
        <v>--</v>
      </c>
      <c r="L682" s="43" t="str">
        <f>IFERROR(ABS(G682/VLOOKUP(2*$B682,$B683:G716,6,TRUE)),"--")</f>
        <v>--</v>
      </c>
      <c r="M682" s="38">
        <f>IF(AND(1+$Q$6&gt;H682,1-$Q$6&lt;H682,1+$Q$6&gt;I682,1-$Q$6&lt;I682,1+$Q$6&gt;J682,1-$Q$6&lt;J682,1+$Q$6&gt;K682,1-$Q$6&lt;K682,1+$Q$6&gt;L682,1-$Q$6&lt;L682),IF(SUM($M$2:M681)=0,1,0),0)</f>
        <v>0</v>
      </c>
      <c r="N682" s="38">
        <f>IF(AND(1+$Q$7&gt;H682,1-$Q$7&lt;H682,1+$Q$7&gt;I682,1-$Q$7&lt;I682,1+$Q$7&gt;J682,1-$Q$7&lt;J682,1+$Q$7&gt;K682,1-$Q$7&lt;K682,1+$Q$7&gt;L682,1-$Q$7&lt;L682),IF(SUM($N$2:N681)=0,1,0),0)</f>
        <v>0</v>
      </c>
      <c r="O682" s="34">
        <f t="shared" si="10"/>
        <v>0</v>
      </c>
    </row>
    <row r="683" spans="8:15" ht="20.100000000000001" customHeight="1" x14ac:dyDescent="0.25">
      <c r="H683" s="43" t="str">
        <f>IFERROR(ABS(C683/VLOOKUP(2*$B683,$B684:C717,2,TRUE)),"--")</f>
        <v>--</v>
      </c>
      <c r="I683" s="43" t="str">
        <f>IFERROR(ABS(D683/VLOOKUP(2*$B683,$B684:D717,3,TRUE)),"--")</f>
        <v>--</v>
      </c>
      <c r="J683" s="43" t="str">
        <f>IFERROR(ABS(E683/VLOOKUP(2*$B683,$B684:E717,4,TRUE)),"--")</f>
        <v>--</v>
      </c>
      <c r="K683" s="43" t="str">
        <f>IFERROR(ABS(F683/VLOOKUP(2*$B683,$B684:F717,5,TRUE)),"--")</f>
        <v>--</v>
      </c>
      <c r="L683" s="43" t="str">
        <f>IFERROR(ABS(G683/VLOOKUP(2*$B683,$B684:G717,6,TRUE)),"--")</f>
        <v>--</v>
      </c>
      <c r="M683" s="38">
        <f>IF(AND(1+$Q$6&gt;H683,1-$Q$6&lt;H683,1+$Q$6&gt;I683,1-$Q$6&lt;I683,1+$Q$6&gt;J683,1-$Q$6&lt;J683,1+$Q$6&gt;K683,1-$Q$6&lt;K683,1+$Q$6&gt;L683,1-$Q$6&lt;L683),IF(SUM($M$2:M682)=0,1,0),0)</f>
        <v>0</v>
      </c>
      <c r="N683" s="38">
        <f>IF(AND(1+$Q$7&gt;H683,1-$Q$7&lt;H683,1+$Q$7&gt;I683,1-$Q$7&lt;I683,1+$Q$7&gt;J683,1-$Q$7&lt;J683,1+$Q$7&gt;K683,1-$Q$7&lt;K683,1+$Q$7&gt;L683,1-$Q$7&lt;L683),IF(SUM($N$2:N682)=0,1,0),0)</f>
        <v>0</v>
      </c>
      <c r="O683" s="34">
        <f t="shared" si="10"/>
        <v>0</v>
      </c>
    </row>
    <row r="684" spans="8:15" ht="20.100000000000001" customHeight="1" x14ac:dyDescent="0.25">
      <c r="H684" s="43" t="str">
        <f>IFERROR(ABS(C684/VLOOKUP(2*$B684,$B685:C718,2,TRUE)),"--")</f>
        <v>--</v>
      </c>
      <c r="I684" s="43" t="str">
        <f>IFERROR(ABS(D684/VLOOKUP(2*$B684,$B685:D718,3,TRUE)),"--")</f>
        <v>--</v>
      </c>
      <c r="J684" s="43" t="str">
        <f>IFERROR(ABS(E684/VLOOKUP(2*$B684,$B685:E718,4,TRUE)),"--")</f>
        <v>--</v>
      </c>
      <c r="K684" s="43" t="str">
        <f>IFERROR(ABS(F684/VLOOKUP(2*$B684,$B685:F718,5,TRUE)),"--")</f>
        <v>--</v>
      </c>
      <c r="L684" s="43" t="str">
        <f>IFERROR(ABS(G684/VLOOKUP(2*$B684,$B685:G718,6,TRUE)),"--")</f>
        <v>--</v>
      </c>
      <c r="M684" s="38">
        <f>IF(AND(1+$Q$6&gt;H684,1-$Q$6&lt;H684,1+$Q$6&gt;I684,1-$Q$6&lt;I684,1+$Q$6&gt;J684,1-$Q$6&lt;J684,1+$Q$6&gt;K684,1-$Q$6&lt;K684,1+$Q$6&gt;L684,1-$Q$6&lt;L684),IF(SUM($M$2:M683)=0,1,0),0)</f>
        <v>0</v>
      </c>
      <c r="N684" s="38">
        <f>IF(AND(1+$Q$7&gt;H684,1-$Q$7&lt;H684,1+$Q$7&gt;I684,1-$Q$7&lt;I684,1+$Q$7&gt;J684,1-$Q$7&lt;J684,1+$Q$7&gt;K684,1-$Q$7&lt;K684,1+$Q$7&gt;L684,1-$Q$7&lt;L684),IF(SUM($N$2:N683)=0,1,0),0)</f>
        <v>0</v>
      </c>
      <c r="O684" s="34">
        <f t="shared" si="10"/>
        <v>0</v>
      </c>
    </row>
    <row r="685" spans="8:15" ht="20.100000000000001" customHeight="1" x14ac:dyDescent="0.25">
      <c r="H685" s="43" t="str">
        <f>IFERROR(ABS(C685/VLOOKUP(2*$B685,$B686:C719,2,TRUE)),"--")</f>
        <v>--</v>
      </c>
      <c r="I685" s="43" t="str">
        <f>IFERROR(ABS(D685/VLOOKUP(2*$B685,$B686:D719,3,TRUE)),"--")</f>
        <v>--</v>
      </c>
      <c r="J685" s="43" t="str">
        <f>IFERROR(ABS(E685/VLOOKUP(2*$B685,$B686:E719,4,TRUE)),"--")</f>
        <v>--</v>
      </c>
      <c r="K685" s="43" t="str">
        <f>IFERROR(ABS(F685/VLOOKUP(2*$B685,$B686:F719,5,TRUE)),"--")</f>
        <v>--</v>
      </c>
      <c r="L685" s="43" t="str">
        <f>IFERROR(ABS(G685/VLOOKUP(2*$B685,$B686:G719,6,TRUE)),"--")</f>
        <v>--</v>
      </c>
      <c r="M685" s="38">
        <f>IF(AND(1+$Q$6&gt;H685,1-$Q$6&lt;H685,1+$Q$6&gt;I685,1-$Q$6&lt;I685,1+$Q$6&gt;J685,1-$Q$6&lt;J685,1+$Q$6&gt;K685,1-$Q$6&lt;K685,1+$Q$6&gt;L685,1-$Q$6&lt;L685),IF(SUM($M$2:M684)=0,1,0),0)</f>
        <v>0</v>
      </c>
      <c r="N685" s="38">
        <f>IF(AND(1+$Q$7&gt;H685,1-$Q$7&lt;H685,1+$Q$7&gt;I685,1-$Q$7&lt;I685,1+$Q$7&gt;J685,1-$Q$7&lt;J685,1+$Q$7&gt;K685,1-$Q$7&lt;K685,1+$Q$7&gt;L685,1-$Q$7&lt;L685),IF(SUM($N$2:N684)=0,1,0),0)</f>
        <v>0</v>
      </c>
      <c r="O685" s="34">
        <f t="shared" si="10"/>
        <v>0</v>
      </c>
    </row>
    <row r="686" spans="8:15" ht="20.100000000000001" customHeight="1" x14ac:dyDescent="0.25">
      <c r="H686" s="43" t="str">
        <f>IFERROR(ABS(C686/VLOOKUP(2*$B686,$B687:C720,2,TRUE)),"--")</f>
        <v>--</v>
      </c>
      <c r="I686" s="43" t="str">
        <f>IFERROR(ABS(D686/VLOOKUP(2*$B686,$B687:D720,3,TRUE)),"--")</f>
        <v>--</v>
      </c>
      <c r="J686" s="43" t="str">
        <f>IFERROR(ABS(E686/VLOOKUP(2*$B686,$B687:E720,4,TRUE)),"--")</f>
        <v>--</v>
      </c>
      <c r="K686" s="43" t="str">
        <f>IFERROR(ABS(F686/VLOOKUP(2*$B686,$B687:F720,5,TRUE)),"--")</f>
        <v>--</v>
      </c>
      <c r="L686" s="43" t="str">
        <f>IFERROR(ABS(G686/VLOOKUP(2*$B686,$B687:G720,6,TRUE)),"--")</f>
        <v>--</v>
      </c>
      <c r="M686" s="38">
        <f>IF(AND(1+$Q$6&gt;H686,1-$Q$6&lt;H686,1+$Q$6&gt;I686,1-$Q$6&lt;I686,1+$Q$6&gt;J686,1-$Q$6&lt;J686,1+$Q$6&gt;K686,1-$Q$6&lt;K686,1+$Q$6&gt;L686,1-$Q$6&lt;L686),IF(SUM($M$2:M685)=0,1,0),0)</f>
        <v>0</v>
      </c>
      <c r="N686" s="38">
        <f>IF(AND(1+$Q$7&gt;H686,1-$Q$7&lt;H686,1+$Q$7&gt;I686,1-$Q$7&lt;I686,1+$Q$7&gt;J686,1-$Q$7&lt;J686,1+$Q$7&gt;K686,1-$Q$7&lt;K686,1+$Q$7&gt;L686,1-$Q$7&lt;L686),IF(SUM($N$2:N685)=0,1,0),0)</f>
        <v>0</v>
      </c>
      <c r="O686" s="34">
        <f t="shared" si="10"/>
        <v>0</v>
      </c>
    </row>
    <row r="687" spans="8:15" ht="20.100000000000001" customHeight="1" x14ac:dyDescent="0.25">
      <c r="H687" s="43" t="str">
        <f>IFERROR(ABS(C687/VLOOKUP(2*$B687,$B688:C721,2,TRUE)),"--")</f>
        <v>--</v>
      </c>
      <c r="I687" s="43" t="str">
        <f>IFERROR(ABS(D687/VLOOKUP(2*$B687,$B688:D721,3,TRUE)),"--")</f>
        <v>--</v>
      </c>
      <c r="J687" s="43" t="str">
        <f>IFERROR(ABS(E687/VLOOKUP(2*$B687,$B688:E721,4,TRUE)),"--")</f>
        <v>--</v>
      </c>
      <c r="K687" s="43" t="str">
        <f>IFERROR(ABS(F687/VLOOKUP(2*$B687,$B688:F721,5,TRUE)),"--")</f>
        <v>--</v>
      </c>
      <c r="L687" s="43" t="str">
        <f>IFERROR(ABS(G687/VLOOKUP(2*$B687,$B688:G721,6,TRUE)),"--")</f>
        <v>--</v>
      </c>
      <c r="M687" s="38">
        <f>IF(AND(1+$Q$6&gt;H687,1-$Q$6&lt;H687,1+$Q$6&gt;I687,1-$Q$6&lt;I687,1+$Q$6&gt;J687,1-$Q$6&lt;J687,1+$Q$6&gt;K687,1-$Q$6&lt;K687,1+$Q$6&gt;L687,1-$Q$6&lt;L687),IF(SUM($M$2:M686)=0,1,0),0)</f>
        <v>0</v>
      </c>
      <c r="N687" s="38">
        <f>IF(AND(1+$Q$7&gt;H687,1-$Q$7&lt;H687,1+$Q$7&gt;I687,1-$Q$7&lt;I687,1+$Q$7&gt;J687,1-$Q$7&lt;J687,1+$Q$7&gt;K687,1-$Q$7&lt;K687,1+$Q$7&gt;L687,1-$Q$7&lt;L687),IF(SUM($N$2:N686)=0,1,0),0)</f>
        <v>0</v>
      </c>
      <c r="O687" s="34">
        <f t="shared" si="10"/>
        <v>0</v>
      </c>
    </row>
    <row r="688" spans="8:15" ht="20.100000000000001" customHeight="1" x14ac:dyDescent="0.25">
      <c r="H688" s="43" t="str">
        <f>IFERROR(ABS(C688/VLOOKUP(2*$B688,$B689:C722,2,TRUE)),"--")</f>
        <v>--</v>
      </c>
      <c r="I688" s="43" t="str">
        <f>IFERROR(ABS(D688/VLOOKUP(2*$B688,$B689:D722,3,TRUE)),"--")</f>
        <v>--</v>
      </c>
      <c r="J688" s="43" t="str">
        <f>IFERROR(ABS(E688/VLOOKUP(2*$B688,$B689:E722,4,TRUE)),"--")</f>
        <v>--</v>
      </c>
      <c r="K688" s="43" t="str">
        <f>IFERROR(ABS(F688/VLOOKUP(2*$B688,$B689:F722,5,TRUE)),"--")</f>
        <v>--</v>
      </c>
      <c r="L688" s="43" t="str">
        <f>IFERROR(ABS(G688/VLOOKUP(2*$B688,$B689:G722,6,TRUE)),"--")</f>
        <v>--</v>
      </c>
      <c r="M688" s="38">
        <f>IF(AND(1+$Q$6&gt;H688,1-$Q$6&lt;H688,1+$Q$6&gt;I688,1-$Q$6&lt;I688,1+$Q$6&gt;J688,1-$Q$6&lt;J688,1+$Q$6&gt;K688,1-$Q$6&lt;K688,1+$Q$6&gt;L688,1-$Q$6&lt;L688),IF(SUM($M$2:M687)=0,1,0),0)</f>
        <v>0</v>
      </c>
      <c r="N688" s="38">
        <f>IF(AND(1+$Q$7&gt;H688,1-$Q$7&lt;H688,1+$Q$7&gt;I688,1-$Q$7&lt;I688,1+$Q$7&gt;J688,1-$Q$7&lt;J688,1+$Q$7&gt;K688,1-$Q$7&lt;K688,1+$Q$7&gt;L688,1-$Q$7&lt;L688),IF(SUM($N$2:N687)=0,1,0),0)</f>
        <v>0</v>
      </c>
      <c r="O688" s="34">
        <f t="shared" si="10"/>
        <v>0</v>
      </c>
    </row>
    <row r="689" spans="8:15" ht="20.100000000000001" customHeight="1" x14ac:dyDescent="0.25">
      <c r="H689" s="43" t="str">
        <f>IFERROR(ABS(C689/VLOOKUP(2*$B689,$B690:C723,2,TRUE)),"--")</f>
        <v>--</v>
      </c>
      <c r="I689" s="43" t="str">
        <f>IFERROR(ABS(D689/VLOOKUP(2*$B689,$B690:D723,3,TRUE)),"--")</f>
        <v>--</v>
      </c>
      <c r="J689" s="43" t="str">
        <f>IFERROR(ABS(E689/VLOOKUP(2*$B689,$B690:E723,4,TRUE)),"--")</f>
        <v>--</v>
      </c>
      <c r="K689" s="43" t="str">
        <f>IFERROR(ABS(F689/VLOOKUP(2*$B689,$B690:F723,5,TRUE)),"--")</f>
        <v>--</v>
      </c>
      <c r="L689" s="43" t="str">
        <f>IFERROR(ABS(G689/VLOOKUP(2*$B689,$B690:G723,6,TRUE)),"--")</f>
        <v>--</v>
      </c>
      <c r="M689" s="38">
        <f>IF(AND(1+$Q$6&gt;H689,1-$Q$6&lt;H689,1+$Q$6&gt;I689,1-$Q$6&lt;I689,1+$Q$6&gt;J689,1-$Q$6&lt;J689,1+$Q$6&gt;K689,1-$Q$6&lt;K689,1+$Q$6&gt;L689,1-$Q$6&lt;L689),IF(SUM($M$2:M688)=0,1,0),0)</f>
        <v>0</v>
      </c>
      <c r="N689" s="38">
        <f>IF(AND(1+$Q$7&gt;H689,1-$Q$7&lt;H689,1+$Q$7&gt;I689,1-$Q$7&lt;I689,1+$Q$7&gt;J689,1-$Q$7&lt;J689,1+$Q$7&gt;K689,1-$Q$7&lt;K689,1+$Q$7&gt;L689,1-$Q$7&lt;L689),IF(SUM($N$2:N688)=0,1,0),0)</f>
        <v>0</v>
      </c>
      <c r="O689" s="34">
        <f t="shared" si="10"/>
        <v>0</v>
      </c>
    </row>
    <row r="690" spans="8:15" ht="20.100000000000001" customHeight="1" x14ac:dyDescent="0.25">
      <c r="H690" s="43" t="str">
        <f>IFERROR(ABS(C690/VLOOKUP(2*$B690,$B691:C724,2,TRUE)),"--")</f>
        <v>--</v>
      </c>
      <c r="I690" s="43" t="str">
        <f>IFERROR(ABS(D690/VLOOKUP(2*$B690,$B691:D724,3,TRUE)),"--")</f>
        <v>--</v>
      </c>
      <c r="J690" s="43" t="str">
        <f>IFERROR(ABS(E690/VLOOKUP(2*$B690,$B691:E724,4,TRUE)),"--")</f>
        <v>--</v>
      </c>
      <c r="K690" s="43" t="str">
        <f>IFERROR(ABS(F690/VLOOKUP(2*$B690,$B691:F724,5,TRUE)),"--")</f>
        <v>--</v>
      </c>
      <c r="L690" s="43" t="str">
        <f>IFERROR(ABS(G690/VLOOKUP(2*$B690,$B691:G724,6,TRUE)),"--")</f>
        <v>--</v>
      </c>
      <c r="M690" s="38">
        <f>IF(AND(1+$Q$6&gt;H690,1-$Q$6&lt;H690,1+$Q$6&gt;I690,1-$Q$6&lt;I690,1+$Q$6&gt;J690,1-$Q$6&lt;J690,1+$Q$6&gt;K690,1-$Q$6&lt;K690,1+$Q$6&gt;L690,1-$Q$6&lt;L690),IF(SUM($M$2:M689)=0,1,0),0)</f>
        <v>0</v>
      </c>
      <c r="N690" s="38">
        <f>IF(AND(1+$Q$7&gt;H690,1-$Q$7&lt;H690,1+$Q$7&gt;I690,1-$Q$7&lt;I690,1+$Q$7&gt;J690,1-$Q$7&lt;J690,1+$Q$7&gt;K690,1-$Q$7&lt;K690,1+$Q$7&gt;L690,1-$Q$7&lt;L690),IF(SUM($N$2:N689)=0,1,0),0)</f>
        <v>0</v>
      </c>
      <c r="O690" s="34">
        <f t="shared" si="10"/>
        <v>0</v>
      </c>
    </row>
    <row r="691" spans="8:15" ht="20.100000000000001" customHeight="1" x14ac:dyDescent="0.25">
      <c r="H691" s="43" t="str">
        <f>IFERROR(ABS(C691/VLOOKUP(2*$B691,$B692:C725,2,TRUE)),"--")</f>
        <v>--</v>
      </c>
      <c r="I691" s="43" t="str">
        <f>IFERROR(ABS(D691/VLOOKUP(2*$B691,$B692:D725,3,TRUE)),"--")</f>
        <v>--</v>
      </c>
      <c r="J691" s="43" t="str">
        <f>IFERROR(ABS(E691/VLOOKUP(2*$B691,$B692:E725,4,TRUE)),"--")</f>
        <v>--</v>
      </c>
      <c r="K691" s="43" t="str">
        <f>IFERROR(ABS(F691/VLOOKUP(2*$B691,$B692:F725,5,TRUE)),"--")</f>
        <v>--</v>
      </c>
      <c r="L691" s="43" t="str">
        <f>IFERROR(ABS(G691/VLOOKUP(2*$B691,$B692:G725,6,TRUE)),"--")</f>
        <v>--</v>
      </c>
      <c r="M691" s="38">
        <f>IF(AND(1+$Q$6&gt;H691,1-$Q$6&lt;H691,1+$Q$6&gt;I691,1-$Q$6&lt;I691,1+$Q$6&gt;J691,1-$Q$6&lt;J691,1+$Q$6&gt;K691,1-$Q$6&lt;K691,1+$Q$6&gt;L691,1-$Q$6&lt;L691),IF(SUM($M$2:M690)=0,1,0),0)</f>
        <v>0</v>
      </c>
      <c r="N691" s="38">
        <f>IF(AND(1+$Q$7&gt;H691,1-$Q$7&lt;H691,1+$Q$7&gt;I691,1-$Q$7&lt;I691,1+$Q$7&gt;J691,1-$Q$7&lt;J691,1+$Q$7&gt;K691,1-$Q$7&lt;K691,1+$Q$7&gt;L691,1-$Q$7&lt;L691),IF(SUM($N$2:N690)=0,1,0),0)</f>
        <v>0</v>
      </c>
      <c r="O691" s="34">
        <f t="shared" si="10"/>
        <v>0</v>
      </c>
    </row>
    <row r="692" spans="8:15" ht="20.100000000000001" customHeight="1" x14ac:dyDescent="0.25">
      <c r="H692" s="43" t="str">
        <f>IFERROR(ABS(C692/VLOOKUP(2*$B692,$B693:C726,2,TRUE)),"--")</f>
        <v>--</v>
      </c>
      <c r="I692" s="43" t="str">
        <f>IFERROR(ABS(D692/VLOOKUP(2*$B692,$B693:D726,3,TRUE)),"--")</f>
        <v>--</v>
      </c>
      <c r="J692" s="43" t="str">
        <f>IFERROR(ABS(E692/VLOOKUP(2*$B692,$B693:E726,4,TRUE)),"--")</f>
        <v>--</v>
      </c>
      <c r="K692" s="43" t="str">
        <f>IFERROR(ABS(F692/VLOOKUP(2*$B692,$B693:F726,5,TRUE)),"--")</f>
        <v>--</v>
      </c>
      <c r="L692" s="43" t="str">
        <f>IFERROR(ABS(G692/VLOOKUP(2*$B692,$B693:G726,6,TRUE)),"--")</f>
        <v>--</v>
      </c>
      <c r="M692" s="38">
        <f>IF(AND(1+$Q$6&gt;H692,1-$Q$6&lt;H692,1+$Q$6&gt;I692,1-$Q$6&lt;I692,1+$Q$6&gt;J692,1-$Q$6&lt;J692,1+$Q$6&gt;K692,1-$Q$6&lt;K692,1+$Q$6&gt;L692,1-$Q$6&lt;L692),IF(SUM($M$2:M691)=0,1,0),0)</f>
        <v>0</v>
      </c>
      <c r="N692" s="38">
        <f>IF(AND(1+$Q$7&gt;H692,1-$Q$7&lt;H692,1+$Q$7&gt;I692,1-$Q$7&lt;I692,1+$Q$7&gt;J692,1-$Q$7&lt;J692,1+$Q$7&gt;K692,1-$Q$7&lt;K692,1+$Q$7&gt;L692,1-$Q$7&lt;L692),IF(SUM($N$2:N691)=0,1,0),0)</f>
        <v>0</v>
      </c>
      <c r="O692" s="34">
        <f t="shared" si="10"/>
        <v>0</v>
      </c>
    </row>
    <row r="693" spans="8:15" ht="20.100000000000001" customHeight="1" x14ac:dyDescent="0.25">
      <c r="H693" s="43" t="str">
        <f>IFERROR(ABS(C693/VLOOKUP(2*$B693,$B694:C727,2,TRUE)),"--")</f>
        <v>--</v>
      </c>
      <c r="I693" s="43" t="str">
        <f>IFERROR(ABS(D693/VLOOKUP(2*$B693,$B694:D727,3,TRUE)),"--")</f>
        <v>--</v>
      </c>
      <c r="J693" s="43" t="str">
        <f>IFERROR(ABS(E693/VLOOKUP(2*$B693,$B694:E727,4,TRUE)),"--")</f>
        <v>--</v>
      </c>
      <c r="K693" s="43" t="str">
        <f>IFERROR(ABS(F693/VLOOKUP(2*$B693,$B694:F727,5,TRUE)),"--")</f>
        <v>--</v>
      </c>
      <c r="L693" s="43" t="str">
        <f>IFERROR(ABS(G693/VLOOKUP(2*$B693,$B694:G727,6,TRUE)),"--")</f>
        <v>--</v>
      </c>
      <c r="M693" s="38">
        <f>IF(AND(1+$Q$6&gt;H693,1-$Q$6&lt;H693,1+$Q$6&gt;I693,1-$Q$6&lt;I693,1+$Q$6&gt;J693,1-$Q$6&lt;J693,1+$Q$6&gt;K693,1-$Q$6&lt;K693,1+$Q$6&gt;L693,1-$Q$6&lt;L693),IF(SUM($M$2:M692)=0,1,0),0)</f>
        <v>0</v>
      </c>
      <c r="N693" s="38">
        <f>IF(AND(1+$Q$7&gt;H693,1-$Q$7&lt;H693,1+$Q$7&gt;I693,1-$Q$7&lt;I693,1+$Q$7&gt;J693,1-$Q$7&lt;J693,1+$Q$7&gt;K693,1-$Q$7&lt;K693,1+$Q$7&gt;L693,1-$Q$7&lt;L693),IF(SUM($N$2:N692)=0,1,0),0)</f>
        <v>0</v>
      </c>
      <c r="O693" s="34">
        <f t="shared" si="10"/>
        <v>0</v>
      </c>
    </row>
    <row r="694" spans="8:15" ht="20.100000000000001" customHeight="1" x14ac:dyDescent="0.25">
      <c r="H694" s="43" t="str">
        <f>IFERROR(ABS(C694/VLOOKUP(2*$B694,$B695:C728,2,TRUE)),"--")</f>
        <v>--</v>
      </c>
      <c r="I694" s="43" t="str">
        <f>IFERROR(ABS(D694/VLOOKUP(2*$B694,$B695:D728,3,TRUE)),"--")</f>
        <v>--</v>
      </c>
      <c r="J694" s="43" t="str">
        <f>IFERROR(ABS(E694/VLOOKUP(2*$B694,$B695:E728,4,TRUE)),"--")</f>
        <v>--</v>
      </c>
      <c r="K694" s="43" t="str">
        <f>IFERROR(ABS(F694/VLOOKUP(2*$B694,$B695:F728,5,TRUE)),"--")</f>
        <v>--</v>
      </c>
      <c r="L694" s="43" t="str">
        <f>IFERROR(ABS(G694/VLOOKUP(2*$B694,$B695:G728,6,TRUE)),"--")</f>
        <v>--</v>
      </c>
      <c r="M694" s="38">
        <f>IF(AND(1+$Q$6&gt;H694,1-$Q$6&lt;H694,1+$Q$6&gt;I694,1-$Q$6&lt;I694,1+$Q$6&gt;J694,1-$Q$6&lt;J694,1+$Q$6&gt;K694,1-$Q$6&lt;K694,1+$Q$6&gt;L694,1-$Q$6&lt;L694),IF(SUM($M$2:M693)=0,1,0),0)</f>
        <v>0</v>
      </c>
      <c r="N694" s="38">
        <f>IF(AND(1+$Q$7&gt;H694,1-$Q$7&lt;H694,1+$Q$7&gt;I694,1-$Q$7&lt;I694,1+$Q$7&gt;J694,1-$Q$7&lt;J694,1+$Q$7&gt;K694,1-$Q$7&lt;K694,1+$Q$7&gt;L694,1-$Q$7&lt;L694),IF(SUM($N$2:N693)=0,1,0),0)</f>
        <v>0</v>
      </c>
      <c r="O694" s="34">
        <f t="shared" si="10"/>
        <v>0</v>
      </c>
    </row>
    <row r="695" spans="8:15" ht="20.100000000000001" customHeight="1" x14ac:dyDescent="0.25">
      <c r="H695" s="43" t="str">
        <f>IFERROR(ABS(C695/VLOOKUP(2*$B695,$B696:C729,2,TRUE)),"--")</f>
        <v>--</v>
      </c>
      <c r="I695" s="43" t="str">
        <f>IFERROR(ABS(D695/VLOOKUP(2*$B695,$B696:D729,3,TRUE)),"--")</f>
        <v>--</v>
      </c>
      <c r="J695" s="43" t="str">
        <f>IFERROR(ABS(E695/VLOOKUP(2*$B695,$B696:E729,4,TRUE)),"--")</f>
        <v>--</v>
      </c>
      <c r="K695" s="43" t="str">
        <f>IFERROR(ABS(F695/VLOOKUP(2*$B695,$B696:F729,5,TRUE)),"--")</f>
        <v>--</v>
      </c>
      <c r="L695" s="43" t="str">
        <f>IFERROR(ABS(G695/VLOOKUP(2*$B695,$B696:G729,6,TRUE)),"--")</f>
        <v>--</v>
      </c>
      <c r="M695" s="38">
        <f>IF(AND(1+$Q$6&gt;H695,1-$Q$6&lt;H695,1+$Q$6&gt;I695,1-$Q$6&lt;I695,1+$Q$6&gt;J695,1-$Q$6&lt;J695,1+$Q$6&gt;K695,1-$Q$6&lt;K695,1+$Q$6&gt;L695,1-$Q$6&lt;L695),IF(SUM($M$2:M694)=0,1,0),0)</f>
        <v>0</v>
      </c>
      <c r="N695" s="38">
        <f>IF(AND(1+$Q$7&gt;H695,1-$Q$7&lt;H695,1+$Q$7&gt;I695,1-$Q$7&lt;I695,1+$Q$7&gt;J695,1-$Q$7&lt;J695,1+$Q$7&gt;K695,1-$Q$7&lt;K695,1+$Q$7&gt;L695,1-$Q$7&lt;L695),IF(SUM($N$2:N694)=0,1,0),0)</f>
        <v>0</v>
      </c>
      <c r="O695" s="34">
        <f t="shared" si="10"/>
        <v>0</v>
      </c>
    </row>
    <row r="696" spans="8:15" ht="20.100000000000001" customHeight="1" x14ac:dyDescent="0.25">
      <c r="H696" s="43" t="str">
        <f>IFERROR(ABS(C696/VLOOKUP(2*$B696,$B697:C730,2,TRUE)),"--")</f>
        <v>--</v>
      </c>
      <c r="I696" s="43" t="str">
        <f>IFERROR(ABS(D696/VLOOKUP(2*$B696,$B697:D730,3,TRUE)),"--")</f>
        <v>--</v>
      </c>
      <c r="J696" s="43" t="str">
        <f>IFERROR(ABS(E696/VLOOKUP(2*$B696,$B697:E730,4,TRUE)),"--")</f>
        <v>--</v>
      </c>
      <c r="K696" s="43" t="str">
        <f>IFERROR(ABS(F696/VLOOKUP(2*$B696,$B697:F730,5,TRUE)),"--")</f>
        <v>--</v>
      </c>
      <c r="L696" s="43" t="str">
        <f>IFERROR(ABS(G696/VLOOKUP(2*$B696,$B697:G730,6,TRUE)),"--")</f>
        <v>--</v>
      </c>
      <c r="M696" s="38">
        <f>IF(AND(1+$Q$6&gt;H696,1-$Q$6&lt;H696,1+$Q$6&gt;I696,1-$Q$6&lt;I696,1+$Q$6&gt;J696,1-$Q$6&lt;J696,1+$Q$6&gt;K696,1-$Q$6&lt;K696,1+$Q$6&gt;L696,1-$Q$6&lt;L696),IF(SUM($M$2:M695)=0,1,0),0)</f>
        <v>0</v>
      </c>
      <c r="N696" s="38">
        <f>IF(AND(1+$Q$7&gt;H696,1-$Q$7&lt;H696,1+$Q$7&gt;I696,1-$Q$7&lt;I696,1+$Q$7&gt;J696,1-$Q$7&lt;J696,1+$Q$7&gt;K696,1-$Q$7&lt;K696,1+$Q$7&gt;L696,1-$Q$7&lt;L696),IF(SUM($N$2:N695)=0,1,0),0)</f>
        <v>0</v>
      </c>
      <c r="O696" s="34">
        <f t="shared" si="10"/>
        <v>0</v>
      </c>
    </row>
    <row r="697" spans="8:15" ht="20.100000000000001" customHeight="1" x14ac:dyDescent="0.25">
      <c r="H697" s="43" t="str">
        <f>IFERROR(ABS(C697/VLOOKUP(2*$B697,$B698:C731,2,TRUE)),"--")</f>
        <v>--</v>
      </c>
      <c r="I697" s="43" t="str">
        <f>IFERROR(ABS(D697/VLOOKUP(2*$B697,$B698:D731,3,TRUE)),"--")</f>
        <v>--</v>
      </c>
      <c r="J697" s="43" t="str">
        <f>IFERROR(ABS(E697/VLOOKUP(2*$B697,$B698:E731,4,TRUE)),"--")</f>
        <v>--</v>
      </c>
      <c r="K697" s="43" t="str">
        <f>IFERROR(ABS(F697/VLOOKUP(2*$B697,$B698:F731,5,TRUE)),"--")</f>
        <v>--</v>
      </c>
      <c r="L697" s="43" t="str">
        <f>IFERROR(ABS(G697/VLOOKUP(2*$B697,$B698:G731,6,TRUE)),"--")</f>
        <v>--</v>
      </c>
      <c r="M697" s="38">
        <f>IF(AND(1+$Q$6&gt;H697,1-$Q$6&lt;H697,1+$Q$6&gt;I697,1-$Q$6&lt;I697,1+$Q$6&gt;J697,1-$Q$6&lt;J697,1+$Q$6&gt;K697,1-$Q$6&lt;K697,1+$Q$6&gt;L697,1-$Q$6&lt;L697),IF(SUM($M$2:M696)=0,1,0),0)</f>
        <v>0</v>
      </c>
      <c r="N697" s="38">
        <f>IF(AND(1+$Q$7&gt;H697,1-$Q$7&lt;H697,1+$Q$7&gt;I697,1-$Q$7&lt;I697,1+$Q$7&gt;J697,1-$Q$7&lt;J697,1+$Q$7&gt;K697,1-$Q$7&lt;K697,1+$Q$7&gt;L697,1-$Q$7&lt;L697),IF(SUM($N$2:N696)=0,1,0),0)</f>
        <v>0</v>
      </c>
      <c r="O697" s="34">
        <f t="shared" si="10"/>
        <v>0</v>
      </c>
    </row>
    <row r="698" spans="8:15" ht="20.100000000000001" customHeight="1" x14ac:dyDescent="0.25">
      <c r="H698" s="43" t="str">
        <f>IFERROR(ABS(C698/VLOOKUP(2*$B698,$B699:C732,2,TRUE)),"--")</f>
        <v>--</v>
      </c>
      <c r="I698" s="43" t="str">
        <f>IFERROR(ABS(D698/VLOOKUP(2*$B698,$B699:D732,3,TRUE)),"--")</f>
        <v>--</v>
      </c>
      <c r="J698" s="43" t="str">
        <f>IFERROR(ABS(E698/VLOOKUP(2*$B698,$B699:E732,4,TRUE)),"--")</f>
        <v>--</v>
      </c>
      <c r="K698" s="43" t="str">
        <f>IFERROR(ABS(F698/VLOOKUP(2*$B698,$B699:F732,5,TRUE)),"--")</f>
        <v>--</v>
      </c>
      <c r="L698" s="43" t="str">
        <f>IFERROR(ABS(G698/VLOOKUP(2*$B698,$B699:G732,6,TRUE)),"--")</f>
        <v>--</v>
      </c>
      <c r="M698" s="38">
        <f>IF(AND(1+$Q$6&gt;H698,1-$Q$6&lt;H698,1+$Q$6&gt;I698,1-$Q$6&lt;I698,1+$Q$6&gt;J698,1-$Q$6&lt;J698,1+$Q$6&gt;K698,1-$Q$6&lt;K698,1+$Q$6&gt;L698,1-$Q$6&lt;L698),IF(SUM($M$2:M697)=0,1,0),0)</f>
        <v>0</v>
      </c>
      <c r="N698" s="38">
        <f>IF(AND(1+$Q$7&gt;H698,1-$Q$7&lt;H698,1+$Q$7&gt;I698,1-$Q$7&lt;I698,1+$Q$7&gt;J698,1-$Q$7&lt;J698,1+$Q$7&gt;K698,1-$Q$7&lt;K698,1+$Q$7&gt;L698,1-$Q$7&lt;L698),IF(SUM($N$2:N697)=0,1,0),0)</f>
        <v>0</v>
      </c>
      <c r="O698" s="34">
        <f t="shared" si="10"/>
        <v>0</v>
      </c>
    </row>
    <row r="699" spans="8:15" ht="20.100000000000001" customHeight="1" x14ac:dyDescent="0.25">
      <c r="H699" s="43" t="str">
        <f>IFERROR(ABS(C699/VLOOKUP(2*$B699,$B700:C733,2,TRUE)),"--")</f>
        <v>--</v>
      </c>
      <c r="I699" s="43" t="str">
        <f>IFERROR(ABS(D699/VLOOKUP(2*$B699,$B700:D733,3,TRUE)),"--")</f>
        <v>--</v>
      </c>
      <c r="J699" s="43" t="str">
        <f>IFERROR(ABS(E699/VLOOKUP(2*$B699,$B700:E733,4,TRUE)),"--")</f>
        <v>--</v>
      </c>
      <c r="K699" s="43" t="str">
        <f>IFERROR(ABS(F699/VLOOKUP(2*$B699,$B700:F733,5,TRUE)),"--")</f>
        <v>--</v>
      </c>
      <c r="L699" s="43" t="str">
        <f>IFERROR(ABS(G699/VLOOKUP(2*$B699,$B700:G733,6,TRUE)),"--")</f>
        <v>--</v>
      </c>
      <c r="M699" s="38">
        <f>IF(AND(1+$Q$6&gt;H699,1-$Q$6&lt;H699,1+$Q$6&gt;I699,1-$Q$6&lt;I699,1+$Q$6&gt;J699,1-$Q$6&lt;J699,1+$Q$6&gt;K699,1-$Q$6&lt;K699,1+$Q$6&gt;L699,1-$Q$6&lt;L699),IF(SUM($M$2:M698)=0,1,0),0)</f>
        <v>0</v>
      </c>
      <c r="N699" s="38">
        <f>IF(AND(1+$Q$7&gt;H699,1-$Q$7&lt;H699,1+$Q$7&gt;I699,1-$Q$7&lt;I699,1+$Q$7&gt;J699,1-$Q$7&lt;J699,1+$Q$7&gt;K699,1-$Q$7&lt;K699,1+$Q$7&gt;L699,1-$Q$7&lt;L699),IF(SUM($N$2:N698)=0,1,0),0)</f>
        <v>0</v>
      </c>
      <c r="O699" s="34">
        <f t="shared" si="10"/>
        <v>0</v>
      </c>
    </row>
    <row r="700" spans="8:15" ht="20.100000000000001" customHeight="1" x14ac:dyDescent="0.25">
      <c r="H700" s="43" t="str">
        <f>IFERROR(ABS(C700/VLOOKUP(2*$B700,$B701:C734,2,TRUE)),"--")</f>
        <v>--</v>
      </c>
      <c r="I700" s="43" t="str">
        <f>IFERROR(ABS(D700/VLOOKUP(2*$B700,$B701:D734,3,TRUE)),"--")</f>
        <v>--</v>
      </c>
      <c r="J700" s="43" t="str">
        <f>IFERROR(ABS(E700/VLOOKUP(2*$B700,$B701:E734,4,TRUE)),"--")</f>
        <v>--</v>
      </c>
      <c r="K700" s="43" t="str">
        <f>IFERROR(ABS(F700/VLOOKUP(2*$B700,$B701:F734,5,TRUE)),"--")</f>
        <v>--</v>
      </c>
      <c r="L700" s="43" t="str">
        <f>IFERROR(ABS(G700/VLOOKUP(2*$B700,$B701:G734,6,TRUE)),"--")</f>
        <v>--</v>
      </c>
      <c r="M700" s="38">
        <f>IF(AND(1+$Q$6&gt;H700,1-$Q$6&lt;H700,1+$Q$6&gt;I700,1-$Q$6&lt;I700,1+$Q$6&gt;J700,1-$Q$6&lt;J700,1+$Q$6&gt;K700,1-$Q$6&lt;K700,1+$Q$6&gt;L700,1-$Q$6&lt;L700),IF(SUM($M$2:M699)=0,1,0),0)</f>
        <v>0</v>
      </c>
      <c r="N700" s="38">
        <f>IF(AND(1+$Q$7&gt;H700,1-$Q$7&lt;H700,1+$Q$7&gt;I700,1-$Q$7&lt;I700,1+$Q$7&gt;J700,1-$Q$7&lt;J700,1+$Q$7&gt;K700,1-$Q$7&lt;K700,1+$Q$7&gt;L700,1-$Q$7&lt;L700),IF(SUM($N$2:N699)=0,1,0),0)</f>
        <v>0</v>
      </c>
      <c r="O700" s="34">
        <f t="shared" si="10"/>
        <v>0</v>
      </c>
    </row>
    <row r="701" spans="8:15" ht="20.100000000000001" customHeight="1" x14ac:dyDescent="0.25">
      <c r="H701" s="43" t="str">
        <f>IFERROR(ABS(C701/VLOOKUP(2*$B701,$B702:C735,2,TRUE)),"--")</f>
        <v>--</v>
      </c>
      <c r="I701" s="43" t="str">
        <f>IFERROR(ABS(D701/VLOOKUP(2*$B701,$B702:D735,3,TRUE)),"--")</f>
        <v>--</v>
      </c>
      <c r="J701" s="43" t="str">
        <f>IFERROR(ABS(E701/VLOOKUP(2*$B701,$B702:E735,4,TRUE)),"--")</f>
        <v>--</v>
      </c>
      <c r="K701" s="43" t="str">
        <f>IFERROR(ABS(F701/VLOOKUP(2*$B701,$B702:F735,5,TRUE)),"--")</f>
        <v>--</v>
      </c>
      <c r="L701" s="43" t="str">
        <f>IFERROR(ABS(G701/VLOOKUP(2*$B701,$B702:G735,6,TRUE)),"--")</f>
        <v>--</v>
      </c>
      <c r="M701" s="38">
        <f>IF(AND(1+$Q$6&gt;H701,1-$Q$6&lt;H701,1+$Q$6&gt;I701,1-$Q$6&lt;I701,1+$Q$6&gt;J701,1-$Q$6&lt;J701,1+$Q$6&gt;K701,1-$Q$6&lt;K701,1+$Q$6&gt;L701,1-$Q$6&lt;L701),IF(SUM($M$2:M700)=0,1,0),0)</f>
        <v>0</v>
      </c>
      <c r="N701" s="38">
        <f>IF(AND(1+$Q$7&gt;H701,1-$Q$7&lt;H701,1+$Q$7&gt;I701,1-$Q$7&lt;I701,1+$Q$7&gt;J701,1-$Q$7&lt;J701,1+$Q$7&gt;K701,1-$Q$7&lt;K701,1+$Q$7&gt;L701,1-$Q$7&lt;L701),IF(SUM($N$2:N700)=0,1,0),0)</f>
        <v>0</v>
      </c>
      <c r="O701" s="34">
        <f t="shared" si="10"/>
        <v>0</v>
      </c>
    </row>
    <row r="702" spans="8:15" ht="20.100000000000001" customHeight="1" x14ac:dyDescent="0.25">
      <c r="H702" s="43" t="str">
        <f>IFERROR(ABS(C702/VLOOKUP(2*$B702,$B703:C736,2,TRUE)),"--")</f>
        <v>--</v>
      </c>
      <c r="I702" s="43" t="str">
        <f>IFERROR(ABS(D702/VLOOKUP(2*$B702,$B703:D736,3,TRUE)),"--")</f>
        <v>--</v>
      </c>
      <c r="J702" s="43" t="str">
        <f>IFERROR(ABS(E702/VLOOKUP(2*$B702,$B703:E736,4,TRUE)),"--")</f>
        <v>--</v>
      </c>
      <c r="K702" s="43" t="str">
        <f>IFERROR(ABS(F702/VLOOKUP(2*$B702,$B703:F736,5,TRUE)),"--")</f>
        <v>--</v>
      </c>
      <c r="L702" s="43" t="str">
        <f>IFERROR(ABS(G702/VLOOKUP(2*$B702,$B703:G736,6,TRUE)),"--")</f>
        <v>--</v>
      </c>
      <c r="M702" s="38">
        <f>IF(AND(1+$Q$6&gt;H702,1-$Q$6&lt;H702,1+$Q$6&gt;I702,1-$Q$6&lt;I702,1+$Q$6&gt;J702,1-$Q$6&lt;J702,1+$Q$6&gt;K702,1-$Q$6&lt;K702,1+$Q$6&gt;L702,1-$Q$6&lt;L702),IF(SUM($M$2:M701)=0,1,0),0)</f>
        <v>0</v>
      </c>
      <c r="N702" s="38">
        <f>IF(AND(1+$Q$7&gt;H702,1-$Q$7&lt;H702,1+$Q$7&gt;I702,1-$Q$7&lt;I702,1+$Q$7&gt;J702,1-$Q$7&lt;J702,1+$Q$7&gt;K702,1-$Q$7&lt;K702,1+$Q$7&gt;L702,1-$Q$7&lt;L702),IF(SUM($N$2:N701)=0,1,0),0)</f>
        <v>0</v>
      </c>
      <c r="O702" s="34">
        <f t="shared" si="10"/>
        <v>0</v>
      </c>
    </row>
    <row r="703" spans="8:15" ht="20.100000000000001" customHeight="1" x14ac:dyDescent="0.25">
      <c r="H703" s="43" t="str">
        <f>IFERROR(ABS(C703/VLOOKUP(2*$B703,$B704:C737,2,TRUE)),"--")</f>
        <v>--</v>
      </c>
      <c r="I703" s="43" t="str">
        <f>IFERROR(ABS(D703/VLOOKUP(2*$B703,$B704:D737,3,TRUE)),"--")</f>
        <v>--</v>
      </c>
      <c r="J703" s="43" t="str">
        <f>IFERROR(ABS(E703/VLOOKUP(2*$B703,$B704:E737,4,TRUE)),"--")</f>
        <v>--</v>
      </c>
      <c r="K703" s="43" t="str">
        <f>IFERROR(ABS(F703/VLOOKUP(2*$B703,$B704:F737,5,TRUE)),"--")</f>
        <v>--</v>
      </c>
      <c r="L703" s="43" t="str">
        <f>IFERROR(ABS(G703/VLOOKUP(2*$B703,$B704:G737,6,TRUE)),"--")</f>
        <v>--</v>
      </c>
      <c r="M703" s="38">
        <f>IF(AND(1+$Q$6&gt;H703,1-$Q$6&lt;H703,1+$Q$6&gt;I703,1-$Q$6&lt;I703,1+$Q$6&gt;J703,1-$Q$6&lt;J703,1+$Q$6&gt;K703,1-$Q$6&lt;K703,1+$Q$6&gt;L703,1-$Q$6&lt;L703),IF(SUM($M$2:M702)=0,1,0),0)</f>
        <v>0</v>
      </c>
      <c r="N703" s="38">
        <f>IF(AND(1+$Q$7&gt;H703,1-$Q$7&lt;H703,1+$Q$7&gt;I703,1-$Q$7&lt;I703,1+$Q$7&gt;J703,1-$Q$7&lt;J703,1+$Q$7&gt;K703,1-$Q$7&lt;K703,1+$Q$7&gt;L703,1-$Q$7&lt;L703),IF(SUM($N$2:N702)=0,1,0),0)</f>
        <v>0</v>
      </c>
      <c r="O703" s="34">
        <f t="shared" si="10"/>
        <v>0</v>
      </c>
    </row>
    <row r="704" spans="8:15" ht="20.100000000000001" customHeight="1" x14ac:dyDescent="0.25">
      <c r="H704" s="43" t="str">
        <f>IFERROR(ABS(C704/VLOOKUP(2*$B704,$B705:C738,2,TRUE)),"--")</f>
        <v>--</v>
      </c>
      <c r="I704" s="43" t="str">
        <f>IFERROR(ABS(D704/VLOOKUP(2*$B704,$B705:D738,3,TRUE)),"--")</f>
        <v>--</v>
      </c>
      <c r="J704" s="43" t="str">
        <f>IFERROR(ABS(E704/VLOOKUP(2*$B704,$B705:E738,4,TRUE)),"--")</f>
        <v>--</v>
      </c>
      <c r="K704" s="43" t="str">
        <f>IFERROR(ABS(F704/VLOOKUP(2*$B704,$B705:F738,5,TRUE)),"--")</f>
        <v>--</v>
      </c>
      <c r="L704" s="43" t="str">
        <f>IFERROR(ABS(G704/VLOOKUP(2*$B704,$B705:G738,6,TRUE)),"--")</f>
        <v>--</v>
      </c>
      <c r="M704" s="38">
        <f>IF(AND(1+$Q$6&gt;H704,1-$Q$6&lt;H704,1+$Q$6&gt;I704,1-$Q$6&lt;I704,1+$Q$6&gt;J704,1-$Q$6&lt;J704,1+$Q$6&gt;K704,1-$Q$6&lt;K704,1+$Q$6&gt;L704,1-$Q$6&lt;L704),IF(SUM($M$2:M703)=0,1,0),0)</f>
        <v>0</v>
      </c>
      <c r="N704" s="38">
        <f>IF(AND(1+$Q$7&gt;H704,1-$Q$7&lt;H704,1+$Q$7&gt;I704,1-$Q$7&lt;I704,1+$Q$7&gt;J704,1-$Q$7&lt;J704,1+$Q$7&gt;K704,1-$Q$7&lt;K704,1+$Q$7&gt;L704,1-$Q$7&lt;L704),IF(SUM($N$2:N703)=0,1,0),0)</f>
        <v>0</v>
      </c>
      <c r="O704" s="34">
        <f t="shared" si="10"/>
        <v>0</v>
      </c>
    </row>
    <row r="705" spans="8:15" ht="20.100000000000001" customHeight="1" x14ac:dyDescent="0.25">
      <c r="H705" s="43" t="str">
        <f>IFERROR(ABS(C705/VLOOKUP(2*$B705,$B706:C739,2,TRUE)),"--")</f>
        <v>--</v>
      </c>
      <c r="I705" s="43" t="str">
        <f>IFERROR(ABS(D705/VLOOKUP(2*$B705,$B706:D739,3,TRUE)),"--")</f>
        <v>--</v>
      </c>
      <c r="J705" s="43" t="str">
        <f>IFERROR(ABS(E705/VLOOKUP(2*$B705,$B706:E739,4,TRUE)),"--")</f>
        <v>--</v>
      </c>
      <c r="K705" s="43" t="str">
        <f>IFERROR(ABS(F705/VLOOKUP(2*$B705,$B706:F739,5,TRUE)),"--")</f>
        <v>--</v>
      </c>
      <c r="L705" s="43" t="str">
        <f>IFERROR(ABS(G705/VLOOKUP(2*$B705,$B706:G739,6,TRUE)),"--")</f>
        <v>--</v>
      </c>
      <c r="M705" s="38">
        <f>IF(AND(1+$Q$6&gt;H705,1-$Q$6&lt;H705,1+$Q$6&gt;I705,1-$Q$6&lt;I705,1+$Q$6&gt;J705,1-$Q$6&lt;J705,1+$Q$6&gt;K705,1-$Q$6&lt;K705,1+$Q$6&gt;L705,1-$Q$6&lt;L705),IF(SUM($M$2:M704)=0,1,0),0)</f>
        <v>0</v>
      </c>
      <c r="N705" s="38">
        <f>IF(AND(1+$Q$7&gt;H705,1-$Q$7&lt;H705,1+$Q$7&gt;I705,1-$Q$7&lt;I705,1+$Q$7&gt;J705,1-$Q$7&lt;J705,1+$Q$7&gt;K705,1-$Q$7&lt;K705,1+$Q$7&gt;L705,1-$Q$7&lt;L705),IF(SUM($N$2:N704)=0,1,0),0)</f>
        <v>0</v>
      </c>
      <c r="O705" s="34">
        <f t="shared" si="10"/>
        <v>0</v>
      </c>
    </row>
    <row r="706" spans="8:15" ht="20.100000000000001" customHeight="1" x14ac:dyDescent="0.25">
      <c r="H706" s="43" t="str">
        <f>IFERROR(ABS(C706/VLOOKUP(2*$B706,$B707:C740,2,TRUE)),"--")</f>
        <v>--</v>
      </c>
      <c r="I706" s="43" t="str">
        <f>IFERROR(ABS(D706/VLOOKUP(2*$B706,$B707:D740,3,TRUE)),"--")</f>
        <v>--</v>
      </c>
      <c r="J706" s="43" t="str">
        <f>IFERROR(ABS(E706/VLOOKUP(2*$B706,$B707:E740,4,TRUE)),"--")</f>
        <v>--</v>
      </c>
      <c r="K706" s="43" t="str">
        <f>IFERROR(ABS(F706/VLOOKUP(2*$B706,$B707:F740,5,TRUE)),"--")</f>
        <v>--</v>
      </c>
      <c r="L706" s="43" t="str">
        <f>IFERROR(ABS(G706/VLOOKUP(2*$B706,$B707:G740,6,TRUE)),"--")</f>
        <v>--</v>
      </c>
      <c r="M706" s="38">
        <f>IF(AND(1+$Q$6&gt;H706,1-$Q$6&lt;H706,1+$Q$6&gt;I706,1-$Q$6&lt;I706,1+$Q$6&gt;J706,1-$Q$6&lt;J706,1+$Q$6&gt;K706,1-$Q$6&lt;K706,1+$Q$6&gt;L706,1-$Q$6&lt;L706),IF(SUM($M$2:M705)=0,1,0),0)</f>
        <v>0</v>
      </c>
      <c r="N706" s="38">
        <f>IF(AND(1+$Q$7&gt;H706,1-$Q$7&lt;H706,1+$Q$7&gt;I706,1-$Q$7&lt;I706,1+$Q$7&gt;J706,1-$Q$7&lt;J706,1+$Q$7&gt;K706,1-$Q$7&lt;K706,1+$Q$7&gt;L706,1-$Q$7&lt;L706),IF(SUM($N$2:N705)=0,1,0),0)</f>
        <v>0</v>
      </c>
      <c r="O706" s="34">
        <f t="shared" si="10"/>
        <v>0</v>
      </c>
    </row>
    <row r="707" spans="8:15" ht="20.100000000000001" customHeight="1" x14ac:dyDescent="0.25">
      <c r="H707" s="43" t="str">
        <f>IFERROR(ABS(C707/VLOOKUP(2*$B707,$B708:C741,2,TRUE)),"--")</f>
        <v>--</v>
      </c>
      <c r="I707" s="43" t="str">
        <f>IFERROR(ABS(D707/VLOOKUP(2*$B707,$B708:D741,3,TRUE)),"--")</f>
        <v>--</v>
      </c>
      <c r="J707" s="43" t="str">
        <f>IFERROR(ABS(E707/VLOOKUP(2*$B707,$B708:E741,4,TRUE)),"--")</f>
        <v>--</v>
      </c>
      <c r="K707" s="43" t="str">
        <f>IFERROR(ABS(F707/VLOOKUP(2*$B707,$B708:F741,5,TRUE)),"--")</f>
        <v>--</v>
      </c>
      <c r="L707" s="43" t="str">
        <f>IFERROR(ABS(G707/VLOOKUP(2*$B707,$B708:G741,6,TRUE)),"--")</f>
        <v>--</v>
      </c>
      <c r="M707" s="38">
        <f>IF(AND(1+$Q$6&gt;H707,1-$Q$6&lt;H707,1+$Q$6&gt;I707,1-$Q$6&lt;I707,1+$Q$6&gt;J707,1-$Q$6&lt;J707,1+$Q$6&gt;K707,1-$Q$6&lt;K707,1+$Q$6&gt;L707,1-$Q$6&lt;L707),IF(SUM($M$2:M706)=0,1,0),0)</f>
        <v>0</v>
      </c>
      <c r="N707" s="38">
        <f>IF(AND(1+$Q$7&gt;H707,1-$Q$7&lt;H707,1+$Q$7&gt;I707,1-$Q$7&lt;I707,1+$Q$7&gt;J707,1-$Q$7&lt;J707,1+$Q$7&gt;K707,1-$Q$7&lt;K707,1+$Q$7&gt;L707,1-$Q$7&lt;L707),IF(SUM($N$2:N706)=0,1,0),0)</f>
        <v>0</v>
      </c>
      <c r="O707" s="34">
        <f t="shared" ref="O707:O770" si="11">A707</f>
        <v>0</v>
      </c>
    </row>
    <row r="708" spans="8:15" ht="20.100000000000001" customHeight="1" x14ac:dyDescent="0.25">
      <c r="H708" s="43" t="str">
        <f>IFERROR(ABS(C708/VLOOKUP(2*$B708,$B709:C742,2,TRUE)),"--")</f>
        <v>--</v>
      </c>
      <c r="I708" s="43" t="str">
        <f>IFERROR(ABS(D708/VLOOKUP(2*$B708,$B709:D742,3,TRUE)),"--")</f>
        <v>--</v>
      </c>
      <c r="J708" s="43" t="str">
        <f>IFERROR(ABS(E708/VLOOKUP(2*$B708,$B709:E742,4,TRUE)),"--")</f>
        <v>--</v>
      </c>
      <c r="K708" s="43" t="str">
        <f>IFERROR(ABS(F708/VLOOKUP(2*$B708,$B709:F742,5,TRUE)),"--")</f>
        <v>--</v>
      </c>
      <c r="L708" s="43" t="str">
        <f>IFERROR(ABS(G708/VLOOKUP(2*$B708,$B709:G742,6,TRUE)),"--")</f>
        <v>--</v>
      </c>
      <c r="M708" s="38">
        <f>IF(AND(1+$Q$6&gt;H708,1-$Q$6&lt;H708,1+$Q$6&gt;I708,1-$Q$6&lt;I708,1+$Q$6&gt;J708,1-$Q$6&lt;J708,1+$Q$6&gt;K708,1-$Q$6&lt;K708,1+$Q$6&gt;L708,1-$Q$6&lt;L708),IF(SUM($M$2:M707)=0,1,0),0)</f>
        <v>0</v>
      </c>
      <c r="N708" s="38">
        <f>IF(AND(1+$Q$7&gt;H708,1-$Q$7&lt;H708,1+$Q$7&gt;I708,1-$Q$7&lt;I708,1+$Q$7&gt;J708,1-$Q$7&lt;J708,1+$Q$7&gt;K708,1-$Q$7&lt;K708,1+$Q$7&gt;L708,1-$Q$7&lt;L708),IF(SUM($N$2:N707)=0,1,0),0)</f>
        <v>0</v>
      </c>
      <c r="O708" s="34">
        <f t="shared" si="11"/>
        <v>0</v>
      </c>
    </row>
    <row r="709" spans="8:15" ht="20.100000000000001" customHeight="1" x14ac:dyDescent="0.25">
      <c r="H709" s="43" t="str">
        <f>IFERROR(ABS(C709/VLOOKUP(2*$B709,$B710:C743,2,TRUE)),"--")</f>
        <v>--</v>
      </c>
      <c r="I709" s="43" t="str">
        <f>IFERROR(ABS(D709/VLOOKUP(2*$B709,$B710:D743,3,TRUE)),"--")</f>
        <v>--</v>
      </c>
      <c r="J709" s="43" t="str">
        <f>IFERROR(ABS(E709/VLOOKUP(2*$B709,$B710:E743,4,TRUE)),"--")</f>
        <v>--</v>
      </c>
      <c r="K709" s="43" t="str">
        <f>IFERROR(ABS(F709/VLOOKUP(2*$B709,$B710:F743,5,TRUE)),"--")</f>
        <v>--</v>
      </c>
      <c r="L709" s="43" t="str">
        <f>IFERROR(ABS(G709/VLOOKUP(2*$B709,$B710:G743,6,TRUE)),"--")</f>
        <v>--</v>
      </c>
      <c r="M709" s="38">
        <f>IF(AND(1+$Q$6&gt;H709,1-$Q$6&lt;H709,1+$Q$6&gt;I709,1-$Q$6&lt;I709,1+$Q$6&gt;J709,1-$Q$6&lt;J709,1+$Q$6&gt;K709,1-$Q$6&lt;K709,1+$Q$6&gt;L709,1-$Q$6&lt;L709),IF(SUM($M$2:M708)=0,1,0),0)</f>
        <v>0</v>
      </c>
      <c r="N709" s="38">
        <f>IF(AND(1+$Q$7&gt;H709,1-$Q$7&lt;H709,1+$Q$7&gt;I709,1-$Q$7&lt;I709,1+$Q$7&gt;J709,1-$Q$7&lt;J709,1+$Q$7&gt;K709,1-$Q$7&lt;K709,1+$Q$7&gt;L709,1-$Q$7&lt;L709),IF(SUM($N$2:N708)=0,1,0),0)</f>
        <v>0</v>
      </c>
      <c r="O709" s="34">
        <f t="shared" si="11"/>
        <v>0</v>
      </c>
    </row>
    <row r="710" spans="8:15" ht="20.100000000000001" customHeight="1" x14ac:dyDescent="0.25">
      <c r="H710" s="43" t="str">
        <f>IFERROR(ABS(C710/VLOOKUP(2*$B710,$B711:C744,2,TRUE)),"--")</f>
        <v>--</v>
      </c>
      <c r="I710" s="43" t="str">
        <f>IFERROR(ABS(D710/VLOOKUP(2*$B710,$B711:D744,3,TRUE)),"--")</f>
        <v>--</v>
      </c>
      <c r="J710" s="43" t="str">
        <f>IFERROR(ABS(E710/VLOOKUP(2*$B710,$B711:E744,4,TRUE)),"--")</f>
        <v>--</v>
      </c>
      <c r="K710" s="43" t="str">
        <f>IFERROR(ABS(F710/VLOOKUP(2*$B710,$B711:F744,5,TRUE)),"--")</f>
        <v>--</v>
      </c>
      <c r="L710" s="43" t="str">
        <f>IFERROR(ABS(G710/VLOOKUP(2*$B710,$B711:G744,6,TRUE)),"--")</f>
        <v>--</v>
      </c>
      <c r="M710" s="38">
        <f>IF(AND(1+$Q$6&gt;H710,1-$Q$6&lt;H710,1+$Q$6&gt;I710,1-$Q$6&lt;I710,1+$Q$6&gt;J710,1-$Q$6&lt;J710,1+$Q$6&gt;K710,1-$Q$6&lt;K710,1+$Q$6&gt;L710,1-$Q$6&lt;L710),IF(SUM($M$2:M709)=0,1,0),0)</f>
        <v>0</v>
      </c>
      <c r="N710" s="38">
        <f>IF(AND(1+$Q$7&gt;H710,1-$Q$7&lt;H710,1+$Q$7&gt;I710,1-$Q$7&lt;I710,1+$Q$7&gt;J710,1-$Q$7&lt;J710,1+$Q$7&gt;K710,1-$Q$7&lt;K710,1+$Q$7&gt;L710,1-$Q$7&lt;L710),IF(SUM($N$2:N709)=0,1,0),0)</f>
        <v>0</v>
      </c>
      <c r="O710" s="34">
        <f t="shared" si="11"/>
        <v>0</v>
      </c>
    </row>
    <row r="711" spans="8:15" ht="20.100000000000001" customHeight="1" x14ac:dyDescent="0.25">
      <c r="H711" s="43" t="str">
        <f>IFERROR(ABS(C711/VLOOKUP(2*$B711,$B712:C745,2,TRUE)),"--")</f>
        <v>--</v>
      </c>
      <c r="I711" s="43" t="str">
        <f>IFERROR(ABS(D711/VLOOKUP(2*$B711,$B712:D745,3,TRUE)),"--")</f>
        <v>--</v>
      </c>
      <c r="J711" s="43" t="str">
        <f>IFERROR(ABS(E711/VLOOKUP(2*$B711,$B712:E745,4,TRUE)),"--")</f>
        <v>--</v>
      </c>
      <c r="K711" s="43" t="str">
        <f>IFERROR(ABS(F711/VLOOKUP(2*$B711,$B712:F745,5,TRUE)),"--")</f>
        <v>--</v>
      </c>
      <c r="L711" s="43" t="str">
        <f>IFERROR(ABS(G711/VLOOKUP(2*$B711,$B712:G745,6,TRUE)),"--")</f>
        <v>--</v>
      </c>
      <c r="M711" s="38">
        <f>IF(AND(1+$Q$6&gt;H711,1-$Q$6&lt;H711,1+$Q$6&gt;I711,1-$Q$6&lt;I711,1+$Q$6&gt;J711,1-$Q$6&lt;J711,1+$Q$6&gt;K711,1-$Q$6&lt;K711,1+$Q$6&gt;L711,1-$Q$6&lt;L711),IF(SUM($M$2:M710)=0,1,0),0)</f>
        <v>0</v>
      </c>
      <c r="N711" s="38">
        <f>IF(AND(1+$Q$7&gt;H711,1-$Q$7&lt;H711,1+$Q$7&gt;I711,1-$Q$7&lt;I711,1+$Q$7&gt;J711,1-$Q$7&lt;J711,1+$Q$7&gt;K711,1-$Q$7&lt;K711,1+$Q$7&gt;L711,1-$Q$7&lt;L711),IF(SUM($N$2:N710)=0,1,0),0)</f>
        <v>0</v>
      </c>
      <c r="O711" s="34">
        <f t="shared" si="11"/>
        <v>0</v>
      </c>
    </row>
    <row r="712" spans="8:15" ht="20.100000000000001" customHeight="1" x14ac:dyDescent="0.25">
      <c r="H712" s="43" t="str">
        <f>IFERROR(ABS(C712/VLOOKUP(2*$B712,$B713:C746,2,TRUE)),"--")</f>
        <v>--</v>
      </c>
      <c r="I712" s="43" t="str">
        <f>IFERROR(ABS(D712/VLOOKUP(2*$B712,$B713:D746,3,TRUE)),"--")</f>
        <v>--</v>
      </c>
      <c r="J712" s="43" t="str">
        <f>IFERROR(ABS(E712/VLOOKUP(2*$B712,$B713:E746,4,TRUE)),"--")</f>
        <v>--</v>
      </c>
      <c r="K712" s="43" t="str">
        <f>IFERROR(ABS(F712/VLOOKUP(2*$B712,$B713:F746,5,TRUE)),"--")</f>
        <v>--</v>
      </c>
      <c r="L712" s="43" t="str">
        <f>IFERROR(ABS(G712/VLOOKUP(2*$B712,$B713:G746,6,TRUE)),"--")</f>
        <v>--</v>
      </c>
      <c r="M712" s="38">
        <f>IF(AND(1+$Q$6&gt;H712,1-$Q$6&lt;H712,1+$Q$6&gt;I712,1-$Q$6&lt;I712,1+$Q$6&gt;J712,1-$Q$6&lt;J712,1+$Q$6&gt;K712,1-$Q$6&lt;K712,1+$Q$6&gt;L712,1-$Q$6&lt;L712),IF(SUM($M$2:M711)=0,1,0),0)</f>
        <v>0</v>
      </c>
      <c r="N712" s="38">
        <f>IF(AND(1+$Q$7&gt;H712,1-$Q$7&lt;H712,1+$Q$7&gt;I712,1-$Q$7&lt;I712,1+$Q$7&gt;J712,1-$Q$7&lt;J712,1+$Q$7&gt;K712,1-$Q$7&lt;K712,1+$Q$7&gt;L712,1-$Q$7&lt;L712),IF(SUM($N$2:N711)=0,1,0),0)</f>
        <v>0</v>
      </c>
      <c r="O712" s="34">
        <f t="shared" si="11"/>
        <v>0</v>
      </c>
    </row>
    <row r="713" spans="8:15" ht="20.100000000000001" customHeight="1" x14ac:dyDescent="0.25">
      <c r="H713" s="43" t="str">
        <f>IFERROR(ABS(C713/VLOOKUP(2*$B713,$B714:C747,2,TRUE)),"--")</f>
        <v>--</v>
      </c>
      <c r="I713" s="43" t="str">
        <f>IFERROR(ABS(D713/VLOOKUP(2*$B713,$B714:D747,3,TRUE)),"--")</f>
        <v>--</v>
      </c>
      <c r="J713" s="43" t="str">
        <f>IFERROR(ABS(E713/VLOOKUP(2*$B713,$B714:E747,4,TRUE)),"--")</f>
        <v>--</v>
      </c>
      <c r="K713" s="43" t="str">
        <f>IFERROR(ABS(F713/VLOOKUP(2*$B713,$B714:F747,5,TRUE)),"--")</f>
        <v>--</v>
      </c>
      <c r="L713" s="43" t="str">
        <f>IFERROR(ABS(G713/VLOOKUP(2*$B713,$B714:G747,6,TRUE)),"--")</f>
        <v>--</v>
      </c>
      <c r="M713" s="38">
        <f>IF(AND(1+$Q$6&gt;H713,1-$Q$6&lt;H713,1+$Q$6&gt;I713,1-$Q$6&lt;I713,1+$Q$6&gt;J713,1-$Q$6&lt;J713,1+$Q$6&gt;K713,1-$Q$6&lt;K713,1+$Q$6&gt;L713,1-$Q$6&lt;L713),IF(SUM($M$2:M712)=0,1,0),0)</f>
        <v>0</v>
      </c>
      <c r="N713" s="38">
        <f>IF(AND(1+$Q$7&gt;H713,1-$Q$7&lt;H713,1+$Q$7&gt;I713,1-$Q$7&lt;I713,1+$Q$7&gt;J713,1-$Q$7&lt;J713,1+$Q$7&gt;K713,1-$Q$7&lt;K713,1+$Q$7&gt;L713,1-$Q$7&lt;L713),IF(SUM($N$2:N712)=0,1,0),0)</f>
        <v>0</v>
      </c>
      <c r="O713" s="34">
        <f t="shared" si="11"/>
        <v>0</v>
      </c>
    </row>
    <row r="714" spans="8:15" ht="20.100000000000001" customHeight="1" x14ac:dyDescent="0.25">
      <c r="H714" s="43" t="str">
        <f>IFERROR(ABS(C714/VLOOKUP(2*$B714,$B715:C748,2,TRUE)),"--")</f>
        <v>--</v>
      </c>
      <c r="I714" s="43" t="str">
        <f>IFERROR(ABS(D714/VLOOKUP(2*$B714,$B715:D748,3,TRUE)),"--")</f>
        <v>--</v>
      </c>
      <c r="J714" s="43" t="str">
        <f>IFERROR(ABS(E714/VLOOKUP(2*$B714,$B715:E748,4,TRUE)),"--")</f>
        <v>--</v>
      </c>
      <c r="K714" s="43" t="str">
        <f>IFERROR(ABS(F714/VLOOKUP(2*$B714,$B715:F748,5,TRUE)),"--")</f>
        <v>--</v>
      </c>
      <c r="L714" s="43" t="str">
        <f>IFERROR(ABS(G714/VLOOKUP(2*$B714,$B715:G748,6,TRUE)),"--")</f>
        <v>--</v>
      </c>
      <c r="M714" s="38">
        <f>IF(AND(1+$Q$6&gt;H714,1-$Q$6&lt;H714,1+$Q$6&gt;I714,1-$Q$6&lt;I714,1+$Q$6&gt;J714,1-$Q$6&lt;J714,1+$Q$6&gt;K714,1-$Q$6&lt;K714,1+$Q$6&gt;L714,1-$Q$6&lt;L714),IF(SUM($M$2:M713)=0,1,0),0)</f>
        <v>0</v>
      </c>
      <c r="N714" s="38">
        <f>IF(AND(1+$Q$7&gt;H714,1-$Q$7&lt;H714,1+$Q$7&gt;I714,1-$Q$7&lt;I714,1+$Q$7&gt;J714,1-$Q$7&lt;J714,1+$Q$7&gt;K714,1-$Q$7&lt;K714,1+$Q$7&gt;L714,1-$Q$7&lt;L714),IF(SUM($N$2:N713)=0,1,0),0)</f>
        <v>0</v>
      </c>
      <c r="O714" s="34">
        <f t="shared" si="11"/>
        <v>0</v>
      </c>
    </row>
    <row r="715" spans="8:15" ht="20.100000000000001" customHeight="1" x14ac:dyDescent="0.25">
      <c r="H715" s="43" t="str">
        <f>IFERROR(ABS(C715/VLOOKUP(2*$B715,$B716:C749,2,TRUE)),"--")</f>
        <v>--</v>
      </c>
      <c r="I715" s="43" t="str">
        <f>IFERROR(ABS(D715/VLOOKUP(2*$B715,$B716:D749,3,TRUE)),"--")</f>
        <v>--</v>
      </c>
      <c r="J715" s="43" t="str">
        <f>IFERROR(ABS(E715/VLOOKUP(2*$B715,$B716:E749,4,TRUE)),"--")</f>
        <v>--</v>
      </c>
      <c r="K715" s="43" t="str">
        <f>IFERROR(ABS(F715/VLOOKUP(2*$B715,$B716:F749,5,TRUE)),"--")</f>
        <v>--</v>
      </c>
      <c r="L715" s="43" t="str">
        <f>IFERROR(ABS(G715/VLOOKUP(2*$B715,$B716:G749,6,TRUE)),"--")</f>
        <v>--</v>
      </c>
      <c r="M715" s="38">
        <f>IF(AND(1+$Q$6&gt;H715,1-$Q$6&lt;H715,1+$Q$6&gt;I715,1-$Q$6&lt;I715,1+$Q$6&gt;J715,1-$Q$6&lt;J715,1+$Q$6&gt;K715,1-$Q$6&lt;K715,1+$Q$6&gt;L715,1-$Q$6&lt;L715),IF(SUM($M$2:M714)=0,1,0),0)</f>
        <v>0</v>
      </c>
      <c r="N715" s="38">
        <f>IF(AND(1+$Q$7&gt;H715,1-$Q$7&lt;H715,1+$Q$7&gt;I715,1-$Q$7&lt;I715,1+$Q$7&gt;J715,1-$Q$7&lt;J715,1+$Q$7&gt;K715,1-$Q$7&lt;K715,1+$Q$7&gt;L715,1-$Q$7&lt;L715),IF(SUM($N$2:N714)=0,1,0),0)</f>
        <v>0</v>
      </c>
      <c r="O715" s="34">
        <f t="shared" si="11"/>
        <v>0</v>
      </c>
    </row>
    <row r="716" spans="8:15" ht="20.100000000000001" customHeight="1" x14ac:dyDescent="0.25">
      <c r="H716" s="43" t="str">
        <f>IFERROR(ABS(C716/VLOOKUP(2*$B716,$B717:C750,2,TRUE)),"--")</f>
        <v>--</v>
      </c>
      <c r="I716" s="43" t="str">
        <f>IFERROR(ABS(D716/VLOOKUP(2*$B716,$B717:D750,3,TRUE)),"--")</f>
        <v>--</v>
      </c>
      <c r="J716" s="43" t="str">
        <f>IFERROR(ABS(E716/VLOOKUP(2*$B716,$B717:E750,4,TRUE)),"--")</f>
        <v>--</v>
      </c>
      <c r="K716" s="43" t="str">
        <f>IFERROR(ABS(F716/VLOOKUP(2*$B716,$B717:F750,5,TRUE)),"--")</f>
        <v>--</v>
      </c>
      <c r="L716" s="43" t="str">
        <f>IFERROR(ABS(G716/VLOOKUP(2*$B716,$B717:G750,6,TRUE)),"--")</f>
        <v>--</v>
      </c>
      <c r="M716" s="38">
        <f>IF(AND(1+$Q$6&gt;H716,1-$Q$6&lt;H716,1+$Q$6&gt;I716,1-$Q$6&lt;I716,1+$Q$6&gt;J716,1-$Q$6&lt;J716,1+$Q$6&gt;K716,1-$Q$6&lt;K716,1+$Q$6&gt;L716,1-$Q$6&lt;L716),IF(SUM($M$2:M715)=0,1,0),0)</f>
        <v>0</v>
      </c>
      <c r="N716" s="38">
        <f>IF(AND(1+$Q$7&gt;H716,1-$Q$7&lt;H716,1+$Q$7&gt;I716,1-$Q$7&lt;I716,1+$Q$7&gt;J716,1-$Q$7&lt;J716,1+$Q$7&gt;K716,1-$Q$7&lt;K716,1+$Q$7&gt;L716,1-$Q$7&lt;L716),IF(SUM($N$2:N715)=0,1,0),0)</f>
        <v>0</v>
      </c>
      <c r="O716" s="34">
        <f t="shared" si="11"/>
        <v>0</v>
      </c>
    </row>
    <row r="717" spans="8:15" ht="20.100000000000001" customHeight="1" x14ac:dyDescent="0.25">
      <c r="H717" s="43" t="str">
        <f>IFERROR(ABS(C717/VLOOKUP(2*$B717,$B718:C751,2,TRUE)),"--")</f>
        <v>--</v>
      </c>
      <c r="I717" s="43" t="str">
        <f>IFERROR(ABS(D717/VLOOKUP(2*$B717,$B718:D751,3,TRUE)),"--")</f>
        <v>--</v>
      </c>
      <c r="J717" s="43" t="str">
        <f>IFERROR(ABS(E717/VLOOKUP(2*$B717,$B718:E751,4,TRUE)),"--")</f>
        <v>--</v>
      </c>
      <c r="K717" s="43" t="str">
        <f>IFERROR(ABS(F717/VLOOKUP(2*$B717,$B718:F751,5,TRUE)),"--")</f>
        <v>--</v>
      </c>
      <c r="L717" s="43" t="str">
        <f>IFERROR(ABS(G717/VLOOKUP(2*$B717,$B718:G751,6,TRUE)),"--")</f>
        <v>--</v>
      </c>
      <c r="M717" s="38">
        <f>IF(AND(1+$Q$6&gt;H717,1-$Q$6&lt;H717,1+$Q$6&gt;I717,1-$Q$6&lt;I717,1+$Q$6&gt;J717,1-$Q$6&lt;J717,1+$Q$6&gt;K717,1-$Q$6&lt;K717,1+$Q$6&gt;L717,1-$Q$6&lt;L717),IF(SUM($M$2:M716)=0,1,0),0)</f>
        <v>0</v>
      </c>
      <c r="N717" s="38">
        <f>IF(AND(1+$Q$7&gt;H717,1-$Q$7&lt;H717,1+$Q$7&gt;I717,1-$Q$7&lt;I717,1+$Q$7&gt;J717,1-$Q$7&lt;J717,1+$Q$7&gt;K717,1-$Q$7&lt;K717,1+$Q$7&gt;L717,1-$Q$7&lt;L717),IF(SUM($N$2:N716)=0,1,0),0)</f>
        <v>0</v>
      </c>
      <c r="O717" s="34">
        <f t="shared" si="11"/>
        <v>0</v>
      </c>
    </row>
    <row r="718" spans="8:15" ht="20.100000000000001" customHeight="1" x14ac:dyDescent="0.25">
      <c r="H718" s="43" t="str">
        <f>IFERROR(ABS(C718/VLOOKUP(2*$B718,$B719:C752,2,TRUE)),"--")</f>
        <v>--</v>
      </c>
      <c r="I718" s="43" t="str">
        <f>IFERROR(ABS(D718/VLOOKUP(2*$B718,$B719:D752,3,TRUE)),"--")</f>
        <v>--</v>
      </c>
      <c r="J718" s="43" t="str">
        <f>IFERROR(ABS(E718/VLOOKUP(2*$B718,$B719:E752,4,TRUE)),"--")</f>
        <v>--</v>
      </c>
      <c r="K718" s="43" t="str">
        <f>IFERROR(ABS(F718/VLOOKUP(2*$B718,$B719:F752,5,TRUE)),"--")</f>
        <v>--</v>
      </c>
      <c r="L718" s="43" t="str">
        <f>IFERROR(ABS(G718/VLOOKUP(2*$B718,$B719:G752,6,TRUE)),"--")</f>
        <v>--</v>
      </c>
      <c r="M718" s="38">
        <f>IF(AND(1+$Q$6&gt;H718,1-$Q$6&lt;H718,1+$Q$6&gt;I718,1-$Q$6&lt;I718,1+$Q$6&gt;J718,1-$Q$6&lt;J718,1+$Q$6&gt;K718,1-$Q$6&lt;K718,1+$Q$6&gt;L718,1-$Q$6&lt;L718),IF(SUM($M$2:M717)=0,1,0),0)</f>
        <v>0</v>
      </c>
      <c r="N718" s="38">
        <f>IF(AND(1+$Q$7&gt;H718,1-$Q$7&lt;H718,1+$Q$7&gt;I718,1-$Q$7&lt;I718,1+$Q$7&gt;J718,1-$Q$7&lt;J718,1+$Q$7&gt;K718,1-$Q$7&lt;K718,1+$Q$7&gt;L718,1-$Q$7&lt;L718),IF(SUM($N$2:N717)=0,1,0),0)</f>
        <v>0</v>
      </c>
      <c r="O718" s="34">
        <f t="shared" si="11"/>
        <v>0</v>
      </c>
    </row>
    <row r="719" spans="8:15" ht="20.100000000000001" customHeight="1" x14ac:dyDescent="0.25">
      <c r="H719" s="43" t="str">
        <f>IFERROR(ABS(C719/VLOOKUP(2*$B719,$B720:C753,2,TRUE)),"--")</f>
        <v>--</v>
      </c>
      <c r="I719" s="43" t="str">
        <f>IFERROR(ABS(D719/VLOOKUP(2*$B719,$B720:D753,3,TRUE)),"--")</f>
        <v>--</v>
      </c>
      <c r="J719" s="43" t="str">
        <f>IFERROR(ABS(E719/VLOOKUP(2*$B719,$B720:E753,4,TRUE)),"--")</f>
        <v>--</v>
      </c>
      <c r="K719" s="43" t="str">
        <f>IFERROR(ABS(F719/VLOOKUP(2*$B719,$B720:F753,5,TRUE)),"--")</f>
        <v>--</v>
      </c>
      <c r="L719" s="43" t="str">
        <f>IFERROR(ABS(G719/VLOOKUP(2*$B719,$B720:G753,6,TRUE)),"--")</f>
        <v>--</v>
      </c>
      <c r="M719" s="38">
        <f>IF(AND(1+$Q$6&gt;H719,1-$Q$6&lt;H719,1+$Q$6&gt;I719,1-$Q$6&lt;I719,1+$Q$6&gt;J719,1-$Q$6&lt;J719,1+$Q$6&gt;K719,1-$Q$6&lt;K719,1+$Q$6&gt;L719,1-$Q$6&lt;L719),IF(SUM($M$2:M718)=0,1,0),0)</f>
        <v>0</v>
      </c>
      <c r="N719" s="38">
        <f>IF(AND(1+$Q$7&gt;H719,1-$Q$7&lt;H719,1+$Q$7&gt;I719,1-$Q$7&lt;I719,1+$Q$7&gt;J719,1-$Q$7&lt;J719,1+$Q$7&gt;K719,1-$Q$7&lt;K719,1+$Q$7&gt;L719,1-$Q$7&lt;L719),IF(SUM($N$2:N718)=0,1,0),0)</f>
        <v>0</v>
      </c>
      <c r="O719" s="34">
        <f t="shared" si="11"/>
        <v>0</v>
      </c>
    </row>
    <row r="720" spans="8:15" ht="20.100000000000001" customHeight="1" x14ac:dyDescent="0.25">
      <c r="H720" s="43" t="str">
        <f>IFERROR(ABS(C720/VLOOKUP(2*$B720,$B721:C754,2,TRUE)),"--")</f>
        <v>--</v>
      </c>
      <c r="I720" s="43" t="str">
        <f>IFERROR(ABS(D720/VLOOKUP(2*$B720,$B721:D754,3,TRUE)),"--")</f>
        <v>--</v>
      </c>
      <c r="J720" s="43" t="str">
        <f>IFERROR(ABS(E720/VLOOKUP(2*$B720,$B721:E754,4,TRUE)),"--")</f>
        <v>--</v>
      </c>
      <c r="K720" s="43" t="str">
        <f>IFERROR(ABS(F720/VLOOKUP(2*$B720,$B721:F754,5,TRUE)),"--")</f>
        <v>--</v>
      </c>
      <c r="L720" s="43" t="str">
        <f>IFERROR(ABS(G720/VLOOKUP(2*$B720,$B721:G754,6,TRUE)),"--")</f>
        <v>--</v>
      </c>
      <c r="M720" s="38">
        <f>IF(AND(1+$Q$6&gt;H720,1-$Q$6&lt;H720,1+$Q$6&gt;I720,1-$Q$6&lt;I720,1+$Q$6&gt;J720,1-$Q$6&lt;J720,1+$Q$6&gt;K720,1-$Q$6&lt;K720,1+$Q$6&gt;L720,1-$Q$6&lt;L720),IF(SUM($M$2:M719)=0,1,0),0)</f>
        <v>0</v>
      </c>
      <c r="N720" s="38">
        <f>IF(AND(1+$Q$7&gt;H720,1-$Q$7&lt;H720,1+$Q$7&gt;I720,1-$Q$7&lt;I720,1+$Q$7&gt;J720,1-$Q$7&lt;J720,1+$Q$7&gt;K720,1-$Q$7&lt;K720,1+$Q$7&gt;L720,1-$Q$7&lt;L720),IF(SUM($N$2:N719)=0,1,0),0)</f>
        <v>0</v>
      </c>
      <c r="O720" s="34">
        <f t="shared" si="11"/>
        <v>0</v>
      </c>
    </row>
    <row r="721" spans="8:15" ht="20.100000000000001" customHeight="1" x14ac:dyDescent="0.25">
      <c r="H721" s="43" t="str">
        <f>IFERROR(ABS(C721/VLOOKUP(2*$B721,$B722:C755,2,TRUE)),"--")</f>
        <v>--</v>
      </c>
      <c r="I721" s="43" t="str">
        <f>IFERROR(ABS(D721/VLOOKUP(2*$B721,$B722:D755,3,TRUE)),"--")</f>
        <v>--</v>
      </c>
      <c r="J721" s="43" t="str">
        <f>IFERROR(ABS(E721/VLOOKUP(2*$B721,$B722:E755,4,TRUE)),"--")</f>
        <v>--</v>
      </c>
      <c r="K721" s="43" t="str">
        <f>IFERROR(ABS(F721/VLOOKUP(2*$B721,$B722:F755,5,TRUE)),"--")</f>
        <v>--</v>
      </c>
      <c r="L721" s="43" t="str">
        <f>IFERROR(ABS(G721/VLOOKUP(2*$B721,$B722:G755,6,TRUE)),"--")</f>
        <v>--</v>
      </c>
      <c r="M721" s="38">
        <f>IF(AND(1+$Q$6&gt;H721,1-$Q$6&lt;H721,1+$Q$6&gt;I721,1-$Q$6&lt;I721,1+$Q$6&gt;J721,1-$Q$6&lt;J721,1+$Q$6&gt;K721,1-$Q$6&lt;K721,1+$Q$6&gt;L721,1-$Q$6&lt;L721),IF(SUM($M$2:M720)=0,1,0),0)</f>
        <v>0</v>
      </c>
      <c r="N721" s="38">
        <f>IF(AND(1+$Q$7&gt;H721,1-$Q$7&lt;H721,1+$Q$7&gt;I721,1-$Q$7&lt;I721,1+$Q$7&gt;J721,1-$Q$7&lt;J721,1+$Q$7&gt;K721,1-$Q$7&lt;K721,1+$Q$7&gt;L721,1-$Q$7&lt;L721),IF(SUM($N$2:N720)=0,1,0),0)</f>
        <v>0</v>
      </c>
      <c r="O721" s="34">
        <f t="shared" si="11"/>
        <v>0</v>
      </c>
    </row>
    <row r="722" spans="8:15" ht="20.100000000000001" customHeight="1" x14ac:dyDescent="0.25">
      <c r="H722" s="43" t="str">
        <f>IFERROR(ABS(C722/VLOOKUP(2*$B722,$B723:C756,2,TRUE)),"--")</f>
        <v>--</v>
      </c>
      <c r="I722" s="43" t="str">
        <f>IFERROR(ABS(D722/VLOOKUP(2*$B722,$B723:D756,3,TRUE)),"--")</f>
        <v>--</v>
      </c>
      <c r="J722" s="43" t="str">
        <f>IFERROR(ABS(E722/VLOOKUP(2*$B722,$B723:E756,4,TRUE)),"--")</f>
        <v>--</v>
      </c>
      <c r="K722" s="43" t="str">
        <f>IFERROR(ABS(F722/VLOOKUP(2*$B722,$B723:F756,5,TRUE)),"--")</f>
        <v>--</v>
      </c>
      <c r="L722" s="43" t="str">
        <f>IFERROR(ABS(G722/VLOOKUP(2*$B722,$B723:G756,6,TRUE)),"--")</f>
        <v>--</v>
      </c>
      <c r="M722" s="38">
        <f>IF(AND(1+$Q$6&gt;H722,1-$Q$6&lt;H722,1+$Q$6&gt;I722,1-$Q$6&lt;I722,1+$Q$6&gt;J722,1-$Q$6&lt;J722,1+$Q$6&gt;K722,1-$Q$6&lt;K722,1+$Q$6&gt;L722,1-$Q$6&lt;L722),IF(SUM($M$2:M721)=0,1,0),0)</f>
        <v>0</v>
      </c>
      <c r="N722" s="38">
        <f>IF(AND(1+$Q$7&gt;H722,1-$Q$7&lt;H722,1+$Q$7&gt;I722,1-$Q$7&lt;I722,1+$Q$7&gt;J722,1-$Q$7&lt;J722,1+$Q$7&gt;K722,1-$Q$7&lt;K722,1+$Q$7&gt;L722,1-$Q$7&lt;L722),IF(SUM($N$2:N721)=0,1,0),0)</f>
        <v>0</v>
      </c>
      <c r="O722" s="34">
        <f t="shared" si="11"/>
        <v>0</v>
      </c>
    </row>
    <row r="723" spans="8:15" ht="20.100000000000001" customHeight="1" x14ac:dyDescent="0.25">
      <c r="H723" s="43" t="str">
        <f>IFERROR(ABS(C723/VLOOKUP(2*$B723,$B724:C757,2,TRUE)),"--")</f>
        <v>--</v>
      </c>
      <c r="I723" s="43" t="str">
        <f>IFERROR(ABS(D723/VLOOKUP(2*$B723,$B724:D757,3,TRUE)),"--")</f>
        <v>--</v>
      </c>
      <c r="J723" s="43" t="str">
        <f>IFERROR(ABS(E723/VLOOKUP(2*$B723,$B724:E757,4,TRUE)),"--")</f>
        <v>--</v>
      </c>
      <c r="K723" s="43" t="str">
        <f>IFERROR(ABS(F723/VLOOKUP(2*$B723,$B724:F757,5,TRUE)),"--")</f>
        <v>--</v>
      </c>
      <c r="L723" s="43" t="str">
        <f>IFERROR(ABS(G723/VLOOKUP(2*$B723,$B724:G757,6,TRUE)),"--")</f>
        <v>--</v>
      </c>
      <c r="M723" s="38">
        <f>IF(AND(1+$Q$6&gt;H723,1-$Q$6&lt;H723,1+$Q$6&gt;I723,1-$Q$6&lt;I723,1+$Q$6&gt;J723,1-$Q$6&lt;J723,1+$Q$6&gt;K723,1-$Q$6&lt;K723,1+$Q$6&gt;L723,1-$Q$6&lt;L723),IF(SUM($M$2:M722)=0,1,0),0)</f>
        <v>0</v>
      </c>
      <c r="N723" s="38">
        <f>IF(AND(1+$Q$7&gt;H723,1-$Q$7&lt;H723,1+$Q$7&gt;I723,1-$Q$7&lt;I723,1+$Q$7&gt;J723,1-$Q$7&lt;J723,1+$Q$7&gt;K723,1-$Q$7&lt;K723,1+$Q$7&gt;L723,1-$Q$7&lt;L723),IF(SUM($N$2:N722)=0,1,0),0)</f>
        <v>0</v>
      </c>
      <c r="O723" s="34">
        <f t="shared" si="11"/>
        <v>0</v>
      </c>
    </row>
    <row r="724" spans="8:15" ht="20.100000000000001" customHeight="1" x14ac:dyDescent="0.25">
      <c r="H724" s="43" t="str">
        <f>IFERROR(ABS(C724/VLOOKUP(2*$B724,$B725:C758,2,TRUE)),"--")</f>
        <v>--</v>
      </c>
      <c r="I724" s="43" t="str">
        <f>IFERROR(ABS(D724/VLOOKUP(2*$B724,$B725:D758,3,TRUE)),"--")</f>
        <v>--</v>
      </c>
      <c r="J724" s="43" t="str">
        <f>IFERROR(ABS(E724/VLOOKUP(2*$B724,$B725:E758,4,TRUE)),"--")</f>
        <v>--</v>
      </c>
      <c r="K724" s="43" t="str">
        <f>IFERROR(ABS(F724/VLOOKUP(2*$B724,$B725:F758,5,TRUE)),"--")</f>
        <v>--</v>
      </c>
      <c r="L724" s="43" t="str">
        <f>IFERROR(ABS(G724/VLOOKUP(2*$B724,$B725:G758,6,TRUE)),"--")</f>
        <v>--</v>
      </c>
      <c r="M724" s="38">
        <f>IF(AND(1+$Q$6&gt;H724,1-$Q$6&lt;H724,1+$Q$6&gt;I724,1-$Q$6&lt;I724,1+$Q$6&gt;J724,1-$Q$6&lt;J724,1+$Q$6&gt;K724,1-$Q$6&lt;K724,1+$Q$6&gt;L724,1-$Q$6&lt;L724),IF(SUM($M$2:M723)=0,1,0),0)</f>
        <v>0</v>
      </c>
      <c r="N724" s="38">
        <f>IF(AND(1+$Q$7&gt;H724,1-$Q$7&lt;H724,1+$Q$7&gt;I724,1-$Q$7&lt;I724,1+$Q$7&gt;J724,1-$Q$7&lt;J724,1+$Q$7&gt;K724,1-$Q$7&lt;K724,1+$Q$7&gt;L724,1-$Q$7&lt;L724),IF(SUM($N$2:N723)=0,1,0),0)</f>
        <v>0</v>
      </c>
      <c r="O724" s="34">
        <f t="shared" si="11"/>
        <v>0</v>
      </c>
    </row>
    <row r="725" spans="8:15" ht="20.100000000000001" customHeight="1" x14ac:dyDescent="0.25">
      <c r="H725" s="43" t="str">
        <f>IFERROR(ABS(C725/VLOOKUP(2*$B725,$B726:C759,2,TRUE)),"--")</f>
        <v>--</v>
      </c>
      <c r="I725" s="43" t="str">
        <f>IFERROR(ABS(D725/VLOOKUP(2*$B725,$B726:D759,3,TRUE)),"--")</f>
        <v>--</v>
      </c>
      <c r="J725" s="43" t="str">
        <f>IFERROR(ABS(E725/VLOOKUP(2*$B725,$B726:E759,4,TRUE)),"--")</f>
        <v>--</v>
      </c>
      <c r="K725" s="43" t="str">
        <f>IFERROR(ABS(F725/VLOOKUP(2*$B725,$B726:F759,5,TRUE)),"--")</f>
        <v>--</v>
      </c>
      <c r="L725" s="43" t="str">
        <f>IFERROR(ABS(G725/VLOOKUP(2*$B725,$B726:G759,6,TRUE)),"--")</f>
        <v>--</v>
      </c>
      <c r="M725" s="38">
        <f>IF(AND(1+$Q$6&gt;H725,1-$Q$6&lt;H725,1+$Q$6&gt;I725,1-$Q$6&lt;I725,1+$Q$6&gt;J725,1-$Q$6&lt;J725,1+$Q$6&gt;K725,1-$Q$6&lt;K725,1+$Q$6&gt;L725,1-$Q$6&lt;L725),IF(SUM($M$2:M724)=0,1,0),0)</f>
        <v>0</v>
      </c>
      <c r="N725" s="38">
        <f>IF(AND(1+$Q$7&gt;H725,1-$Q$7&lt;H725,1+$Q$7&gt;I725,1-$Q$7&lt;I725,1+$Q$7&gt;J725,1-$Q$7&lt;J725,1+$Q$7&gt;K725,1-$Q$7&lt;K725,1+$Q$7&gt;L725,1-$Q$7&lt;L725),IF(SUM($N$2:N724)=0,1,0),0)</f>
        <v>0</v>
      </c>
      <c r="O725" s="34">
        <f t="shared" si="11"/>
        <v>0</v>
      </c>
    </row>
    <row r="726" spans="8:15" ht="20.100000000000001" customHeight="1" x14ac:dyDescent="0.25">
      <c r="H726" s="43" t="str">
        <f>IFERROR(ABS(C726/VLOOKUP(2*$B726,$B727:C760,2,TRUE)),"--")</f>
        <v>--</v>
      </c>
      <c r="I726" s="43" t="str">
        <f>IFERROR(ABS(D726/VLOOKUP(2*$B726,$B727:D760,3,TRUE)),"--")</f>
        <v>--</v>
      </c>
      <c r="J726" s="43" t="str">
        <f>IFERROR(ABS(E726/VLOOKUP(2*$B726,$B727:E760,4,TRUE)),"--")</f>
        <v>--</v>
      </c>
      <c r="K726" s="43" t="str">
        <f>IFERROR(ABS(F726/VLOOKUP(2*$B726,$B727:F760,5,TRUE)),"--")</f>
        <v>--</v>
      </c>
      <c r="L726" s="43" t="str">
        <f>IFERROR(ABS(G726/VLOOKUP(2*$B726,$B727:G760,6,TRUE)),"--")</f>
        <v>--</v>
      </c>
      <c r="M726" s="38">
        <f>IF(AND(1+$Q$6&gt;H726,1-$Q$6&lt;H726,1+$Q$6&gt;I726,1-$Q$6&lt;I726,1+$Q$6&gt;J726,1-$Q$6&lt;J726,1+$Q$6&gt;K726,1-$Q$6&lt;K726,1+$Q$6&gt;L726,1-$Q$6&lt;L726),IF(SUM($M$2:M725)=0,1,0),0)</f>
        <v>0</v>
      </c>
      <c r="N726" s="38">
        <f>IF(AND(1+$Q$7&gt;H726,1-$Q$7&lt;H726,1+$Q$7&gt;I726,1-$Q$7&lt;I726,1+$Q$7&gt;J726,1-$Q$7&lt;J726,1+$Q$7&gt;K726,1-$Q$7&lt;K726,1+$Q$7&gt;L726,1-$Q$7&lt;L726),IF(SUM($N$2:N725)=0,1,0),0)</f>
        <v>0</v>
      </c>
      <c r="O726" s="34">
        <f t="shared" si="11"/>
        <v>0</v>
      </c>
    </row>
    <row r="727" spans="8:15" ht="20.100000000000001" customHeight="1" x14ac:dyDescent="0.25">
      <c r="H727" s="43" t="str">
        <f>IFERROR(ABS(C727/VLOOKUP(2*$B727,$B728:C761,2,TRUE)),"--")</f>
        <v>--</v>
      </c>
      <c r="I727" s="43" t="str">
        <f>IFERROR(ABS(D727/VLOOKUP(2*$B727,$B728:D761,3,TRUE)),"--")</f>
        <v>--</v>
      </c>
      <c r="J727" s="43" t="str">
        <f>IFERROR(ABS(E727/VLOOKUP(2*$B727,$B728:E761,4,TRUE)),"--")</f>
        <v>--</v>
      </c>
      <c r="K727" s="43" t="str">
        <f>IFERROR(ABS(F727/VLOOKUP(2*$B727,$B728:F761,5,TRUE)),"--")</f>
        <v>--</v>
      </c>
      <c r="L727" s="43" t="str">
        <f>IFERROR(ABS(G727/VLOOKUP(2*$B727,$B728:G761,6,TRUE)),"--")</f>
        <v>--</v>
      </c>
      <c r="M727" s="38">
        <f>IF(AND(1+$Q$6&gt;H727,1-$Q$6&lt;H727,1+$Q$6&gt;I727,1-$Q$6&lt;I727,1+$Q$6&gt;J727,1-$Q$6&lt;J727,1+$Q$6&gt;K727,1-$Q$6&lt;K727,1+$Q$6&gt;L727,1-$Q$6&lt;L727),IF(SUM($M$2:M726)=0,1,0),0)</f>
        <v>0</v>
      </c>
      <c r="N727" s="38">
        <f>IF(AND(1+$Q$7&gt;H727,1-$Q$7&lt;H727,1+$Q$7&gt;I727,1-$Q$7&lt;I727,1+$Q$7&gt;J727,1-$Q$7&lt;J727,1+$Q$7&gt;K727,1-$Q$7&lt;K727,1+$Q$7&gt;L727,1-$Q$7&lt;L727),IF(SUM($N$2:N726)=0,1,0),0)</f>
        <v>0</v>
      </c>
      <c r="O727" s="34">
        <f t="shared" si="11"/>
        <v>0</v>
      </c>
    </row>
    <row r="728" spans="8:15" ht="20.100000000000001" customHeight="1" x14ac:dyDescent="0.25">
      <c r="H728" s="43" t="str">
        <f>IFERROR(ABS(C728/VLOOKUP(2*$B728,$B729:C762,2,TRUE)),"--")</f>
        <v>--</v>
      </c>
      <c r="I728" s="43" t="str">
        <f>IFERROR(ABS(D728/VLOOKUP(2*$B728,$B729:D762,3,TRUE)),"--")</f>
        <v>--</v>
      </c>
      <c r="J728" s="43" t="str">
        <f>IFERROR(ABS(E728/VLOOKUP(2*$B728,$B729:E762,4,TRUE)),"--")</f>
        <v>--</v>
      </c>
      <c r="K728" s="43" t="str">
        <f>IFERROR(ABS(F728/VLOOKUP(2*$B728,$B729:F762,5,TRUE)),"--")</f>
        <v>--</v>
      </c>
      <c r="L728" s="43" t="str">
        <f>IFERROR(ABS(G728/VLOOKUP(2*$B728,$B729:G762,6,TRUE)),"--")</f>
        <v>--</v>
      </c>
      <c r="M728" s="38">
        <f>IF(AND(1+$Q$6&gt;H728,1-$Q$6&lt;H728,1+$Q$6&gt;I728,1-$Q$6&lt;I728,1+$Q$6&gt;J728,1-$Q$6&lt;J728,1+$Q$6&gt;K728,1-$Q$6&lt;K728,1+$Q$6&gt;L728,1-$Q$6&lt;L728),IF(SUM($M$2:M727)=0,1,0),0)</f>
        <v>0</v>
      </c>
      <c r="N728" s="38">
        <f>IF(AND(1+$Q$7&gt;H728,1-$Q$7&lt;H728,1+$Q$7&gt;I728,1-$Q$7&lt;I728,1+$Q$7&gt;J728,1-$Q$7&lt;J728,1+$Q$7&gt;K728,1-$Q$7&lt;K728,1+$Q$7&gt;L728,1-$Q$7&lt;L728),IF(SUM($N$2:N727)=0,1,0),0)</f>
        <v>0</v>
      </c>
      <c r="O728" s="34">
        <f t="shared" si="11"/>
        <v>0</v>
      </c>
    </row>
    <row r="729" spans="8:15" ht="20.100000000000001" customHeight="1" x14ac:dyDescent="0.25">
      <c r="H729" s="43" t="str">
        <f>IFERROR(ABS(C729/VLOOKUP(2*$B729,$B730:C763,2,TRUE)),"--")</f>
        <v>--</v>
      </c>
      <c r="I729" s="43" t="str">
        <f>IFERROR(ABS(D729/VLOOKUP(2*$B729,$B730:D763,3,TRUE)),"--")</f>
        <v>--</v>
      </c>
      <c r="J729" s="43" t="str">
        <f>IFERROR(ABS(E729/VLOOKUP(2*$B729,$B730:E763,4,TRUE)),"--")</f>
        <v>--</v>
      </c>
      <c r="K729" s="43" t="str">
        <f>IFERROR(ABS(F729/VLOOKUP(2*$B729,$B730:F763,5,TRUE)),"--")</f>
        <v>--</v>
      </c>
      <c r="L729" s="43" t="str">
        <f>IFERROR(ABS(G729/VLOOKUP(2*$B729,$B730:G763,6,TRUE)),"--")</f>
        <v>--</v>
      </c>
      <c r="M729" s="38">
        <f>IF(AND(1+$Q$6&gt;H729,1-$Q$6&lt;H729,1+$Q$6&gt;I729,1-$Q$6&lt;I729,1+$Q$6&gt;J729,1-$Q$6&lt;J729,1+$Q$6&gt;K729,1-$Q$6&lt;K729,1+$Q$6&gt;L729,1-$Q$6&lt;L729),IF(SUM($M$2:M728)=0,1,0),0)</f>
        <v>0</v>
      </c>
      <c r="N729" s="38">
        <f>IF(AND(1+$Q$7&gt;H729,1-$Q$7&lt;H729,1+$Q$7&gt;I729,1-$Q$7&lt;I729,1+$Q$7&gt;J729,1-$Q$7&lt;J729,1+$Q$7&gt;K729,1-$Q$7&lt;K729,1+$Q$7&gt;L729,1-$Q$7&lt;L729),IF(SUM($N$2:N728)=0,1,0),0)</f>
        <v>0</v>
      </c>
      <c r="O729" s="34">
        <f t="shared" si="11"/>
        <v>0</v>
      </c>
    </row>
    <row r="730" spans="8:15" ht="20.100000000000001" customHeight="1" x14ac:dyDescent="0.25">
      <c r="H730" s="43" t="str">
        <f>IFERROR(ABS(C730/VLOOKUP(2*$B730,$B731:C764,2,TRUE)),"--")</f>
        <v>--</v>
      </c>
      <c r="I730" s="43" t="str">
        <f>IFERROR(ABS(D730/VLOOKUP(2*$B730,$B731:D764,3,TRUE)),"--")</f>
        <v>--</v>
      </c>
      <c r="J730" s="43" t="str">
        <f>IFERROR(ABS(E730/VLOOKUP(2*$B730,$B731:E764,4,TRUE)),"--")</f>
        <v>--</v>
      </c>
      <c r="K730" s="43" t="str">
        <f>IFERROR(ABS(F730/VLOOKUP(2*$B730,$B731:F764,5,TRUE)),"--")</f>
        <v>--</v>
      </c>
      <c r="L730" s="43" t="str">
        <f>IFERROR(ABS(G730/VLOOKUP(2*$B730,$B731:G764,6,TRUE)),"--")</f>
        <v>--</v>
      </c>
      <c r="M730" s="38">
        <f>IF(AND(1+$Q$6&gt;H730,1-$Q$6&lt;H730,1+$Q$6&gt;I730,1-$Q$6&lt;I730,1+$Q$6&gt;J730,1-$Q$6&lt;J730,1+$Q$6&gt;K730,1-$Q$6&lt;K730,1+$Q$6&gt;L730,1-$Q$6&lt;L730),IF(SUM($M$2:M729)=0,1,0),0)</f>
        <v>0</v>
      </c>
      <c r="N730" s="38">
        <f>IF(AND(1+$Q$7&gt;H730,1-$Q$7&lt;H730,1+$Q$7&gt;I730,1-$Q$7&lt;I730,1+$Q$7&gt;J730,1-$Q$7&lt;J730,1+$Q$7&gt;K730,1-$Q$7&lt;K730,1+$Q$7&gt;L730,1-$Q$7&lt;L730),IF(SUM($N$2:N729)=0,1,0),0)</f>
        <v>0</v>
      </c>
      <c r="O730" s="34">
        <f t="shared" si="11"/>
        <v>0</v>
      </c>
    </row>
    <row r="731" spans="8:15" ht="20.100000000000001" customHeight="1" x14ac:dyDescent="0.25">
      <c r="H731" s="43" t="str">
        <f>IFERROR(ABS(C731/VLOOKUP(2*$B731,$B732:C765,2,TRUE)),"--")</f>
        <v>--</v>
      </c>
      <c r="I731" s="43" t="str">
        <f>IFERROR(ABS(D731/VLOOKUP(2*$B731,$B732:D765,3,TRUE)),"--")</f>
        <v>--</v>
      </c>
      <c r="J731" s="43" t="str">
        <f>IFERROR(ABS(E731/VLOOKUP(2*$B731,$B732:E765,4,TRUE)),"--")</f>
        <v>--</v>
      </c>
      <c r="K731" s="43" t="str">
        <f>IFERROR(ABS(F731/VLOOKUP(2*$B731,$B732:F765,5,TRUE)),"--")</f>
        <v>--</v>
      </c>
      <c r="L731" s="43" t="str">
        <f>IFERROR(ABS(G731/VLOOKUP(2*$B731,$B732:G765,6,TRUE)),"--")</f>
        <v>--</v>
      </c>
      <c r="M731" s="38">
        <f>IF(AND(1+$Q$6&gt;H731,1-$Q$6&lt;H731,1+$Q$6&gt;I731,1-$Q$6&lt;I731,1+$Q$6&gt;J731,1-$Q$6&lt;J731,1+$Q$6&gt;K731,1-$Q$6&lt;K731,1+$Q$6&gt;L731,1-$Q$6&lt;L731),IF(SUM($M$2:M730)=0,1,0),0)</f>
        <v>0</v>
      </c>
      <c r="N731" s="38">
        <f>IF(AND(1+$Q$7&gt;H731,1-$Q$7&lt;H731,1+$Q$7&gt;I731,1-$Q$7&lt;I731,1+$Q$7&gt;J731,1-$Q$7&lt;J731,1+$Q$7&gt;K731,1-$Q$7&lt;K731,1+$Q$7&gt;L731,1-$Q$7&lt;L731),IF(SUM($N$2:N730)=0,1,0),0)</f>
        <v>0</v>
      </c>
      <c r="O731" s="34">
        <f t="shared" si="11"/>
        <v>0</v>
      </c>
    </row>
    <row r="732" spans="8:15" ht="20.100000000000001" customHeight="1" x14ac:dyDescent="0.25">
      <c r="H732" s="43" t="str">
        <f>IFERROR(ABS(C732/VLOOKUP(2*$B732,$B733:C766,2,TRUE)),"--")</f>
        <v>--</v>
      </c>
      <c r="I732" s="43" t="str">
        <f>IFERROR(ABS(D732/VLOOKUP(2*$B732,$B733:D766,3,TRUE)),"--")</f>
        <v>--</v>
      </c>
      <c r="J732" s="43" t="str">
        <f>IFERROR(ABS(E732/VLOOKUP(2*$B732,$B733:E766,4,TRUE)),"--")</f>
        <v>--</v>
      </c>
      <c r="K732" s="43" t="str">
        <f>IFERROR(ABS(F732/VLOOKUP(2*$B732,$B733:F766,5,TRUE)),"--")</f>
        <v>--</v>
      </c>
      <c r="L732" s="43" t="str">
        <f>IFERROR(ABS(G732/VLOOKUP(2*$B732,$B733:G766,6,TRUE)),"--")</f>
        <v>--</v>
      </c>
      <c r="M732" s="38">
        <f>IF(AND(1+$Q$6&gt;H732,1-$Q$6&lt;H732,1+$Q$6&gt;I732,1-$Q$6&lt;I732,1+$Q$6&gt;J732,1-$Q$6&lt;J732,1+$Q$6&gt;K732,1-$Q$6&lt;K732,1+$Q$6&gt;L732,1-$Q$6&lt;L732),IF(SUM($M$2:M731)=0,1,0),0)</f>
        <v>0</v>
      </c>
      <c r="N732" s="38">
        <f>IF(AND(1+$Q$7&gt;H732,1-$Q$7&lt;H732,1+$Q$7&gt;I732,1-$Q$7&lt;I732,1+$Q$7&gt;J732,1-$Q$7&lt;J732,1+$Q$7&gt;K732,1-$Q$7&lt;K732,1+$Q$7&gt;L732,1-$Q$7&lt;L732),IF(SUM($N$2:N731)=0,1,0),0)</f>
        <v>0</v>
      </c>
      <c r="O732" s="34">
        <f t="shared" si="11"/>
        <v>0</v>
      </c>
    </row>
    <row r="733" spans="8:15" ht="20.100000000000001" customHeight="1" x14ac:dyDescent="0.25">
      <c r="H733" s="43" t="str">
        <f>IFERROR(ABS(C733/VLOOKUP(2*$B733,$B734:C767,2,TRUE)),"--")</f>
        <v>--</v>
      </c>
      <c r="I733" s="43" t="str">
        <f>IFERROR(ABS(D733/VLOOKUP(2*$B733,$B734:D767,3,TRUE)),"--")</f>
        <v>--</v>
      </c>
      <c r="J733" s="43" t="str">
        <f>IFERROR(ABS(E733/VLOOKUP(2*$B733,$B734:E767,4,TRUE)),"--")</f>
        <v>--</v>
      </c>
      <c r="K733" s="43" t="str">
        <f>IFERROR(ABS(F733/VLOOKUP(2*$B733,$B734:F767,5,TRUE)),"--")</f>
        <v>--</v>
      </c>
      <c r="L733" s="43" t="str">
        <f>IFERROR(ABS(G733/VLOOKUP(2*$B733,$B734:G767,6,TRUE)),"--")</f>
        <v>--</v>
      </c>
      <c r="M733" s="38">
        <f>IF(AND(1+$Q$6&gt;H733,1-$Q$6&lt;H733,1+$Q$6&gt;I733,1-$Q$6&lt;I733,1+$Q$6&gt;J733,1-$Q$6&lt;J733,1+$Q$6&gt;K733,1-$Q$6&lt;K733,1+$Q$6&gt;L733,1-$Q$6&lt;L733),IF(SUM($M$2:M732)=0,1,0),0)</f>
        <v>0</v>
      </c>
      <c r="N733" s="38">
        <f>IF(AND(1+$Q$7&gt;H733,1-$Q$7&lt;H733,1+$Q$7&gt;I733,1-$Q$7&lt;I733,1+$Q$7&gt;J733,1-$Q$7&lt;J733,1+$Q$7&gt;K733,1-$Q$7&lt;K733,1+$Q$7&gt;L733,1-$Q$7&lt;L733),IF(SUM($N$2:N732)=0,1,0),0)</f>
        <v>0</v>
      </c>
      <c r="O733" s="34">
        <f t="shared" si="11"/>
        <v>0</v>
      </c>
    </row>
    <row r="734" spans="8:15" ht="20.100000000000001" customHeight="1" x14ac:dyDescent="0.25">
      <c r="H734" s="43" t="str">
        <f>IFERROR(ABS(C734/VLOOKUP(2*$B734,$B735:C768,2,TRUE)),"--")</f>
        <v>--</v>
      </c>
      <c r="I734" s="43" t="str">
        <f>IFERROR(ABS(D734/VLOOKUP(2*$B734,$B735:D768,3,TRUE)),"--")</f>
        <v>--</v>
      </c>
      <c r="J734" s="43" t="str">
        <f>IFERROR(ABS(E734/VLOOKUP(2*$B734,$B735:E768,4,TRUE)),"--")</f>
        <v>--</v>
      </c>
      <c r="K734" s="43" t="str">
        <f>IFERROR(ABS(F734/VLOOKUP(2*$B734,$B735:F768,5,TRUE)),"--")</f>
        <v>--</v>
      </c>
      <c r="L734" s="43" t="str">
        <f>IFERROR(ABS(G734/VLOOKUP(2*$B734,$B735:G768,6,TRUE)),"--")</f>
        <v>--</v>
      </c>
      <c r="M734" s="38">
        <f>IF(AND(1+$Q$6&gt;H734,1-$Q$6&lt;H734,1+$Q$6&gt;I734,1-$Q$6&lt;I734,1+$Q$6&gt;J734,1-$Q$6&lt;J734,1+$Q$6&gt;K734,1-$Q$6&lt;K734,1+$Q$6&gt;L734,1-$Q$6&lt;L734),IF(SUM($M$2:M733)=0,1,0),0)</f>
        <v>0</v>
      </c>
      <c r="N734" s="38">
        <f>IF(AND(1+$Q$7&gt;H734,1-$Q$7&lt;H734,1+$Q$7&gt;I734,1-$Q$7&lt;I734,1+$Q$7&gt;J734,1-$Q$7&lt;J734,1+$Q$7&gt;K734,1-$Q$7&lt;K734,1+$Q$7&gt;L734,1-$Q$7&lt;L734),IF(SUM($N$2:N733)=0,1,0),0)</f>
        <v>0</v>
      </c>
      <c r="O734" s="34">
        <f t="shared" si="11"/>
        <v>0</v>
      </c>
    </row>
    <row r="735" spans="8:15" ht="20.100000000000001" customHeight="1" x14ac:dyDescent="0.25">
      <c r="H735" s="43" t="str">
        <f>IFERROR(ABS(C735/VLOOKUP(2*$B735,$B736:C769,2,TRUE)),"--")</f>
        <v>--</v>
      </c>
      <c r="I735" s="43" t="str">
        <f>IFERROR(ABS(D735/VLOOKUP(2*$B735,$B736:D769,3,TRUE)),"--")</f>
        <v>--</v>
      </c>
      <c r="J735" s="43" t="str">
        <f>IFERROR(ABS(E735/VLOOKUP(2*$B735,$B736:E769,4,TRUE)),"--")</f>
        <v>--</v>
      </c>
      <c r="K735" s="43" t="str">
        <f>IFERROR(ABS(F735/VLOOKUP(2*$B735,$B736:F769,5,TRUE)),"--")</f>
        <v>--</v>
      </c>
      <c r="L735" s="43" t="str">
        <f>IFERROR(ABS(G735/VLOOKUP(2*$B735,$B736:G769,6,TRUE)),"--")</f>
        <v>--</v>
      </c>
      <c r="M735" s="38">
        <f>IF(AND(1+$Q$6&gt;H735,1-$Q$6&lt;H735,1+$Q$6&gt;I735,1-$Q$6&lt;I735,1+$Q$6&gt;J735,1-$Q$6&lt;J735,1+$Q$6&gt;K735,1-$Q$6&lt;K735,1+$Q$6&gt;L735,1-$Q$6&lt;L735),IF(SUM($M$2:M734)=0,1,0),0)</f>
        <v>0</v>
      </c>
      <c r="N735" s="38">
        <f>IF(AND(1+$Q$7&gt;H735,1-$Q$7&lt;H735,1+$Q$7&gt;I735,1-$Q$7&lt;I735,1+$Q$7&gt;J735,1-$Q$7&lt;J735,1+$Q$7&gt;K735,1-$Q$7&lt;K735,1+$Q$7&gt;L735,1-$Q$7&lt;L735),IF(SUM($N$2:N734)=0,1,0),0)</f>
        <v>0</v>
      </c>
      <c r="O735" s="34">
        <f t="shared" si="11"/>
        <v>0</v>
      </c>
    </row>
    <row r="736" spans="8:15" ht="20.100000000000001" customHeight="1" x14ac:dyDescent="0.25">
      <c r="H736" s="43" t="str">
        <f>IFERROR(ABS(C736/VLOOKUP(2*$B736,$B737:C770,2,TRUE)),"--")</f>
        <v>--</v>
      </c>
      <c r="I736" s="43" t="str">
        <f>IFERROR(ABS(D736/VLOOKUP(2*$B736,$B737:D770,3,TRUE)),"--")</f>
        <v>--</v>
      </c>
      <c r="J736" s="43" t="str">
        <f>IFERROR(ABS(E736/VLOOKUP(2*$B736,$B737:E770,4,TRUE)),"--")</f>
        <v>--</v>
      </c>
      <c r="K736" s="43" t="str">
        <f>IFERROR(ABS(F736/VLOOKUP(2*$B736,$B737:F770,5,TRUE)),"--")</f>
        <v>--</v>
      </c>
      <c r="L736" s="43" t="str">
        <f>IFERROR(ABS(G736/VLOOKUP(2*$B736,$B737:G770,6,TRUE)),"--")</f>
        <v>--</v>
      </c>
      <c r="M736" s="38">
        <f>IF(AND(1+$Q$6&gt;H736,1-$Q$6&lt;H736,1+$Q$6&gt;I736,1-$Q$6&lt;I736,1+$Q$6&gt;J736,1-$Q$6&lt;J736,1+$Q$6&gt;K736,1-$Q$6&lt;K736,1+$Q$6&gt;L736,1-$Q$6&lt;L736),IF(SUM($M$2:M735)=0,1,0),0)</f>
        <v>0</v>
      </c>
      <c r="N736" s="38">
        <f>IF(AND(1+$Q$7&gt;H736,1-$Q$7&lt;H736,1+$Q$7&gt;I736,1-$Q$7&lt;I736,1+$Q$7&gt;J736,1-$Q$7&lt;J736,1+$Q$7&gt;K736,1-$Q$7&lt;K736,1+$Q$7&gt;L736,1-$Q$7&lt;L736),IF(SUM($N$2:N735)=0,1,0),0)</f>
        <v>0</v>
      </c>
      <c r="O736" s="34">
        <f t="shared" si="11"/>
        <v>0</v>
      </c>
    </row>
    <row r="737" spans="8:15" ht="20.100000000000001" customHeight="1" x14ac:dyDescent="0.25">
      <c r="H737" s="43" t="str">
        <f>IFERROR(ABS(C737/VLOOKUP(2*$B737,$B738:C771,2,TRUE)),"--")</f>
        <v>--</v>
      </c>
      <c r="I737" s="43" t="str">
        <f>IFERROR(ABS(D737/VLOOKUP(2*$B737,$B738:D771,3,TRUE)),"--")</f>
        <v>--</v>
      </c>
      <c r="J737" s="43" t="str">
        <f>IFERROR(ABS(E737/VLOOKUP(2*$B737,$B738:E771,4,TRUE)),"--")</f>
        <v>--</v>
      </c>
      <c r="K737" s="43" t="str">
        <f>IFERROR(ABS(F737/VLOOKUP(2*$B737,$B738:F771,5,TRUE)),"--")</f>
        <v>--</v>
      </c>
      <c r="L737" s="43" t="str">
        <f>IFERROR(ABS(G737/VLOOKUP(2*$B737,$B738:G771,6,TRUE)),"--")</f>
        <v>--</v>
      </c>
      <c r="M737" s="38">
        <f>IF(AND(1+$Q$6&gt;H737,1-$Q$6&lt;H737,1+$Q$6&gt;I737,1-$Q$6&lt;I737,1+$Q$6&gt;J737,1-$Q$6&lt;J737,1+$Q$6&gt;K737,1-$Q$6&lt;K737,1+$Q$6&gt;L737,1-$Q$6&lt;L737),IF(SUM($M$2:M736)=0,1,0),0)</f>
        <v>0</v>
      </c>
      <c r="N737" s="38">
        <f>IF(AND(1+$Q$7&gt;H737,1-$Q$7&lt;H737,1+$Q$7&gt;I737,1-$Q$7&lt;I737,1+$Q$7&gt;J737,1-$Q$7&lt;J737,1+$Q$7&gt;K737,1-$Q$7&lt;K737,1+$Q$7&gt;L737,1-$Q$7&lt;L737),IF(SUM($N$2:N736)=0,1,0),0)</f>
        <v>0</v>
      </c>
      <c r="O737" s="34">
        <f t="shared" si="11"/>
        <v>0</v>
      </c>
    </row>
    <row r="738" spans="8:15" ht="20.100000000000001" customHeight="1" x14ac:dyDescent="0.25">
      <c r="H738" s="43" t="str">
        <f>IFERROR(ABS(C738/VLOOKUP(2*$B738,$B739:C772,2,TRUE)),"--")</f>
        <v>--</v>
      </c>
      <c r="I738" s="43" t="str">
        <f>IFERROR(ABS(D738/VLOOKUP(2*$B738,$B739:D772,3,TRUE)),"--")</f>
        <v>--</v>
      </c>
      <c r="J738" s="43" t="str">
        <f>IFERROR(ABS(E738/VLOOKUP(2*$B738,$B739:E772,4,TRUE)),"--")</f>
        <v>--</v>
      </c>
      <c r="K738" s="43" t="str">
        <f>IFERROR(ABS(F738/VLOOKUP(2*$B738,$B739:F772,5,TRUE)),"--")</f>
        <v>--</v>
      </c>
      <c r="L738" s="43" t="str">
        <f>IFERROR(ABS(G738/VLOOKUP(2*$B738,$B739:G772,6,TRUE)),"--")</f>
        <v>--</v>
      </c>
      <c r="M738" s="38">
        <f>IF(AND(1+$Q$6&gt;H738,1-$Q$6&lt;H738,1+$Q$6&gt;I738,1-$Q$6&lt;I738,1+$Q$6&gt;J738,1-$Q$6&lt;J738,1+$Q$6&gt;K738,1-$Q$6&lt;K738,1+$Q$6&gt;L738,1-$Q$6&lt;L738),IF(SUM($M$2:M737)=0,1,0),0)</f>
        <v>0</v>
      </c>
      <c r="N738" s="38">
        <f>IF(AND(1+$Q$7&gt;H738,1-$Q$7&lt;H738,1+$Q$7&gt;I738,1-$Q$7&lt;I738,1+$Q$7&gt;J738,1-$Q$7&lt;J738,1+$Q$7&gt;K738,1-$Q$7&lt;K738,1+$Q$7&gt;L738,1-$Q$7&lt;L738),IF(SUM($N$2:N737)=0,1,0),0)</f>
        <v>0</v>
      </c>
      <c r="O738" s="34">
        <f t="shared" si="11"/>
        <v>0</v>
      </c>
    </row>
    <row r="739" spans="8:15" ht="20.100000000000001" customHeight="1" x14ac:dyDescent="0.25">
      <c r="H739" s="43" t="str">
        <f>IFERROR(ABS(C739/VLOOKUP(2*$B739,$B740:C773,2,TRUE)),"--")</f>
        <v>--</v>
      </c>
      <c r="I739" s="43" t="str">
        <f>IFERROR(ABS(D739/VLOOKUP(2*$B739,$B740:D773,3,TRUE)),"--")</f>
        <v>--</v>
      </c>
      <c r="J739" s="43" t="str">
        <f>IFERROR(ABS(E739/VLOOKUP(2*$B739,$B740:E773,4,TRUE)),"--")</f>
        <v>--</v>
      </c>
      <c r="K739" s="43" t="str">
        <f>IFERROR(ABS(F739/VLOOKUP(2*$B739,$B740:F773,5,TRUE)),"--")</f>
        <v>--</v>
      </c>
      <c r="L739" s="43" t="str">
        <f>IFERROR(ABS(G739/VLOOKUP(2*$B739,$B740:G773,6,TRUE)),"--")</f>
        <v>--</v>
      </c>
      <c r="M739" s="38">
        <f>IF(AND(1+$Q$6&gt;H739,1-$Q$6&lt;H739,1+$Q$6&gt;I739,1-$Q$6&lt;I739,1+$Q$6&gt;J739,1-$Q$6&lt;J739,1+$Q$6&gt;K739,1-$Q$6&lt;K739,1+$Q$6&gt;L739,1-$Q$6&lt;L739),IF(SUM($M$2:M738)=0,1,0),0)</f>
        <v>0</v>
      </c>
      <c r="N739" s="38">
        <f>IF(AND(1+$Q$7&gt;H739,1-$Q$7&lt;H739,1+$Q$7&gt;I739,1-$Q$7&lt;I739,1+$Q$7&gt;J739,1-$Q$7&lt;J739,1+$Q$7&gt;K739,1-$Q$7&lt;K739,1+$Q$7&gt;L739,1-$Q$7&lt;L739),IF(SUM($N$2:N738)=0,1,0),0)</f>
        <v>0</v>
      </c>
      <c r="O739" s="34">
        <f t="shared" si="11"/>
        <v>0</v>
      </c>
    </row>
    <row r="740" spans="8:15" ht="20.100000000000001" customHeight="1" x14ac:dyDescent="0.25">
      <c r="H740" s="43" t="str">
        <f>IFERROR(ABS(C740/VLOOKUP(2*$B740,$B741:C774,2,TRUE)),"--")</f>
        <v>--</v>
      </c>
      <c r="I740" s="43" t="str">
        <f>IFERROR(ABS(D740/VLOOKUP(2*$B740,$B741:D774,3,TRUE)),"--")</f>
        <v>--</v>
      </c>
      <c r="J740" s="43" t="str">
        <f>IFERROR(ABS(E740/VLOOKUP(2*$B740,$B741:E774,4,TRUE)),"--")</f>
        <v>--</v>
      </c>
      <c r="K740" s="43" t="str">
        <f>IFERROR(ABS(F740/VLOOKUP(2*$B740,$B741:F774,5,TRUE)),"--")</f>
        <v>--</v>
      </c>
      <c r="L740" s="43" t="str">
        <f>IFERROR(ABS(G740/VLOOKUP(2*$B740,$B741:G774,6,TRUE)),"--")</f>
        <v>--</v>
      </c>
      <c r="M740" s="38">
        <f>IF(AND(1+$Q$6&gt;H740,1-$Q$6&lt;H740,1+$Q$6&gt;I740,1-$Q$6&lt;I740,1+$Q$6&gt;J740,1-$Q$6&lt;J740,1+$Q$6&gt;K740,1-$Q$6&lt;K740,1+$Q$6&gt;L740,1-$Q$6&lt;L740),IF(SUM($M$2:M739)=0,1,0),0)</f>
        <v>0</v>
      </c>
      <c r="N740" s="38">
        <f>IF(AND(1+$Q$7&gt;H740,1-$Q$7&lt;H740,1+$Q$7&gt;I740,1-$Q$7&lt;I740,1+$Q$7&gt;J740,1-$Q$7&lt;J740,1+$Q$7&gt;K740,1-$Q$7&lt;K740,1+$Q$7&gt;L740,1-$Q$7&lt;L740),IF(SUM($N$2:N739)=0,1,0),0)</f>
        <v>0</v>
      </c>
      <c r="O740" s="34">
        <f t="shared" si="11"/>
        <v>0</v>
      </c>
    </row>
    <row r="741" spans="8:15" ht="20.100000000000001" customHeight="1" x14ac:dyDescent="0.25">
      <c r="H741" s="43" t="str">
        <f>IFERROR(ABS(C741/VLOOKUP(2*$B741,$B742:C775,2,TRUE)),"--")</f>
        <v>--</v>
      </c>
      <c r="I741" s="43" t="str">
        <f>IFERROR(ABS(D741/VLOOKUP(2*$B741,$B742:D775,3,TRUE)),"--")</f>
        <v>--</v>
      </c>
      <c r="J741" s="43" t="str">
        <f>IFERROR(ABS(E741/VLOOKUP(2*$B741,$B742:E775,4,TRUE)),"--")</f>
        <v>--</v>
      </c>
      <c r="K741" s="43" t="str">
        <f>IFERROR(ABS(F741/VLOOKUP(2*$B741,$B742:F775,5,TRUE)),"--")</f>
        <v>--</v>
      </c>
      <c r="L741" s="43" t="str">
        <f>IFERROR(ABS(G741/VLOOKUP(2*$B741,$B742:G775,6,TRUE)),"--")</f>
        <v>--</v>
      </c>
      <c r="M741" s="38">
        <f>IF(AND(1+$Q$6&gt;H741,1-$Q$6&lt;H741,1+$Q$6&gt;I741,1-$Q$6&lt;I741,1+$Q$6&gt;J741,1-$Q$6&lt;J741,1+$Q$6&gt;K741,1-$Q$6&lt;K741,1+$Q$6&gt;L741,1-$Q$6&lt;L741),IF(SUM($M$2:M740)=0,1,0),0)</f>
        <v>0</v>
      </c>
      <c r="N741" s="38">
        <f>IF(AND(1+$Q$7&gt;H741,1-$Q$7&lt;H741,1+$Q$7&gt;I741,1-$Q$7&lt;I741,1+$Q$7&gt;J741,1-$Q$7&lt;J741,1+$Q$7&gt;K741,1-$Q$7&lt;K741,1+$Q$7&gt;L741,1-$Q$7&lt;L741),IF(SUM($N$2:N740)=0,1,0),0)</f>
        <v>0</v>
      </c>
      <c r="O741" s="34">
        <f t="shared" si="11"/>
        <v>0</v>
      </c>
    </row>
    <row r="742" spans="8:15" ht="20.100000000000001" customHeight="1" x14ac:dyDescent="0.25">
      <c r="H742" s="43" t="str">
        <f>IFERROR(ABS(C742/VLOOKUP(2*$B742,$B743:C776,2,TRUE)),"--")</f>
        <v>--</v>
      </c>
      <c r="I742" s="43" t="str">
        <f>IFERROR(ABS(D742/VLOOKUP(2*$B742,$B743:D776,3,TRUE)),"--")</f>
        <v>--</v>
      </c>
      <c r="J742" s="43" t="str">
        <f>IFERROR(ABS(E742/VLOOKUP(2*$B742,$B743:E776,4,TRUE)),"--")</f>
        <v>--</v>
      </c>
      <c r="K742" s="43" t="str">
        <f>IFERROR(ABS(F742/VLOOKUP(2*$B742,$B743:F776,5,TRUE)),"--")</f>
        <v>--</v>
      </c>
      <c r="L742" s="43" t="str">
        <f>IFERROR(ABS(G742/VLOOKUP(2*$B742,$B743:G776,6,TRUE)),"--")</f>
        <v>--</v>
      </c>
      <c r="M742" s="38">
        <f>IF(AND(1+$Q$6&gt;H742,1-$Q$6&lt;H742,1+$Q$6&gt;I742,1-$Q$6&lt;I742,1+$Q$6&gt;J742,1-$Q$6&lt;J742,1+$Q$6&gt;K742,1-$Q$6&lt;K742,1+$Q$6&gt;L742,1-$Q$6&lt;L742),IF(SUM($M$2:M741)=0,1,0),0)</f>
        <v>0</v>
      </c>
      <c r="N742" s="38">
        <f>IF(AND(1+$Q$7&gt;H742,1-$Q$7&lt;H742,1+$Q$7&gt;I742,1-$Q$7&lt;I742,1+$Q$7&gt;J742,1-$Q$7&lt;J742,1+$Q$7&gt;K742,1-$Q$7&lt;K742,1+$Q$7&gt;L742,1-$Q$7&lt;L742),IF(SUM($N$2:N741)=0,1,0),0)</f>
        <v>0</v>
      </c>
      <c r="O742" s="34">
        <f t="shared" si="11"/>
        <v>0</v>
      </c>
    </row>
    <row r="743" spans="8:15" ht="20.100000000000001" customHeight="1" x14ac:dyDescent="0.25">
      <c r="H743" s="43" t="str">
        <f>IFERROR(ABS(C743/VLOOKUP(2*$B743,$B744:C777,2,TRUE)),"--")</f>
        <v>--</v>
      </c>
      <c r="I743" s="43" t="str">
        <f>IFERROR(ABS(D743/VLOOKUP(2*$B743,$B744:D777,3,TRUE)),"--")</f>
        <v>--</v>
      </c>
      <c r="J743" s="43" t="str">
        <f>IFERROR(ABS(E743/VLOOKUP(2*$B743,$B744:E777,4,TRUE)),"--")</f>
        <v>--</v>
      </c>
      <c r="K743" s="43" t="str">
        <f>IFERROR(ABS(F743/VLOOKUP(2*$B743,$B744:F777,5,TRUE)),"--")</f>
        <v>--</v>
      </c>
      <c r="L743" s="43" t="str">
        <f>IFERROR(ABS(G743/VLOOKUP(2*$B743,$B744:G777,6,TRUE)),"--")</f>
        <v>--</v>
      </c>
      <c r="M743" s="38">
        <f>IF(AND(1+$Q$6&gt;H743,1-$Q$6&lt;H743,1+$Q$6&gt;I743,1-$Q$6&lt;I743,1+$Q$6&gt;J743,1-$Q$6&lt;J743,1+$Q$6&gt;K743,1-$Q$6&lt;K743,1+$Q$6&gt;L743,1-$Q$6&lt;L743),IF(SUM($M$2:M742)=0,1,0),0)</f>
        <v>0</v>
      </c>
      <c r="N743" s="38">
        <f>IF(AND(1+$Q$7&gt;H743,1-$Q$7&lt;H743,1+$Q$7&gt;I743,1-$Q$7&lt;I743,1+$Q$7&gt;J743,1-$Q$7&lt;J743,1+$Q$7&gt;K743,1-$Q$7&lt;K743,1+$Q$7&gt;L743,1-$Q$7&lt;L743),IF(SUM($N$2:N742)=0,1,0),0)</f>
        <v>0</v>
      </c>
      <c r="O743" s="34">
        <f t="shared" si="11"/>
        <v>0</v>
      </c>
    </row>
    <row r="744" spans="8:15" ht="20.100000000000001" customHeight="1" x14ac:dyDescent="0.25">
      <c r="H744" s="43" t="str">
        <f>IFERROR(ABS(C744/VLOOKUP(2*$B744,$B745:C778,2,TRUE)),"--")</f>
        <v>--</v>
      </c>
      <c r="I744" s="43" t="str">
        <f>IFERROR(ABS(D744/VLOOKUP(2*$B744,$B745:D778,3,TRUE)),"--")</f>
        <v>--</v>
      </c>
      <c r="J744" s="43" t="str">
        <f>IFERROR(ABS(E744/VLOOKUP(2*$B744,$B745:E778,4,TRUE)),"--")</f>
        <v>--</v>
      </c>
      <c r="K744" s="43" t="str">
        <f>IFERROR(ABS(F744/VLOOKUP(2*$B744,$B745:F778,5,TRUE)),"--")</f>
        <v>--</v>
      </c>
      <c r="L744" s="43" t="str">
        <f>IFERROR(ABS(G744/VLOOKUP(2*$B744,$B745:G778,6,TRUE)),"--")</f>
        <v>--</v>
      </c>
      <c r="M744" s="38">
        <f>IF(AND(1+$Q$6&gt;H744,1-$Q$6&lt;H744,1+$Q$6&gt;I744,1-$Q$6&lt;I744,1+$Q$6&gt;J744,1-$Q$6&lt;J744,1+$Q$6&gt;K744,1-$Q$6&lt;K744,1+$Q$6&gt;L744,1-$Q$6&lt;L744),IF(SUM($M$2:M743)=0,1,0),0)</f>
        <v>0</v>
      </c>
      <c r="N744" s="38">
        <f>IF(AND(1+$Q$7&gt;H744,1-$Q$7&lt;H744,1+$Q$7&gt;I744,1-$Q$7&lt;I744,1+$Q$7&gt;J744,1-$Q$7&lt;J744,1+$Q$7&gt;K744,1-$Q$7&lt;K744,1+$Q$7&gt;L744,1-$Q$7&lt;L744),IF(SUM($N$2:N743)=0,1,0),0)</f>
        <v>0</v>
      </c>
      <c r="O744" s="34">
        <f t="shared" si="11"/>
        <v>0</v>
      </c>
    </row>
    <row r="745" spans="8:15" ht="20.100000000000001" customHeight="1" x14ac:dyDescent="0.25">
      <c r="H745" s="43" t="str">
        <f>IFERROR(ABS(C745/VLOOKUP(2*$B745,$B746:C779,2,TRUE)),"--")</f>
        <v>--</v>
      </c>
      <c r="I745" s="43" t="str">
        <f>IFERROR(ABS(D745/VLOOKUP(2*$B745,$B746:D779,3,TRUE)),"--")</f>
        <v>--</v>
      </c>
      <c r="J745" s="43" t="str">
        <f>IFERROR(ABS(E745/VLOOKUP(2*$B745,$B746:E779,4,TRUE)),"--")</f>
        <v>--</v>
      </c>
      <c r="K745" s="43" t="str">
        <f>IFERROR(ABS(F745/VLOOKUP(2*$B745,$B746:F779,5,TRUE)),"--")</f>
        <v>--</v>
      </c>
      <c r="L745" s="43" t="str">
        <f>IFERROR(ABS(G745/VLOOKUP(2*$B745,$B746:G779,6,TRUE)),"--")</f>
        <v>--</v>
      </c>
      <c r="M745" s="38">
        <f>IF(AND(1+$Q$6&gt;H745,1-$Q$6&lt;H745,1+$Q$6&gt;I745,1-$Q$6&lt;I745,1+$Q$6&gt;J745,1-$Q$6&lt;J745,1+$Q$6&gt;K745,1-$Q$6&lt;K745,1+$Q$6&gt;L745,1-$Q$6&lt;L745),IF(SUM($M$2:M744)=0,1,0),0)</f>
        <v>0</v>
      </c>
      <c r="N745" s="38">
        <f>IF(AND(1+$Q$7&gt;H745,1-$Q$7&lt;H745,1+$Q$7&gt;I745,1-$Q$7&lt;I745,1+$Q$7&gt;J745,1-$Q$7&lt;J745,1+$Q$7&gt;K745,1-$Q$7&lt;K745,1+$Q$7&gt;L745,1-$Q$7&lt;L745),IF(SUM($N$2:N744)=0,1,0),0)</f>
        <v>0</v>
      </c>
      <c r="O745" s="34">
        <f t="shared" si="11"/>
        <v>0</v>
      </c>
    </row>
    <row r="746" spans="8:15" ht="20.100000000000001" customHeight="1" x14ac:dyDescent="0.25">
      <c r="H746" s="43" t="str">
        <f>IFERROR(ABS(C746/VLOOKUP(2*$B746,$B747:C780,2,TRUE)),"--")</f>
        <v>--</v>
      </c>
      <c r="I746" s="43" t="str">
        <f>IFERROR(ABS(D746/VLOOKUP(2*$B746,$B747:D780,3,TRUE)),"--")</f>
        <v>--</v>
      </c>
      <c r="J746" s="43" t="str">
        <f>IFERROR(ABS(E746/VLOOKUP(2*$B746,$B747:E780,4,TRUE)),"--")</f>
        <v>--</v>
      </c>
      <c r="K746" s="43" t="str">
        <f>IFERROR(ABS(F746/VLOOKUP(2*$B746,$B747:F780,5,TRUE)),"--")</f>
        <v>--</v>
      </c>
      <c r="L746" s="43" t="str">
        <f>IFERROR(ABS(G746/VLOOKUP(2*$B746,$B747:G780,6,TRUE)),"--")</f>
        <v>--</v>
      </c>
      <c r="M746" s="38">
        <f>IF(AND(1+$Q$6&gt;H746,1-$Q$6&lt;H746,1+$Q$6&gt;I746,1-$Q$6&lt;I746,1+$Q$6&gt;J746,1-$Q$6&lt;J746,1+$Q$6&gt;K746,1-$Q$6&lt;K746,1+$Q$6&gt;L746,1-$Q$6&lt;L746),IF(SUM($M$2:M745)=0,1,0),0)</f>
        <v>0</v>
      </c>
      <c r="N746" s="38">
        <f>IF(AND(1+$Q$7&gt;H746,1-$Q$7&lt;H746,1+$Q$7&gt;I746,1-$Q$7&lt;I746,1+$Q$7&gt;J746,1-$Q$7&lt;J746,1+$Q$7&gt;K746,1-$Q$7&lt;K746,1+$Q$7&gt;L746,1-$Q$7&lt;L746),IF(SUM($N$2:N745)=0,1,0),0)</f>
        <v>0</v>
      </c>
      <c r="O746" s="34">
        <f t="shared" si="11"/>
        <v>0</v>
      </c>
    </row>
    <row r="747" spans="8:15" ht="20.100000000000001" customHeight="1" x14ac:dyDescent="0.25">
      <c r="H747" s="43" t="str">
        <f>IFERROR(ABS(C747/VLOOKUP(2*$B747,$B748:C781,2,TRUE)),"--")</f>
        <v>--</v>
      </c>
      <c r="I747" s="43" t="str">
        <f>IFERROR(ABS(D747/VLOOKUP(2*$B747,$B748:D781,3,TRUE)),"--")</f>
        <v>--</v>
      </c>
      <c r="J747" s="43" t="str">
        <f>IFERROR(ABS(E747/VLOOKUP(2*$B747,$B748:E781,4,TRUE)),"--")</f>
        <v>--</v>
      </c>
      <c r="K747" s="43" t="str">
        <f>IFERROR(ABS(F747/VLOOKUP(2*$B747,$B748:F781,5,TRUE)),"--")</f>
        <v>--</v>
      </c>
      <c r="L747" s="43" t="str">
        <f>IFERROR(ABS(G747/VLOOKUP(2*$B747,$B748:G781,6,TRUE)),"--")</f>
        <v>--</v>
      </c>
      <c r="M747" s="38">
        <f>IF(AND(1+$Q$6&gt;H747,1-$Q$6&lt;H747,1+$Q$6&gt;I747,1-$Q$6&lt;I747,1+$Q$6&gt;J747,1-$Q$6&lt;J747,1+$Q$6&gt;K747,1-$Q$6&lt;K747,1+$Q$6&gt;L747,1-$Q$6&lt;L747),IF(SUM($M$2:M746)=0,1,0),0)</f>
        <v>0</v>
      </c>
      <c r="N747" s="38">
        <f>IF(AND(1+$Q$7&gt;H747,1-$Q$7&lt;H747,1+$Q$7&gt;I747,1-$Q$7&lt;I747,1+$Q$7&gt;J747,1-$Q$7&lt;J747,1+$Q$7&gt;K747,1-$Q$7&lt;K747,1+$Q$7&gt;L747,1-$Q$7&lt;L747),IF(SUM($N$2:N746)=0,1,0),0)</f>
        <v>0</v>
      </c>
      <c r="O747" s="34">
        <f t="shared" si="11"/>
        <v>0</v>
      </c>
    </row>
    <row r="748" spans="8:15" ht="20.100000000000001" customHeight="1" x14ac:dyDescent="0.25">
      <c r="H748" s="43" t="str">
        <f>IFERROR(ABS(C748/VLOOKUP(2*$B748,$B749:C782,2,TRUE)),"--")</f>
        <v>--</v>
      </c>
      <c r="I748" s="43" t="str">
        <f>IFERROR(ABS(D748/VLOOKUP(2*$B748,$B749:D782,3,TRUE)),"--")</f>
        <v>--</v>
      </c>
      <c r="J748" s="43" t="str">
        <f>IFERROR(ABS(E748/VLOOKUP(2*$B748,$B749:E782,4,TRUE)),"--")</f>
        <v>--</v>
      </c>
      <c r="K748" s="43" t="str">
        <f>IFERROR(ABS(F748/VLOOKUP(2*$B748,$B749:F782,5,TRUE)),"--")</f>
        <v>--</v>
      </c>
      <c r="L748" s="43" t="str">
        <f>IFERROR(ABS(G748/VLOOKUP(2*$B748,$B749:G782,6,TRUE)),"--")</f>
        <v>--</v>
      </c>
      <c r="M748" s="38">
        <f>IF(AND(1+$Q$6&gt;H748,1-$Q$6&lt;H748,1+$Q$6&gt;I748,1-$Q$6&lt;I748,1+$Q$6&gt;J748,1-$Q$6&lt;J748,1+$Q$6&gt;K748,1-$Q$6&lt;K748,1+$Q$6&gt;L748,1-$Q$6&lt;L748),IF(SUM($M$2:M747)=0,1,0),0)</f>
        <v>0</v>
      </c>
      <c r="N748" s="38">
        <f>IF(AND(1+$Q$7&gt;H748,1-$Q$7&lt;H748,1+$Q$7&gt;I748,1-$Q$7&lt;I748,1+$Q$7&gt;J748,1-$Q$7&lt;J748,1+$Q$7&gt;K748,1-$Q$7&lt;K748,1+$Q$7&gt;L748,1-$Q$7&lt;L748),IF(SUM($N$2:N747)=0,1,0),0)</f>
        <v>0</v>
      </c>
      <c r="O748" s="34">
        <f t="shared" si="11"/>
        <v>0</v>
      </c>
    </row>
    <row r="749" spans="8:15" ht="20.100000000000001" customHeight="1" x14ac:dyDescent="0.25">
      <c r="H749" s="43" t="str">
        <f>IFERROR(ABS(C749/VLOOKUP(2*$B749,$B750:C783,2,TRUE)),"--")</f>
        <v>--</v>
      </c>
      <c r="I749" s="43" t="str">
        <f>IFERROR(ABS(D749/VLOOKUP(2*$B749,$B750:D783,3,TRUE)),"--")</f>
        <v>--</v>
      </c>
      <c r="J749" s="43" t="str">
        <f>IFERROR(ABS(E749/VLOOKUP(2*$B749,$B750:E783,4,TRUE)),"--")</f>
        <v>--</v>
      </c>
      <c r="K749" s="43" t="str">
        <f>IFERROR(ABS(F749/VLOOKUP(2*$B749,$B750:F783,5,TRUE)),"--")</f>
        <v>--</v>
      </c>
      <c r="L749" s="43" t="str">
        <f>IFERROR(ABS(G749/VLOOKUP(2*$B749,$B750:G783,6,TRUE)),"--")</f>
        <v>--</v>
      </c>
      <c r="M749" s="38">
        <f>IF(AND(1+$Q$6&gt;H749,1-$Q$6&lt;H749,1+$Q$6&gt;I749,1-$Q$6&lt;I749,1+$Q$6&gt;J749,1-$Q$6&lt;J749,1+$Q$6&gt;K749,1-$Q$6&lt;K749,1+$Q$6&gt;L749,1-$Q$6&lt;L749),IF(SUM($M$2:M748)=0,1,0),0)</f>
        <v>0</v>
      </c>
      <c r="N749" s="38">
        <f>IF(AND(1+$Q$7&gt;H749,1-$Q$7&lt;H749,1+$Q$7&gt;I749,1-$Q$7&lt;I749,1+$Q$7&gt;J749,1-$Q$7&lt;J749,1+$Q$7&gt;K749,1-$Q$7&lt;K749,1+$Q$7&gt;L749,1-$Q$7&lt;L749),IF(SUM($N$2:N748)=0,1,0),0)</f>
        <v>0</v>
      </c>
      <c r="O749" s="34">
        <f t="shared" si="11"/>
        <v>0</v>
      </c>
    </row>
    <row r="750" spans="8:15" ht="20.100000000000001" customHeight="1" x14ac:dyDescent="0.25">
      <c r="H750" s="43" t="str">
        <f>IFERROR(ABS(C750/VLOOKUP(2*$B750,$B751:C784,2,TRUE)),"--")</f>
        <v>--</v>
      </c>
      <c r="I750" s="43" t="str">
        <f>IFERROR(ABS(D750/VLOOKUP(2*$B750,$B751:D784,3,TRUE)),"--")</f>
        <v>--</v>
      </c>
      <c r="J750" s="43" t="str">
        <f>IFERROR(ABS(E750/VLOOKUP(2*$B750,$B751:E784,4,TRUE)),"--")</f>
        <v>--</v>
      </c>
      <c r="K750" s="43" t="str">
        <f>IFERROR(ABS(F750/VLOOKUP(2*$B750,$B751:F784,5,TRUE)),"--")</f>
        <v>--</v>
      </c>
      <c r="L750" s="43" t="str">
        <f>IFERROR(ABS(G750/VLOOKUP(2*$B750,$B751:G784,6,TRUE)),"--")</f>
        <v>--</v>
      </c>
      <c r="M750" s="38">
        <f>IF(AND(1+$Q$6&gt;H750,1-$Q$6&lt;H750,1+$Q$6&gt;I750,1-$Q$6&lt;I750,1+$Q$6&gt;J750,1-$Q$6&lt;J750,1+$Q$6&gt;K750,1-$Q$6&lt;K750,1+$Q$6&gt;L750,1-$Q$6&lt;L750),IF(SUM($M$2:M749)=0,1,0),0)</f>
        <v>0</v>
      </c>
      <c r="N750" s="38">
        <f>IF(AND(1+$Q$7&gt;H750,1-$Q$7&lt;H750,1+$Q$7&gt;I750,1-$Q$7&lt;I750,1+$Q$7&gt;J750,1-$Q$7&lt;J750,1+$Q$7&gt;K750,1-$Q$7&lt;K750,1+$Q$7&gt;L750,1-$Q$7&lt;L750),IF(SUM($N$2:N749)=0,1,0),0)</f>
        <v>0</v>
      </c>
      <c r="O750" s="34">
        <f t="shared" si="11"/>
        <v>0</v>
      </c>
    </row>
    <row r="751" spans="8:15" ht="20.100000000000001" customHeight="1" x14ac:dyDescent="0.25">
      <c r="H751" s="43" t="str">
        <f>IFERROR(ABS(C751/VLOOKUP(2*$B751,$B752:C785,2,TRUE)),"--")</f>
        <v>--</v>
      </c>
      <c r="I751" s="43" t="str">
        <f>IFERROR(ABS(D751/VLOOKUP(2*$B751,$B752:D785,3,TRUE)),"--")</f>
        <v>--</v>
      </c>
      <c r="J751" s="43" t="str">
        <f>IFERROR(ABS(E751/VLOOKUP(2*$B751,$B752:E785,4,TRUE)),"--")</f>
        <v>--</v>
      </c>
      <c r="K751" s="43" t="str">
        <f>IFERROR(ABS(F751/VLOOKUP(2*$B751,$B752:F785,5,TRUE)),"--")</f>
        <v>--</v>
      </c>
      <c r="L751" s="43" t="str">
        <f>IFERROR(ABS(G751/VLOOKUP(2*$B751,$B752:G785,6,TRUE)),"--")</f>
        <v>--</v>
      </c>
      <c r="M751" s="38">
        <f>IF(AND(1+$Q$6&gt;H751,1-$Q$6&lt;H751,1+$Q$6&gt;I751,1-$Q$6&lt;I751,1+$Q$6&gt;J751,1-$Q$6&lt;J751,1+$Q$6&gt;K751,1-$Q$6&lt;K751,1+$Q$6&gt;L751,1-$Q$6&lt;L751),IF(SUM($M$2:M750)=0,1,0),0)</f>
        <v>0</v>
      </c>
      <c r="N751" s="38">
        <f>IF(AND(1+$Q$7&gt;H751,1-$Q$7&lt;H751,1+$Q$7&gt;I751,1-$Q$7&lt;I751,1+$Q$7&gt;J751,1-$Q$7&lt;J751,1+$Q$7&gt;K751,1-$Q$7&lt;K751,1+$Q$7&gt;L751,1-$Q$7&lt;L751),IF(SUM($N$2:N750)=0,1,0),0)</f>
        <v>0</v>
      </c>
      <c r="O751" s="34">
        <f t="shared" si="11"/>
        <v>0</v>
      </c>
    </row>
    <row r="752" spans="8:15" ht="20.100000000000001" customHeight="1" x14ac:dyDescent="0.25">
      <c r="H752" s="43" t="str">
        <f>IFERROR(ABS(C752/VLOOKUP(2*$B752,$B753:C786,2,TRUE)),"--")</f>
        <v>--</v>
      </c>
      <c r="I752" s="43" t="str">
        <f>IFERROR(ABS(D752/VLOOKUP(2*$B752,$B753:D786,3,TRUE)),"--")</f>
        <v>--</v>
      </c>
      <c r="J752" s="43" t="str">
        <f>IFERROR(ABS(E752/VLOOKUP(2*$B752,$B753:E786,4,TRUE)),"--")</f>
        <v>--</v>
      </c>
      <c r="K752" s="43" t="str">
        <f>IFERROR(ABS(F752/VLOOKUP(2*$B752,$B753:F786,5,TRUE)),"--")</f>
        <v>--</v>
      </c>
      <c r="L752" s="43" t="str">
        <f>IFERROR(ABS(G752/VLOOKUP(2*$B752,$B753:G786,6,TRUE)),"--")</f>
        <v>--</v>
      </c>
      <c r="M752" s="38">
        <f>IF(AND(1+$Q$6&gt;H752,1-$Q$6&lt;H752,1+$Q$6&gt;I752,1-$Q$6&lt;I752,1+$Q$6&gt;J752,1-$Q$6&lt;J752,1+$Q$6&gt;K752,1-$Q$6&lt;K752,1+$Q$6&gt;L752,1-$Q$6&lt;L752),IF(SUM($M$2:M751)=0,1,0),0)</f>
        <v>0</v>
      </c>
      <c r="N752" s="38">
        <f>IF(AND(1+$Q$7&gt;H752,1-$Q$7&lt;H752,1+$Q$7&gt;I752,1-$Q$7&lt;I752,1+$Q$7&gt;J752,1-$Q$7&lt;J752,1+$Q$7&gt;K752,1-$Q$7&lt;K752,1+$Q$7&gt;L752,1-$Q$7&lt;L752),IF(SUM($N$2:N751)=0,1,0),0)</f>
        <v>0</v>
      </c>
      <c r="O752" s="34">
        <f t="shared" si="11"/>
        <v>0</v>
      </c>
    </row>
    <row r="753" spans="8:15" ht="20.100000000000001" customHeight="1" x14ac:dyDescent="0.25">
      <c r="H753" s="43" t="str">
        <f>IFERROR(ABS(C753/VLOOKUP(2*$B753,$B754:C787,2,TRUE)),"--")</f>
        <v>--</v>
      </c>
      <c r="I753" s="43" t="str">
        <f>IFERROR(ABS(D753/VLOOKUP(2*$B753,$B754:D787,3,TRUE)),"--")</f>
        <v>--</v>
      </c>
      <c r="J753" s="43" t="str">
        <f>IFERROR(ABS(E753/VLOOKUP(2*$B753,$B754:E787,4,TRUE)),"--")</f>
        <v>--</v>
      </c>
      <c r="K753" s="43" t="str">
        <f>IFERROR(ABS(F753/VLOOKUP(2*$B753,$B754:F787,5,TRUE)),"--")</f>
        <v>--</v>
      </c>
      <c r="L753" s="43" t="str">
        <f>IFERROR(ABS(G753/VLOOKUP(2*$B753,$B754:G787,6,TRUE)),"--")</f>
        <v>--</v>
      </c>
      <c r="M753" s="38">
        <f>IF(AND(1+$Q$6&gt;H753,1-$Q$6&lt;H753,1+$Q$6&gt;I753,1-$Q$6&lt;I753,1+$Q$6&gt;J753,1-$Q$6&lt;J753,1+$Q$6&gt;K753,1-$Q$6&lt;K753,1+$Q$6&gt;L753,1-$Q$6&lt;L753),IF(SUM($M$2:M752)=0,1,0),0)</f>
        <v>0</v>
      </c>
      <c r="N753" s="38">
        <f>IF(AND(1+$Q$7&gt;H753,1-$Q$7&lt;H753,1+$Q$7&gt;I753,1-$Q$7&lt;I753,1+$Q$7&gt;J753,1-$Q$7&lt;J753,1+$Q$7&gt;K753,1-$Q$7&lt;K753,1+$Q$7&gt;L753,1-$Q$7&lt;L753),IF(SUM($N$2:N752)=0,1,0),0)</f>
        <v>0</v>
      </c>
      <c r="O753" s="34">
        <f t="shared" si="11"/>
        <v>0</v>
      </c>
    </row>
    <row r="754" spans="8:15" ht="20.100000000000001" customHeight="1" x14ac:dyDescent="0.25">
      <c r="H754" s="43" t="str">
        <f>IFERROR(ABS(C754/VLOOKUP(2*$B754,$B755:C788,2,TRUE)),"--")</f>
        <v>--</v>
      </c>
      <c r="I754" s="43" t="str">
        <f>IFERROR(ABS(D754/VLOOKUP(2*$B754,$B755:D788,3,TRUE)),"--")</f>
        <v>--</v>
      </c>
      <c r="J754" s="43" t="str">
        <f>IFERROR(ABS(E754/VLOOKUP(2*$B754,$B755:E788,4,TRUE)),"--")</f>
        <v>--</v>
      </c>
      <c r="K754" s="43" t="str">
        <f>IFERROR(ABS(F754/VLOOKUP(2*$B754,$B755:F788,5,TRUE)),"--")</f>
        <v>--</v>
      </c>
      <c r="L754" s="43" t="str">
        <f>IFERROR(ABS(G754/VLOOKUP(2*$B754,$B755:G788,6,TRUE)),"--")</f>
        <v>--</v>
      </c>
      <c r="M754" s="38">
        <f>IF(AND(1+$Q$6&gt;H754,1-$Q$6&lt;H754,1+$Q$6&gt;I754,1-$Q$6&lt;I754,1+$Q$6&gt;J754,1-$Q$6&lt;J754,1+$Q$6&gt;K754,1-$Q$6&lt;K754,1+$Q$6&gt;L754,1-$Q$6&lt;L754),IF(SUM($M$2:M753)=0,1,0),0)</f>
        <v>0</v>
      </c>
      <c r="N754" s="38">
        <f>IF(AND(1+$Q$7&gt;H754,1-$Q$7&lt;H754,1+$Q$7&gt;I754,1-$Q$7&lt;I754,1+$Q$7&gt;J754,1-$Q$7&lt;J754,1+$Q$7&gt;K754,1-$Q$7&lt;K754,1+$Q$7&gt;L754,1-$Q$7&lt;L754),IF(SUM($N$2:N753)=0,1,0),0)</f>
        <v>0</v>
      </c>
      <c r="O754" s="34">
        <f t="shared" si="11"/>
        <v>0</v>
      </c>
    </row>
    <row r="755" spans="8:15" ht="20.100000000000001" customHeight="1" x14ac:dyDescent="0.25">
      <c r="H755" s="43" t="str">
        <f>IFERROR(ABS(C755/VLOOKUP(2*$B755,$B756:C789,2,TRUE)),"--")</f>
        <v>--</v>
      </c>
      <c r="I755" s="43" t="str">
        <f>IFERROR(ABS(D755/VLOOKUP(2*$B755,$B756:D789,3,TRUE)),"--")</f>
        <v>--</v>
      </c>
      <c r="J755" s="43" t="str">
        <f>IFERROR(ABS(E755/VLOOKUP(2*$B755,$B756:E789,4,TRUE)),"--")</f>
        <v>--</v>
      </c>
      <c r="K755" s="43" t="str">
        <f>IFERROR(ABS(F755/VLOOKUP(2*$B755,$B756:F789,5,TRUE)),"--")</f>
        <v>--</v>
      </c>
      <c r="L755" s="43" t="str">
        <f>IFERROR(ABS(G755/VLOOKUP(2*$B755,$B756:G789,6,TRUE)),"--")</f>
        <v>--</v>
      </c>
      <c r="M755" s="38">
        <f>IF(AND(1+$Q$6&gt;H755,1-$Q$6&lt;H755,1+$Q$6&gt;I755,1-$Q$6&lt;I755,1+$Q$6&gt;J755,1-$Q$6&lt;J755,1+$Q$6&gt;K755,1-$Q$6&lt;K755,1+$Q$6&gt;L755,1-$Q$6&lt;L755),IF(SUM($M$2:M754)=0,1,0),0)</f>
        <v>0</v>
      </c>
      <c r="N755" s="38">
        <f>IF(AND(1+$Q$7&gt;H755,1-$Q$7&lt;H755,1+$Q$7&gt;I755,1-$Q$7&lt;I755,1+$Q$7&gt;J755,1-$Q$7&lt;J755,1+$Q$7&gt;K755,1-$Q$7&lt;K755,1+$Q$7&gt;L755,1-$Q$7&lt;L755),IF(SUM($N$2:N754)=0,1,0),0)</f>
        <v>0</v>
      </c>
      <c r="O755" s="34">
        <f t="shared" si="11"/>
        <v>0</v>
      </c>
    </row>
    <row r="756" spans="8:15" ht="20.100000000000001" customHeight="1" x14ac:dyDescent="0.25">
      <c r="H756" s="43" t="str">
        <f>IFERROR(ABS(C756/VLOOKUP(2*$B756,$B757:C790,2,TRUE)),"--")</f>
        <v>--</v>
      </c>
      <c r="I756" s="43" t="str">
        <f>IFERROR(ABS(D756/VLOOKUP(2*$B756,$B757:D790,3,TRUE)),"--")</f>
        <v>--</v>
      </c>
      <c r="J756" s="43" t="str">
        <f>IFERROR(ABS(E756/VLOOKUP(2*$B756,$B757:E790,4,TRUE)),"--")</f>
        <v>--</v>
      </c>
      <c r="K756" s="43" t="str">
        <f>IFERROR(ABS(F756/VLOOKUP(2*$B756,$B757:F790,5,TRUE)),"--")</f>
        <v>--</v>
      </c>
      <c r="L756" s="43" t="str">
        <f>IFERROR(ABS(G756/VLOOKUP(2*$B756,$B757:G790,6,TRUE)),"--")</f>
        <v>--</v>
      </c>
      <c r="M756" s="38">
        <f>IF(AND(1+$Q$6&gt;H756,1-$Q$6&lt;H756,1+$Q$6&gt;I756,1-$Q$6&lt;I756,1+$Q$6&gt;J756,1-$Q$6&lt;J756,1+$Q$6&gt;K756,1-$Q$6&lt;K756,1+$Q$6&gt;L756,1-$Q$6&lt;L756),IF(SUM($M$2:M755)=0,1,0),0)</f>
        <v>0</v>
      </c>
      <c r="N756" s="38">
        <f>IF(AND(1+$Q$7&gt;H756,1-$Q$7&lt;H756,1+$Q$7&gt;I756,1-$Q$7&lt;I756,1+$Q$7&gt;J756,1-$Q$7&lt;J756,1+$Q$7&gt;K756,1-$Q$7&lt;K756,1+$Q$7&gt;L756,1-$Q$7&lt;L756),IF(SUM($N$2:N755)=0,1,0),0)</f>
        <v>0</v>
      </c>
      <c r="O756" s="34">
        <f t="shared" si="11"/>
        <v>0</v>
      </c>
    </row>
    <row r="757" spans="8:15" ht="20.100000000000001" customHeight="1" x14ac:dyDescent="0.25">
      <c r="H757" s="43" t="str">
        <f>IFERROR(ABS(C757/VLOOKUP(2*$B757,$B758:C791,2,TRUE)),"--")</f>
        <v>--</v>
      </c>
      <c r="I757" s="43" t="str">
        <f>IFERROR(ABS(D757/VLOOKUP(2*$B757,$B758:D791,3,TRUE)),"--")</f>
        <v>--</v>
      </c>
      <c r="J757" s="43" t="str">
        <f>IFERROR(ABS(E757/VLOOKUP(2*$B757,$B758:E791,4,TRUE)),"--")</f>
        <v>--</v>
      </c>
      <c r="K757" s="43" t="str">
        <f>IFERROR(ABS(F757/VLOOKUP(2*$B757,$B758:F791,5,TRUE)),"--")</f>
        <v>--</v>
      </c>
      <c r="L757" s="43" t="str">
        <f>IFERROR(ABS(G757/VLOOKUP(2*$B757,$B758:G791,6,TRUE)),"--")</f>
        <v>--</v>
      </c>
      <c r="M757" s="38">
        <f>IF(AND(1+$Q$6&gt;H757,1-$Q$6&lt;H757,1+$Q$6&gt;I757,1-$Q$6&lt;I757,1+$Q$6&gt;J757,1-$Q$6&lt;J757,1+$Q$6&gt;K757,1-$Q$6&lt;K757,1+$Q$6&gt;L757,1-$Q$6&lt;L757),IF(SUM($M$2:M756)=0,1,0),0)</f>
        <v>0</v>
      </c>
      <c r="N757" s="38">
        <f>IF(AND(1+$Q$7&gt;H757,1-$Q$7&lt;H757,1+$Q$7&gt;I757,1-$Q$7&lt;I757,1+$Q$7&gt;J757,1-$Q$7&lt;J757,1+$Q$7&gt;K757,1-$Q$7&lt;K757,1+$Q$7&gt;L757,1-$Q$7&lt;L757),IF(SUM($N$2:N756)=0,1,0),0)</f>
        <v>0</v>
      </c>
      <c r="O757" s="34">
        <f t="shared" si="11"/>
        <v>0</v>
      </c>
    </row>
    <row r="758" spans="8:15" ht="20.100000000000001" customHeight="1" x14ac:dyDescent="0.25">
      <c r="H758" s="43" t="str">
        <f>IFERROR(ABS(C758/VLOOKUP(2*$B758,$B759:C792,2,TRUE)),"--")</f>
        <v>--</v>
      </c>
      <c r="I758" s="43" t="str">
        <f>IFERROR(ABS(D758/VLOOKUP(2*$B758,$B759:D792,3,TRUE)),"--")</f>
        <v>--</v>
      </c>
      <c r="J758" s="43" t="str">
        <f>IFERROR(ABS(E758/VLOOKUP(2*$B758,$B759:E792,4,TRUE)),"--")</f>
        <v>--</v>
      </c>
      <c r="K758" s="43" t="str">
        <f>IFERROR(ABS(F758/VLOOKUP(2*$B758,$B759:F792,5,TRUE)),"--")</f>
        <v>--</v>
      </c>
      <c r="L758" s="43" t="str">
        <f>IFERROR(ABS(G758/VLOOKUP(2*$B758,$B759:G792,6,TRUE)),"--")</f>
        <v>--</v>
      </c>
      <c r="M758" s="38">
        <f>IF(AND(1+$Q$6&gt;H758,1-$Q$6&lt;H758,1+$Q$6&gt;I758,1-$Q$6&lt;I758,1+$Q$6&gt;J758,1-$Q$6&lt;J758,1+$Q$6&gt;K758,1-$Q$6&lt;K758,1+$Q$6&gt;L758,1-$Q$6&lt;L758),IF(SUM($M$2:M757)=0,1,0),0)</f>
        <v>0</v>
      </c>
      <c r="N758" s="38">
        <f>IF(AND(1+$Q$7&gt;H758,1-$Q$7&lt;H758,1+$Q$7&gt;I758,1-$Q$7&lt;I758,1+$Q$7&gt;J758,1-$Q$7&lt;J758,1+$Q$7&gt;K758,1-$Q$7&lt;K758,1+$Q$7&gt;L758,1-$Q$7&lt;L758),IF(SUM($N$2:N757)=0,1,0),0)</f>
        <v>0</v>
      </c>
      <c r="O758" s="34">
        <f t="shared" si="11"/>
        <v>0</v>
      </c>
    </row>
    <row r="759" spans="8:15" ht="20.100000000000001" customHeight="1" x14ac:dyDescent="0.25">
      <c r="H759" s="43" t="str">
        <f>IFERROR(ABS(C759/VLOOKUP(2*$B759,$B760:C793,2,TRUE)),"--")</f>
        <v>--</v>
      </c>
      <c r="I759" s="43" t="str">
        <f>IFERROR(ABS(D759/VLOOKUP(2*$B759,$B760:D793,3,TRUE)),"--")</f>
        <v>--</v>
      </c>
      <c r="J759" s="43" t="str">
        <f>IFERROR(ABS(E759/VLOOKUP(2*$B759,$B760:E793,4,TRUE)),"--")</f>
        <v>--</v>
      </c>
      <c r="K759" s="43" t="str">
        <f>IFERROR(ABS(F759/VLOOKUP(2*$B759,$B760:F793,5,TRUE)),"--")</f>
        <v>--</v>
      </c>
      <c r="L759" s="43" t="str">
        <f>IFERROR(ABS(G759/VLOOKUP(2*$B759,$B760:G793,6,TRUE)),"--")</f>
        <v>--</v>
      </c>
      <c r="M759" s="38">
        <f>IF(AND(1+$Q$6&gt;H759,1-$Q$6&lt;H759,1+$Q$6&gt;I759,1-$Q$6&lt;I759,1+$Q$6&gt;J759,1-$Q$6&lt;J759,1+$Q$6&gt;K759,1-$Q$6&lt;K759,1+$Q$6&gt;L759,1-$Q$6&lt;L759),IF(SUM($M$2:M758)=0,1,0),0)</f>
        <v>0</v>
      </c>
      <c r="N759" s="38">
        <f>IF(AND(1+$Q$7&gt;H759,1-$Q$7&lt;H759,1+$Q$7&gt;I759,1-$Q$7&lt;I759,1+$Q$7&gt;J759,1-$Q$7&lt;J759,1+$Q$7&gt;K759,1-$Q$7&lt;K759,1+$Q$7&gt;L759,1-$Q$7&lt;L759),IF(SUM($N$2:N758)=0,1,0),0)</f>
        <v>0</v>
      </c>
      <c r="O759" s="34">
        <f t="shared" si="11"/>
        <v>0</v>
      </c>
    </row>
    <row r="760" spans="8:15" ht="20.100000000000001" customHeight="1" x14ac:dyDescent="0.25">
      <c r="H760" s="43" t="str">
        <f>IFERROR(ABS(C760/VLOOKUP(2*$B760,$B761:C794,2,TRUE)),"--")</f>
        <v>--</v>
      </c>
      <c r="I760" s="43" t="str">
        <f>IFERROR(ABS(D760/VLOOKUP(2*$B760,$B761:D794,3,TRUE)),"--")</f>
        <v>--</v>
      </c>
      <c r="J760" s="43" t="str">
        <f>IFERROR(ABS(E760/VLOOKUP(2*$B760,$B761:E794,4,TRUE)),"--")</f>
        <v>--</v>
      </c>
      <c r="K760" s="43" t="str">
        <f>IFERROR(ABS(F760/VLOOKUP(2*$B760,$B761:F794,5,TRUE)),"--")</f>
        <v>--</v>
      </c>
      <c r="L760" s="43" t="str">
        <f>IFERROR(ABS(G760/VLOOKUP(2*$B760,$B761:G794,6,TRUE)),"--")</f>
        <v>--</v>
      </c>
      <c r="M760" s="38">
        <f>IF(AND(1+$Q$6&gt;H760,1-$Q$6&lt;H760,1+$Q$6&gt;I760,1-$Q$6&lt;I760,1+$Q$6&gt;J760,1-$Q$6&lt;J760,1+$Q$6&gt;K760,1-$Q$6&lt;K760,1+$Q$6&gt;L760,1-$Q$6&lt;L760),IF(SUM($M$2:M759)=0,1,0),0)</f>
        <v>0</v>
      </c>
      <c r="N760" s="38">
        <f>IF(AND(1+$Q$7&gt;H760,1-$Q$7&lt;H760,1+$Q$7&gt;I760,1-$Q$7&lt;I760,1+$Q$7&gt;J760,1-$Q$7&lt;J760,1+$Q$7&gt;K760,1-$Q$7&lt;K760,1+$Q$7&gt;L760,1-$Q$7&lt;L760),IF(SUM($N$2:N759)=0,1,0),0)</f>
        <v>0</v>
      </c>
      <c r="O760" s="34">
        <f t="shared" si="11"/>
        <v>0</v>
      </c>
    </row>
    <row r="761" spans="8:15" ht="20.100000000000001" customHeight="1" x14ac:dyDescent="0.25">
      <c r="H761" s="43" t="str">
        <f>IFERROR(ABS(C761/VLOOKUP(2*$B761,$B762:C795,2,TRUE)),"--")</f>
        <v>--</v>
      </c>
      <c r="I761" s="43" t="str">
        <f>IFERROR(ABS(D761/VLOOKUP(2*$B761,$B762:D795,3,TRUE)),"--")</f>
        <v>--</v>
      </c>
      <c r="J761" s="43" t="str">
        <f>IFERROR(ABS(E761/VLOOKUP(2*$B761,$B762:E795,4,TRUE)),"--")</f>
        <v>--</v>
      </c>
      <c r="K761" s="43" t="str">
        <f>IFERROR(ABS(F761/VLOOKUP(2*$B761,$B762:F795,5,TRUE)),"--")</f>
        <v>--</v>
      </c>
      <c r="L761" s="43" t="str">
        <f>IFERROR(ABS(G761/VLOOKUP(2*$B761,$B762:G795,6,TRUE)),"--")</f>
        <v>--</v>
      </c>
      <c r="M761" s="38">
        <f>IF(AND(1+$Q$6&gt;H761,1-$Q$6&lt;H761,1+$Q$6&gt;I761,1-$Q$6&lt;I761,1+$Q$6&gt;J761,1-$Q$6&lt;J761,1+$Q$6&gt;K761,1-$Q$6&lt;K761,1+$Q$6&gt;L761,1-$Q$6&lt;L761),IF(SUM($M$2:M760)=0,1,0),0)</f>
        <v>0</v>
      </c>
      <c r="N761" s="38">
        <f>IF(AND(1+$Q$7&gt;H761,1-$Q$7&lt;H761,1+$Q$7&gt;I761,1-$Q$7&lt;I761,1+$Q$7&gt;J761,1-$Q$7&lt;J761,1+$Q$7&gt;K761,1-$Q$7&lt;K761,1+$Q$7&gt;L761,1-$Q$7&lt;L761),IF(SUM($N$2:N760)=0,1,0),0)</f>
        <v>0</v>
      </c>
      <c r="O761" s="34">
        <f t="shared" si="11"/>
        <v>0</v>
      </c>
    </row>
    <row r="762" spans="8:15" ht="20.100000000000001" customHeight="1" x14ac:dyDescent="0.25">
      <c r="H762" s="43" t="str">
        <f>IFERROR(ABS(C762/VLOOKUP(2*$B762,$B763:C796,2,TRUE)),"--")</f>
        <v>--</v>
      </c>
      <c r="I762" s="43" t="str">
        <f>IFERROR(ABS(D762/VLOOKUP(2*$B762,$B763:D796,3,TRUE)),"--")</f>
        <v>--</v>
      </c>
      <c r="J762" s="43" t="str">
        <f>IFERROR(ABS(E762/VLOOKUP(2*$B762,$B763:E796,4,TRUE)),"--")</f>
        <v>--</v>
      </c>
      <c r="K762" s="43" t="str">
        <f>IFERROR(ABS(F762/VLOOKUP(2*$B762,$B763:F796,5,TRUE)),"--")</f>
        <v>--</v>
      </c>
      <c r="L762" s="43" t="str">
        <f>IFERROR(ABS(G762/VLOOKUP(2*$B762,$B763:G796,6,TRUE)),"--")</f>
        <v>--</v>
      </c>
      <c r="M762" s="38">
        <f>IF(AND(1+$Q$6&gt;H762,1-$Q$6&lt;H762,1+$Q$6&gt;I762,1-$Q$6&lt;I762,1+$Q$6&gt;J762,1-$Q$6&lt;J762,1+$Q$6&gt;K762,1-$Q$6&lt;K762,1+$Q$6&gt;L762,1-$Q$6&lt;L762),IF(SUM($M$2:M761)=0,1,0),0)</f>
        <v>0</v>
      </c>
      <c r="N762" s="38">
        <f>IF(AND(1+$Q$7&gt;H762,1-$Q$7&lt;H762,1+$Q$7&gt;I762,1-$Q$7&lt;I762,1+$Q$7&gt;J762,1-$Q$7&lt;J762,1+$Q$7&gt;K762,1-$Q$7&lt;K762,1+$Q$7&gt;L762,1-$Q$7&lt;L762),IF(SUM($N$2:N761)=0,1,0),0)</f>
        <v>0</v>
      </c>
      <c r="O762" s="34">
        <f t="shared" si="11"/>
        <v>0</v>
      </c>
    </row>
    <row r="763" spans="8:15" ht="20.100000000000001" customHeight="1" x14ac:dyDescent="0.25">
      <c r="H763" s="43" t="str">
        <f>IFERROR(ABS(C763/VLOOKUP(2*$B763,$B764:C797,2,TRUE)),"--")</f>
        <v>--</v>
      </c>
      <c r="I763" s="43" t="str">
        <f>IFERROR(ABS(D763/VLOOKUP(2*$B763,$B764:D797,3,TRUE)),"--")</f>
        <v>--</v>
      </c>
      <c r="J763" s="43" t="str">
        <f>IFERROR(ABS(E763/VLOOKUP(2*$B763,$B764:E797,4,TRUE)),"--")</f>
        <v>--</v>
      </c>
      <c r="K763" s="43" t="str">
        <f>IFERROR(ABS(F763/VLOOKUP(2*$B763,$B764:F797,5,TRUE)),"--")</f>
        <v>--</v>
      </c>
      <c r="L763" s="43" t="str">
        <f>IFERROR(ABS(G763/VLOOKUP(2*$B763,$B764:G797,6,TRUE)),"--")</f>
        <v>--</v>
      </c>
      <c r="M763" s="38">
        <f>IF(AND(1+$Q$6&gt;H763,1-$Q$6&lt;H763,1+$Q$6&gt;I763,1-$Q$6&lt;I763,1+$Q$6&gt;J763,1-$Q$6&lt;J763,1+$Q$6&gt;K763,1-$Q$6&lt;K763,1+$Q$6&gt;L763,1-$Q$6&lt;L763),IF(SUM($M$2:M762)=0,1,0),0)</f>
        <v>0</v>
      </c>
      <c r="N763" s="38">
        <f>IF(AND(1+$Q$7&gt;H763,1-$Q$7&lt;H763,1+$Q$7&gt;I763,1-$Q$7&lt;I763,1+$Q$7&gt;J763,1-$Q$7&lt;J763,1+$Q$7&gt;K763,1-$Q$7&lt;K763,1+$Q$7&gt;L763,1-$Q$7&lt;L763),IF(SUM($N$2:N762)=0,1,0),0)</f>
        <v>0</v>
      </c>
      <c r="O763" s="34">
        <f t="shared" si="11"/>
        <v>0</v>
      </c>
    </row>
    <row r="764" spans="8:15" ht="20.100000000000001" customHeight="1" x14ac:dyDescent="0.25">
      <c r="H764" s="43" t="str">
        <f>IFERROR(ABS(C764/VLOOKUP(2*$B764,$B765:C798,2,TRUE)),"--")</f>
        <v>--</v>
      </c>
      <c r="I764" s="43" t="str">
        <f>IFERROR(ABS(D764/VLOOKUP(2*$B764,$B765:D798,3,TRUE)),"--")</f>
        <v>--</v>
      </c>
      <c r="J764" s="43" t="str">
        <f>IFERROR(ABS(E764/VLOOKUP(2*$B764,$B765:E798,4,TRUE)),"--")</f>
        <v>--</v>
      </c>
      <c r="K764" s="43" t="str">
        <f>IFERROR(ABS(F764/VLOOKUP(2*$B764,$B765:F798,5,TRUE)),"--")</f>
        <v>--</v>
      </c>
      <c r="L764" s="43" t="str">
        <f>IFERROR(ABS(G764/VLOOKUP(2*$B764,$B765:G798,6,TRUE)),"--")</f>
        <v>--</v>
      </c>
      <c r="M764" s="38">
        <f>IF(AND(1+$Q$6&gt;H764,1-$Q$6&lt;H764,1+$Q$6&gt;I764,1-$Q$6&lt;I764,1+$Q$6&gt;J764,1-$Q$6&lt;J764,1+$Q$6&gt;K764,1-$Q$6&lt;K764,1+$Q$6&gt;L764,1-$Q$6&lt;L764),IF(SUM($M$2:M763)=0,1,0),0)</f>
        <v>0</v>
      </c>
      <c r="N764" s="38">
        <f>IF(AND(1+$Q$7&gt;H764,1-$Q$7&lt;H764,1+$Q$7&gt;I764,1-$Q$7&lt;I764,1+$Q$7&gt;J764,1-$Q$7&lt;J764,1+$Q$7&gt;K764,1-$Q$7&lt;K764,1+$Q$7&gt;L764,1-$Q$7&lt;L764),IF(SUM($N$2:N763)=0,1,0),0)</f>
        <v>0</v>
      </c>
      <c r="O764" s="34">
        <f t="shared" si="11"/>
        <v>0</v>
      </c>
    </row>
    <row r="765" spans="8:15" ht="20.100000000000001" customHeight="1" x14ac:dyDescent="0.25">
      <c r="H765" s="43" t="str">
        <f>IFERROR(ABS(C765/VLOOKUP(2*$B765,$B766:C799,2,TRUE)),"--")</f>
        <v>--</v>
      </c>
      <c r="I765" s="43" t="str">
        <f>IFERROR(ABS(D765/VLOOKUP(2*$B765,$B766:D799,3,TRUE)),"--")</f>
        <v>--</v>
      </c>
      <c r="J765" s="43" t="str">
        <f>IFERROR(ABS(E765/VLOOKUP(2*$B765,$B766:E799,4,TRUE)),"--")</f>
        <v>--</v>
      </c>
      <c r="K765" s="43" t="str">
        <f>IFERROR(ABS(F765/VLOOKUP(2*$B765,$B766:F799,5,TRUE)),"--")</f>
        <v>--</v>
      </c>
      <c r="L765" s="43" t="str">
        <f>IFERROR(ABS(G765/VLOOKUP(2*$B765,$B766:G799,6,TRUE)),"--")</f>
        <v>--</v>
      </c>
      <c r="M765" s="38">
        <f>IF(AND(1+$Q$6&gt;H765,1-$Q$6&lt;H765,1+$Q$6&gt;I765,1-$Q$6&lt;I765,1+$Q$6&gt;J765,1-$Q$6&lt;J765,1+$Q$6&gt;K765,1-$Q$6&lt;K765,1+$Q$6&gt;L765,1-$Q$6&lt;L765),IF(SUM($M$2:M764)=0,1,0),0)</f>
        <v>0</v>
      </c>
      <c r="N765" s="38">
        <f>IF(AND(1+$Q$7&gt;H765,1-$Q$7&lt;H765,1+$Q$7&gt;I765,1-$Q$7&lt;I765,1+$Q$7&gt;J765,1-$Q$7&lt;J765,1+$Q$7&gt;K765,1-$Q$7&lt;K765,1+$Q$7&gt;L765,1-$Q$7&lt;L765),IF(SUM($N$2:N764)=0,1,0),0)</f>
        <v>0</v>
      </c>
      <c r="O765" s="34">
        <f t="shared" si="11"/>
        <v>0</v>
      </c>
    </row>
    <row r="766" spans="8:15" ht="20.100000000000001" customHeight="1" x14ac:dyDescent="0.25">
      <c r="H766" s="43" t="str">
        <f>IFERROR(ABS(C766/VLOOKUP(2*$B766,$B767:C800,2,TRUE)),"--")</f>
        <v>--</v>
      </c>
      <c r="I766" s="43" t="str">
        <f>IFERROR(ABS(D766/VLOOKUP(2*$B766,$B767:D800,3,TRUE)),"--")</f>
        <v>--</v>
      </c>
      <c r="J766" s="43" t="str">
        <f>IFERROR(ABS(E766/VLOOKUP(2*$B766,$B767:E800,4,TRUE)),"--")</f>
        <v>--</v>
      </c>
      <c r="K766" s="43" t="str">
        <f>IFERROR(ABS(F766/VLOOKUP(2*$B766,$B767:F800,5,TRUE)),"--")</f>
        <v>--</v>
      </c>
      <c r="L766" s="43" t="str">
        <f>IFERROR(ABS(G766/VLOOKUP(2*$B766,$B767:G800,6,TRUE)),"--")</f>
        <v>--</v>
      </c>
      <c r="M766" s="38">
        <f>IF(AND(1+$Q$6&gt;H766,1-$Q$6&lt;H766,1+$Q$6&gt;I766,1-$Q$6&lt;I766,1+$Q$6&gt;J766,1-$Q$6&lt;J766,1+$Q$6&gt;K766,1-$Q$6&lt;K766,1+$Q$6&gt;L766,1-$Q$6&lt;L766),IF(SUM($M$2:M765)=0,1,0),0)</f>
        <v>0</v>
      </c>
      <c r="N766" s="38">
        <f>IF(AND(1+$Q$7&gt;H766,1-$Q$7&lt;H766,1+$Q$7&gt;I766,1-$Q$7&lt;I766,1+$Q$7&gt;J766,1-$Q$7&lt;J766,1+$Q$7&gt;K766,1-$Q$7&lt;K766,1+$Q$7&gt;L766,1-$Q$7&lt;L766),IF(SUM($N$2:N765)=0,1,0),0)</f>
        <v>0</v>
      </c>
      <c r="O766" s="34">
        <f t="shared" si="11"/>
        <v>0</v>
      </c>
    </row>
    <row r="767" spans="8:15" ht="20.100000000000001" customHeight="1" x14ac:dyDescent="0.25">
      <c r="H767" s="43" t="str">
        <f>IFERROR(ABS(C767/VLOOKUP(2*$B767,$B768:C801,2,TRUE)),"--")</f>
        <v>--</v>
      </c>
      <c r="I767" s="43" t="str">
        <f>IFERROR(ABS(D767/VLOOKUP(2*$B767,$B768:D801,3,TRUE)),"--")</f>
        <v>--</v>
      </c>
      <c r="J767" s="43" t="str">
        <f>IFERROR(ABS(E767/VLOOKUP(2*$B767,$B768:E801,4,TRUE)),"--")</f>
        <v>--</v>
      </c>
      <c r="K767" s="43" t="str">
        <f>IFERROR(ABS(F767/VLOOKUP(2*$B767,$B768:F801,5,TRUE)),"--")</f>
        <v>--</v>
      </c>
      <c r="L767" s="43" t="str">
        <f>IFERROR(ABS(G767/VLOOKUP(2*$B767,$B768:G801,6,TRUE)),"--")</f>
        <v>--</v>
      </c>
      <c r="M767" s="38">
        <f>IF(AND(1+$Q$6&gt;H767,1-$Q$6&lt;H767,1+$Q$6&gt;I767,1-$Q$6&lt;I767,1+$Q$6&gt;J767,1-$Q$6&lt;J767,1+$Q$6&gt;K767,1-$Q$6&lt;K767,1+$Q$6&gt;L767,1-$Q$6&lt;L767),IF(SUM($M$2:M766)=0,1,0),0)</f>
        <v>0</v>
      </c>
      <c r="N767" s="38">
        <f>IF(AND(1+$Q$7&gt;H767,1-$Q$7&lt;H767,1+$Q$7&gt;I767,1-$Q$7&lt;I767,1+$Q$7&gt;J767,1-$Q$7&lt;J767,1+$Q$7&gt;K767,1-$Q$7&lt;K767,1+$Q$7&gt;L767,1-$Q$7&lt;L767),IF(SUM($N$2:N766)=0,1,0),0)</f>
        <v>0</v>
      </c>
      <c r="O767" s="34">
        <f t="shared" si="11"/>
        <v>0</v>
      </c>
    </row>
    <row r="768" spans="8:15" ht="20.100000000000001" customHeight="1" x14ac:dyDescent="0.25">
      <c r="H768" s="43" t="str">
        <f>IFERROR(ABS(C768/VLOOKUP(2*$B768,$B769:C802,2,TRUE)),"--")</f>
        <v>--</v>
      </c>
      <c r="I768" s="43" t="str">
        <f>IFERROR(ABS(D768/VLOOKUP(2*$B768,$B769:D802,3,TRUE)),"--")</f>
        <v>--</v>
      </c>
      <c r="J768" s="43" t="str">
        <f>IFERROR(ABS(E768/VLOOKUP(2*$B768,$B769:E802,4,TRUE)),"--")</f>
        <v>--</v>
      </c>
      <c r="K768" s="43" t="str">
        <f>IFERROR(ABS(F768/VLOOKUP(2*$B768,$B769:F802,5,TRUE)),"--")</f>
        <v>--</v>
      </c>
      <c r="L768" s="43" t="str">
        <f>IFERROR(ABS(G768/VLOOKUP(2*$B768,$B769:G802,6,TRUE)),"--")</f>
        <v>--</v>
      </c>
      <c r="M768" s="38">
        <f>IF(AND(1+$Q$6&gt;H768,1-$Q$6&lt;H768,1+$Q$6&gt;I768,1-$Q$6&lt;I768,1+$Q$6&gt;J768,1-$Q$6&lt;J768,1+$Q$6&gt;K768,1-$Q$6&lt;K768,1+$Q$6&gt;L768,1-$Q$6&lt;L768),IF(SUM($M$2:M767)=0,1,0),0)</f>
        <v>0</v>
      </c>
      <c r="N768" s="38">
        <f>IF(AND(1+$Q$7&gt;H768,1-$Q$7&lt;H768,1+$Q$7&gt;I768,1-$Q$7&lt;I768,1+$Q$7&gt;J768,1-$Q$7&lt;J768,1+$Q$7&gt;K768,1-$Q$7&lt;K768,1+$Q$7&gt;L768,1-$Q$7&lt;L768),IF(SUM($N$2:N767)=0,1,0),0)</f>
        <v>0</v>
      </c>
      <c r="O768" s="34">
        <f t="shared" si="11"/>
        <v>0</v>
      </c>
    </row>
    <row r="769" spans="8:15" ht="20.100000000000001" customHeight="1" x14ac:dyDescent="0.25">
      <c r="H769" s="43" t="str">
        <f>IFERROR(ABS(C769/VLOOKUP(2*$B769,$B770:C803,2,TRUE)),"--")</f>
        <v>--</v>
      </c>
      <c r="I769" s="43" t="str">
        <f>IFERROR(ABS(D769/VLOOKUP(2*$B769,$B770:D803,3,TRUE)),"--")</f>
        <v>--</v>
      </c>
      <c r="J769" s="43" t="str">
        <f>IFERROR(ABS(E769/VLOOKUP(2*$B769,$B770:E803,4,TRUE)),"--")</f>
        <v>--</v>
      </c>
      <c r="K769" s="43" t="str">
        <f>IFERROR(ABS(F769/VLOOKUP(2*$B769,$B770:F803,5,TRUE)),"--")</f>
        <v>--</v>
      </c>
      <c r="L769" s="43" t="str">
        <f>IFERROR(ABS(G769/VLOOKUP(2*$B769,$B770:G803,6,TRUE)),"--")</f>
        <v>--</v>
      </c>
      <c r="M769" s="38">
        <f>IF(AND(1+$Q$6&gt;H769,1-$Q$6&lt;H769,1+$Q$6&gt;I769,1-$Q$6&lt;I769,1+$Q$6&gt;J769,1-$Q$6&lt;J769,1+$Q$6&gt;K769,1-$Q$6&lt;K769,1+$Q$6&gt;L769,1-$Q$6&lt;L769),IF(SUM($M$2:M768)=0,1,0),0)</f>
        <v>0</v>
      </c>
      <c r="N769" s="38">
        <f>IF(AND(1+$Q$7&gt;H769,1-$Q$7&lt;H769,1+$Q$7&gt;I769,1-$Q$7&lt;I769,1+$Q$7&gt;J769,1-$Q$7&lt;J769,1+$Q$7&gt;K769,1-$Q$7&lt;K769,1+$Q$7&gt;L769,1-$Q$7&lt;L769),IF(SUM($N$2:N768)=0,1,0),0)</f>
        <v>0</v>
      </c>
      <c r="O769" s="34">
        <f t="shared" si="11"/>
        <v>0</v>
      </c>
    </row>
    <row r="770" spans="8:15" ht="20.100000000000001" customHeight="1" x14ac:dyDescent="0.25">
      <c r="H770" s="43" t="str">
        <f>IFERROR(ABS(C770/VLOOKUP(2*$B770,$B771:C804,2,TRUE)),"--")</f>
        <v>--</v>
      </c>
      <c r="I770" s="43" t="str">
        <f>IFERROR(ABS(D770/VLOOKUP(2*$B770,$B771:D804,3,TRUE)),"--")</f>
        <v>--</v>
      </c>
      <c r="J770" s="43" t="str">
        <f>IFERROR(ABS(E770/VLOOKUP(2*$B770,$B771:E804,4,TRUE)),"--")</f>
        <v>--</v>
      </c>
      <c r="K770" s="43" t="str">
        <f>IFERROR(ABS(F770/VLOOKUP(2*$B770,$B771:F804,5,TRUE)),"--")</f>
        <v>--</v>
      </c>
      <c r="L770" s="43" t="str">
        <f>IFERROR(ABS(G770/VLOOKUP(2*$B770,$B771:G804,6,TRUE)),"--")</f>
        <v>--</v>
      </c>
      <c r="M770" s="38">
        <f>IF(AND(1+$Q$6&gt;H770,1-$Q$6&lt;H770,1+$Q$6&gt;I770,1-$Q$6&lt;I770,1+$Q$6&gt;J770,1-$Q$6&lt;J770,1+$Q$6&gt;K770,1-$Q$6&lt;K770,1+$Q$6&gt;L770,1-$Q$6&lt;L770),IF(SUM($M$2:M769)=0,1,0),0)</f>
        <v>0</v>
      </c>
      <c r="N770" s="38">
        <f>IF(AND(1+$Q$7&gt;H770,1-$Q$7&lt;H770,1+$Q$7&gt;I770,1-$Q$7&lt;I770,1+$Q$7&gt;J770,1-$Q$7&lt;J770,1+$Q$7&gt;K770,1-$Q$7&lt;K770,1+$Q$7&gt;L770,1-$Q$7&lt;L770),IF(SUM($N$2:N769)=0,1,0),0)</f>
        <v>0</v>
      </c>
      <c r="O770" s="34">
        <f t="shared" si="11"/>
        <v>0</v>
      </c>
    </row>
    <row r="771" spans="8:15" ht="20.100000000000001" customHeight="1" x14ac:dyDescent="0.25">
      <c r="H771" s="43" t="str">
        <f>IFERROR(ABS(C771/VLOOKUP(2*$B771,$B772:C805,2,TRUE)),"--")</f>
        <v>--</v>
      </c>
      <c r="I771" s="43" t="str">
        <f>IFERROR(ABS(D771/VLOOKUP(2*$B771,$B772:D805,3,TRUE)),"--")</f>
        <v>--</v>
      </c>
      <c r="J771" s="43" t="str">
        <f>IFERROR(ABS(E771/VLOOKUP(2*$B771,$B772:E805,4,TRUE)),"--")</f>
        <v>--</v>
      </c>
      <c r="K771" s="43" t="str">
        <f>IFERROR(ABS(F771/VLOOKUP(2*$B771,$B772:F805,5,TRUE)),"--")</f>
        <v>--</v>
      </c>
      <c r="L771" s="43" t="str">
        <f>IFERROR(ABS(G771/VLOOKUP(2*$B771,$B772:G805,6,TRUE)),"--")</f>
        <v>--</v>
      </c>
      <c r="M771" s="38">
        <f>IF(AND(1+$Q$6&gt;H771,1-$Q$6&lt;H771,1+$Q$6&gt;I771,1-$Q$6&lt;I771,1+$Q$6&gt;J771,1-$Q$6&lt;J771,1+$Q$6&gt;K771,1-$Q$6&lt;K771,1+$Q$6&gt;L771,1-$Q$6&lt;L771),IF(SUM($M$2:M770)=0,1,0),0)</f>
        <v>0</v>
      </c>
      <c r="N771" s="38">
        <f>IF(AND(1+$Q$7&gt;H771,1-$Q$7&lt;H771,1+$Q$7&gt;I771,1-$Q$7&lt;I771,1+$Q$7&gt;J771,1-$Q$7&lt;J771,1+$Q$7&gt;K771,1-$Q$7&lt;K771,1+$Q$7&gt;L771,1-$Q$7&lt;L771),IF(SUM($N$2:N770)=0,1,0),0)</f>
        <v>0</v>
      </c>
      <c r="O771" s="34">
        <f t="shared" ref="O771:O834" si="12">A771</f>
        <v>0</v>
      </c>
    </row>
    <row r="772" spans="8:15" ht="20.100000000000001" customHeight="1" x14ac:dyDescent="0.25">
      <c r="H772" s="43" t="str">
        <f>IFERROR(ABS(C772/VLOOKUP(2*$B772,$B773:C806,2,TRUE)),"--")</f>
        <v>--</v>
      </c>
      <c r="I772" s="43" t="str">
        <f>IFERROR(ABS(D772/VLOOKUP(2*$B772,$B773:D806,3,TRUE)),"--")</f>
        <v>--</v>
      </c>
      <c r="J772" s="43" t="str">
        <f>IFERROR(ABS(E772/VLOOKUP(2*$B772,$B773:E806,4,TRUE)),"--")</f>
        <v>--</v>
      </c>
      <c r="K772" s="43" t="str">
        <f>IFERROR(ABS(F772/VLOOKUP(2*$B772,$B773:F806,5,TRUE)),"--")</f>
        <v>--</v>
      </c>
      <c r="L772" s="43" t="str">
        <f>IFERROR(ABS(G772/VLOOKUP(2*$B772,$B773:G806,6,TRUE)),"--")</f>
        <v>--</v>
      </c>
      <c r="M772" s="38">
        <f>IF(AND(1+$Q$6&gt;H772,1-$Q$6&lt;H772,1+$Q$6&gt;I772,1-$Q$6&lt;I772,1+$Q$6&gt;J772,1-$Q$6&lt;J772,1+$Q$6&gt;K772,1-$Q$6&lt;K772,1+$Q$6&gt;L772,1-$Q$6&lt;L772),IF(SUM($M$2:M771)=0,1,0),0)</f>
        <v>0</v>
      </c>
      <c r="N772" s="38">
        <f>IF(AND(1+$Q$7&gt;H772,1-$Q$7&lt;H772,1+$Q$7&gt;I772,1-$Q$7&lt;I772,1+$Q$7&gt;J772,1-$Q$7&lt;J772,1+$Q$7&gt;K772,1-$Q$7&lt;K772,1+$Q$7&gt;L772,1-$Q$7&lt;L772),IF(SUM($N$2:N771)=0,1,0),0)</f>
        <v>0</v>
      </c>
      <c r="O772" s="34">
        <f t="shared" si="12"/>
        <v>0</v>
      </c>
    </row>
    <row r="773" spans="8:15" ht="20.100000000000001" customHeight="1" x14ac:dyDescent="0.25">
      <c r="H773" s="43" t="str">
        <f>IFERROR(ABS(C773/VLOOKUP(2*$B773,$B774:C807,2,TRUE)),"--")</f>
        <v>--</v>
      </c>
      <c r="I773" s="43" t="str">
        <f>IFERROR(ABS(D773/VLOOKUP(2*$B773,$B774:D807,3,TRUE)),"--")</f>
        <v>--</v>
      </c>
      <c r="J773" s="43" t="str">
        <f>IFERROR(ABS(E773/VLOOKUP(2*$B773,$B774:E807,4,TRUE)),"--")</f>
        <v>--</v>
      </c>
      <c r="K773" s="43" t="str">
        <f>IFERROR(ABS(F773/VLOOKUP(2*$B773,$B774:F807,5,TRUE)),"--")</f>
        <v>--</v>
      </c>
      <c r="L773" s="43" t="str">
        <f>IFERROR(ABS(G773/VLOOKUP(2*$B773,$B774:G807,6,TRUE)),"--")</f>
        <v>--</v>
      </c>
      <c r="M773" s="38">
        <f>IF(AND(1+$Q$6&gt;H773,1-$Q$6&lt;H773,1+$Q$6&gt;I773,1-$Q$6&lt;I773,1+$Q$6&gt;J773,1-$Q$6&lt;J773,1+$Q$6&gt;K773,1-$Q$6&lt;K773,1+$Q$6&gt;L773,1-$Q$6&lt;L773),IF(SUM($M$2:M772)=0,1,0),0)</f>
        <v>0</v>
      </c>
      <c r="N773" s="38">
        <f>IF(AND(1+$Q$7&gt;H773,1-$Q$7&lt;H773,1+$Q$7&gt;I773,1-$Q$7&lt;I773,1+$Q$7&gt;J773,1-$Q$7&lt;J773,1+$Q$7&gt;K773,1-$Q$7&lt;K773,1+$Q$7&gt;L773,1-$Q$7&lt;L773),IF(SUM($N$2:N772)=0,1,0),0)</f>
        <v>0</v>
      </c>
      <c r="O773" s="34">
        <f t="shared" si="12"/>
        <v>0</v>
      </c>
    </row>
    <row r="774" spans="8:15" ht="20.100000000000001" customHeight="1" x14ac:dyDescent="0.25">
      <c r="H774" s="43" t="str">
        <f>IFERROR(ABS(C774/VLOOKUP(2*$B774,$B775:C808,2,TRUE)),"--")</f>
        <v>--</v>
      </c>
      <c r="I774" s="43" t="str">
        <f>IFERROR(ABS(D774/VLOOKUP(2*$B774,$B775:D808,3,TRUE)),"--")</f>
        <v>--</v>
      </c>
      <c r="J774" s="43" t="str">
        <f>IFERROR(ABS(E774/VLOOKUP(2*$B774,$B775:E808,4,TRUE)),"--")</f>
        <v>--</v>
      </c>
      <c r="K774" s="43" t="str">
        <f>IFERROR(ABS(F774/VLOOKUP(2*$B774,$B775:F808,5,TRUE)),"--")</f>
        <v>--</v>
      </c>
      <c r="L774" s="43" t="str">
        <f>IFERROR(ABS(G774/VLOOKUP(2*$B774,$B775:G808,6,TRUE)),"--")</f>
        <v>--</v>
      </c>
      <c r="M774" s="38">
        <f>IF(AND(1+$Q$6&gt;H774,1-$Q$6&lt;H774,1+$Q$6&gt;I774,1-$Q$6&lt;I774,1+$Q$6&gt;J774,1-$Q$6&lt;J774,1+$Q$6&gt;K774,1-$Q$6&lt;K774,1+$Q$6&gt;L774,1-$Q$6&lt;L774),IF(SUM($M$2:M773)=0,1,0),0)</f>
        <v>0</v>
      </c>
      <c r="N774" s="38">
        <f>IF(AND(1+$Q$7&gt;H774,1-$Q$7&lt;H774,1+$Q$7&gt;I774,1-$Q$7&lt;I774,1+$Q$7&gt;J774,1-$Q$7&lt;J774,1+$Q$7&gt;K774,1-$Q$7&lt;K774,1+$Q$7&gt;L774,1-$Q$7&lt;L774),IF(SUM($N$2:N773)=0,1,0),0)</f>
        <v>0</v>
      </c>
      <c r="O774" s="34">
        <f t="shared" si="12"/>
        <v>0</v>
      </c>
    </row>
    <row r="775" spans="8:15" ht="20.100000000000001" customHeight="1" x14ac:dyDescent="0.25">
      <c r="H775" s="43" t="str">
        <f>IFERROR(ABS(C775/VLOOKUP(2*$B775,$B776:C809,2,TRUE)),"--")</f>
        <v>--</v>
      </c>
      <c r="I775" s="43" t="str">
        <f>IFERROR(ABS(D775/VLOOKUP(2*$B775,$B776:D809,3,TRUE)),"--")</f>
        <v>--</v>
      </c>
      <c r="J775" s="43" t="str">
        <f>IFERROR(ABS(E775/VLOOKUP(2*$B775,$B776:E809,4,TRUE)),"--")</f>
        <v>--</v>
      </c>
      <c r="K775" s="43" t="str">
        <f>IFERROR(ABS(F775/VLOOKUP(2*$B775,$B776:F809,5,TRUE)),"--")</f>
        <v>--</v>
      </c>
      <c r="L775" s="43" t="str">
        <f>IFERROR(ABS(G775/VLOOKUP(2*$B775,$B776:G809,6,TRUE)),"--")</f>
        <v>--</v>
      </c>
      <c r="M775" s="38">
        <f>IF(AND(1+$Q$6&gt;H775,1-$Q$6&lt;H775,1+$Q$6&gt;I775,1-$Q$6&lt;I775,1+$Q$6&gt;J775,1-$Q$6&lt;J775,1+$Q$6&gt;K775,1-$Q$6&lt;K775,1+$Q$6&gt;L775,1-$Q$6&lt;L775),IF(SUM($M$2:M774)=0,1,0),0)</f>
        <v>0</v>
      </c>
      <c r="N775" s="38">
        <f>IF(AND(1+$Q$7&gt;H775,1-$Q$7&lt;H775,1+$Q$7&gt;I775,1-$Q$7&lt;I775,1+$Q$7&gt;J775,1-$Q$7&lt;J775,1+$Q$7&gt;K775,1-$Q$7&lt;K775,1+$Q$7&gt;L775,1-$Q$7&lt;L775),IF(SUM($N$2:N774)=0,1,0),0)</f>
        <v>0</v>
      </c>
      <c r="O775" s="34">
        <f t="shared" si="12"/>
        <v>0</v>
      </c>
    </row>
    <row r="776" spans="8:15" ht="20.100000000000001" customHeight="1" x14ac:dyDescent="0.25">
      <c r="H776" s="43" t="str">
        <f>IFERROR(ABS(C776/VLOOKUP(2*$B776,$B777:C810,2,TRUE)),"--")</f>
        <v>--</v>
      </c>
      <c r="I776" s="43" t="str">
        <f>IFERROR(ABS(D776/VLOOKUP(2*$B776,$B777:D810,3,TRUE)),"--")</f>
        <v>--</v>
      </c>
      <c r="J776" s="43" t="str">
        <f>IFERROR(ABS(E776/VLOOKUP(2*$B776,$B777:E810,4,TRUE)),"--")</f>
        <v>--</v>
      </c>
      <c r="K776" s="43" t="str">
        <f>IFERROR(ABS(F776/VLOOKUP(2*$B776,$B777:F810,5,TRUE)),"--")</f>
        <v>--</v>
      </c>
      <c r="L776" s="43" t="str">
        <f>IFERROR(ABS(G776/VLOOKUP(2*$B776,$B777:G810,6,TRUE)),"--")</f>
        <v>--</v>
      </c>
      <c r="M776" s="38">
        <f>IF(AND(1+$Q$6&gt;H776,1-$Q$6&lt;H776,1+$Q$6&gt;I776,1-$Q$6&lt;I776,1+$Q$6&gt;J776,1-$Q$6&lt;J776,1+$Q$6&gt;K776,1-$Q$6&lt;K776,1+$Q$6&gt;L776,1-$Q$6&lt;L776),IF(SUM($M$2:M775)=0,1,0),0)</f>
        <v>0</v>
      </c>
      <c r="N776" s="38">
        <f>IF(AND(1+$Q$7&gt;H776,1-$Q$7&lt;H776,1+$Q$7&gt;I776,1-$Q$7&lt;I776,1+$Q$7&gt;J776,1-$Q$7&lt;J776,1+$Q$7&gt;K776,1-$Q$7&lt;K776,1+$Q$7&gt;L776,1-$Q$7&lt;L776),IF(SUM($N$2:N775)=0,1,0),0)</f>
        <v>0</v>
      </c>
      <c r="O776" s="34">
        <f t="shared" si="12"/>
        <v>0</v>
      </c>
    </row>
    <row r="777" spans="8:15" ht="20.100000000000001" customHeight="1" x14ac:dyDescent="0.25">
      <c r="H777" s="43" t="str">
        <f>IFERROR(ABS(C777/VLOOKUP(2*$B777,$B778:C811,2,TRUE)),"--")</f>
        <v>--</v>
      </c>
      <c r="I777" s="43" t="str">
        <f>IFERROR(ABS(D777/VLOOKUP(2*$B777,$B778:D811,3,TRUE)),"--")</f>
        <v>--</v>
      </c>
      <c r="J777" s="43" t="str">
        <f>IFERROR(ABS(E777/VLOOKUP(2*$B777,$B778:E811,4,TRUE)),"--")</f>
        <v>--</v>
      </c>
      <c r="K777" s="43" t="str">
        <f>IFERROR(ABS(F777/VLOOKUP(2*$B777,$B778:F811,5,TRUE)),"--")</f>
        <v>--</v>
      </c>
      <c r="L777" s="43" t="str">
        <f>IFERROR(ABS(G777/VLOOKUP(2*$B777,$B778:G811,6,TRUE)),"--")</f>
        <v>--</v>
      </c>
      <c r="M777" s="38">
        <f>IF(AND(1+$Q$6&gt;H777,1-$Q$6&lt;H777,1+$Q$6&gt;I777,1-$Q$6&lt;I777,1+$Q$6&gt;J777,1-$Q$6&lt;J777,1+$Q$6&gt;K777,1-$Q$6&lt;K777,1+$Q$6&gt;L777,1-$Q$6&lt;L777),IF(SUM($M$2:M776)=0,1,0),0)</f>
        <v>0</v>
      </c>
      <c r="N777" s="38">
        <f>IF(AND(1+$Q$7&gt;H777,1-$Q$7&lt;H777,1+$Q$7&gt;I777,1-$Q$7&lt;I777,1+$Q$7&gt;J777,1-$Q$7&lt;J777,1+$Q$7&gt;K777,1-$Q$7&lt;K777,1+$Q$7&gt;L777,1-$Q$7&lt;L777),IF(SUM($N$2:N776)=0,1,0),0)</f>
        <v>0</v>
      </c>
      <c r="O777" s="34">
        <f t="shared" si="12"/>
        <v>0</v>
      </c>
    </row>
    <row r="778" spans="8:15" ht="20.100000000000001" customHeight="1" x14ac:dyDescent="0.25">
      <c r="H778" s="43" t="str">
        <f>IFERROR(ABS(C778/VLOOKUP(2*$B778,$B779:C812,2,TRUE)),"--")</f>
        <v>--</v>
      </c>
      <c r="I778" s="43" t="str">
        <f>IFERROR(ABS(D778/VLOOKUP(2*$B778,$B779:D812,3,TRUE)),"--")</f>
        <v>--</v>
      </c>
      <c r="J778" s="43" t="str">
        <f>IFERROR(ABS(E778/VLOOKUP(2*$B778,$B779:E812,4,TRUE)),"--")</f>
        <v>--</v>
      </c>
      <c r="K778" s="43" t="str">
        <f>IFERROR(ABS(F778/VLOOKUP(2*$B778,$B779:F812,5,TRUE)),"--")</f>
        <v>--</v>
      </c>
      <c r="L778" s="43" t="str">
        <f>IFERROR(ABS(G778/VLOOKUP(2*$B778,$B779:G812,6,TRUE)),"--")</f>
        <v>--</v>
      </c>
      <c r="M778" s="38">
        <f>IF(AND(1+$Q$6&gt;H778,1-$Q$6&lt;H778,1+$Q$6&gt;I778,1-$Q$6&lt;I778,1+$Q$6&gt;J778,1-$Q$6&lt;J778,1+$Q$6&gt;K778,1-$Q$6&lt;K778,1+$Q$6&gt;L778,1-$Q$6&lt;L778),IF(SUM($M$2:M777)=0,1,0),0)</f>
        <v>0</v>
      </c>
      <c r="N778" s="38">
        <f>IF(AND(1+$Q$7&gt;H778,1-$Q$7&lt;H778,1+$Q$7&gt;I778,1-$Q$7&lt;I778,1+$Q$7&gt;J778,1-$Q$7&lt;J778,1+$Q$7&gt;K778,1-$Q$7&lt;K778,1+$Q$7&gt;L778,1-$Q$7&lt;L778),IF(SUM($N$2:N777)=0,1,0),0)</f>
        <v>0</v>
      </c>
      <c r="O778" s="34">
        <f t="shared" si="12"/>
        <v>0</v>
      </c>
    </row>
    <row r="779" spans="8:15" ht="20.100000000000001" customHeight="1" x14ac:dyDescent="0.25">
      <c r="H779" s="43" t="str">
        <f>IFERROR(ABS(C779/VLOOKUP(2*$B779,$B780:C813,2,TRUE)),"--")</f>
        <v>--</v>
      </c>
      <c r="I779" s="43" t="str">
        <f>IFERROR(ABS(D779/VLOOKUP(2*$B779,$B780:D813,3,TRUE)),"--")</f>
        <v>--</v>
      </c>
      <c r="J779" s="43" t="str">
        <f>IFERROR(ABS(E779/VLOOKUP(2*$B779,$B780:E813,4,TRUE)),"--")</f>
        <v>--</v>
      </c>
      <c r="K779" s="43" t="str">
        <f>IFERROR(ABS(F779/VLOOKUP(2*$B779,$B780:F813,5,TRUE)),"--")</f>
        <v>--</v>
      </c>
      <c r="L779" s="43" t="str">
        <f>IFERROR(ABS(G779/VLOOKUP(2*$B779,$B780:G813,6,TRUE)),"--")</f>
        <v>--</v>
      </c>
      <c r="M779" s="38">
        <f>IF(AND(1+$Q$6&gt;H779,1-$Q$6&lt;H779,1+$Q$6&gt;I779,1-$Q$6&lt;I779,1+$Q$6&gt;J779,1-$Q$6&lt;J779,1+$Q$6&gt;K779,1-$Q$6&lt;K779,1+$Q$6&gt;L779,1-$Q$6&lt;L779),IF(SUM($M$2:M778)=0,1,0),0)</f>
        <v>0</v>
      </c>
      <c r="N779" s="38">
        <f>IF(AND(1+$Q$7&gt;H779,1-$Q$7&lt;H779,1+$Q$7&gt;I779,1-$Q$7&lt;I779,1+$Q$7&gt;J779,1-$Q$7&lt;J779,1+$Q$7&gt;K779,1-$Q$7&lt;K779,1+$Q$7&gt;L779,1-$Q$7&lt;L779),IF(SUM($N$2:N778)=0,1,0),0)</f>
        <v>0</v>
      </c>
      <c r="O779" s="34">
        <f t="shared" si="12"/>
        <v>0</v>
      </c>
    </row>
    <row r="780" spans="8:15" ht="20.100000000000001" customHeight="1" x14ac:dyDescent="0.25">
      <c r="H780" s="43" t="str">
        <f>IFERROR(ABS(C780/VLOOKUP(2*$B780,$B781:C814,2,TRUE)),"--")</f>
        <v>--</v>
      </c>
      <c r="I780" s="43" t="str">
        <f>IFERROR(ABS(D780/VLOOKUP(2*$B780,$B781:D814,3,TRUE)),"--")</f>
        <v>--</v>
      </c>
      <c r="J780" s="43" t="str">
        <f>IFERROR(ABS(E780/VLOOKUP(2*$B780,$B781:E814,4,TRUE)),"--")</f>
        <v>--</v>
      </c>
      <c r="K780" s="43" t="str">
        <f>IFERROR(ABS(F780/VLOOKUP(2*$B780,$B781:F814,5,TRUE)),"--")</f>
        <v>--</v>
      </c>
      <c r="L780" s="43" t="str">
        <f>IFERROR(ABS(G780/VLOOKUP(2*$B780,$B781:G814,6,TRUE)),"--")</f>
        <v>--</v>
      </c>
      <c r="M780" s="38">
        <f>IF(AND(1+$Q$6&gt;H780,1-$Q$6&lt;H780,1+$Q$6&gt;I780,1-$Q$6&lt;I780,1+$Q$6&gt;J780,1-$Q$6&lt;J780,1+$Q$6&gt;K780,1-$Q$6&lt;K780,1+$Q$6&gt;L780,1-$Q$6&lt;L780),IF(SUM($M$2:M779)=0,1,0),0)</f>
        <v>0</v>
      </c>
      <c r="N780" s="38">
        <f>IF(AND(1+$Q$7&gt;H780,1-$Q$7&lt;H780,1+$Q$7&gt;I780,1-$Q$7&lt;I780,1+$Q$7&gt;J780,1-$Q$7&lt;J780,1+$Q$7&gt;K780,1-$Q$7&lt;K780,1+$Q$7&gt;L780,1-$Q$7&lt;L780),IF(SUM($N$2:N779)=0,1,0),0)</f>
        <v>0</v>
      </c>
      <c r="O780" s="34">
        <f t="shared" si="12"/>
        <v>0</v>
      </c>
    </row>
    <row r="781" spans="8:15" ht="20.100000000000001" customHeight="1" x14ac:dyDescent="0.25">
      <c r="H781" s="43" t="str">
        <f>IFERROR(ABS(C781/VLOOKUP(2*$B781,$B782:C815,2,TRUE)),"--")</f>
        <v>--</v>
      </c>
      <c r="I781" s="43" t="str">
        <f>IFERROR(ABS(D781/VLOOKUP(2*$B781,$B782:D815,3,TRUE)),"--")</f>
        <v>--</v>
      </c>
      <c r="J781" s="43" t="str">
        <f>IFERROR(ABS(E781/VLOOKUP(2*$B781,$B782:E815,4,TRUE)),"--")</f>
        <v>--</v>
      </c>
      <c r="K781" s="43" t="str">
        <f>IFERROR(ABS(F781/VLOOKUP(2*$B781,$B782:F815,5,TRUE)),"--")</f>
        <v>--</v>
      </c>
      <c r="L781" s="43" t="str">
        <f>IFERROR(ABS(G781/VLOOKUP(2*$B781,$B782:G815,6,TRUE)),"--")</f>
        <v>--</v>
      </c>
      <c r="M781" s="38">
        <f>IF(AND(1+$Q$6&gt;H781,1-$Q$6&lt;H781,1+$Q$6&gt;I781,1-$Q$6&lt;I781,1+$Q$6&gt;J781,1-$Q$6&lt;J781,1+$Q$6&gt;K781,1-$Q$6&lt;K781,1+$Q$6&gt;L781,1-$Q$6&lt;L781),IF(SUM($M$2:M780)=0,1,0),0)</f>
        <v>0</v>
      </c>
      <c r="N781" s="38">
        <f>IF(AND(1+$Q$7&gt;H781,1-$Q$7&lt;H781,1+$Q$7&gt;I781,1-$Q$7&lt;I781,1+$Q$7&gt;J781,1-$Q$7&lt;J781,1+$Q$7&gt;K781,1-$Q$7&lt;K781,1+$Q$7&gt;L781,1-$Q$7&lt;L781),IF(SUM($N$2:N780)=0,1,0),0)</f>
        <v>0</v>
      </c>
      <c r="O781" s="34">
        <f t="shared" si="12"/>
        <v>0</v>
      </c>
    </row>
    <row r="782" spans="8:15" ht="20.100000000000001" customHeight="1" x14ac:dyDescent="0.25">
      <c r="H782" s="43" t="str">
        <f>IFERROR(ABS(C782/VLOOKUP(2*$B782,$B783:C816,2,TRUE)),"--")</f>
        <v>--</v>
      </c>
      <c r="I782" s="43" t="str">
        <f>IFERROR(ABS(D782/VLOOKUP(2*$B782,$B783:D816,3,TRUE)),"--")</f>
        <v>--</v>
      </c>
      <c r="J782" s="43" t="str">
        <f>IFERROR(ABS(E782/VLOOKUP(2*$B782,$B783:E816,4,TRUE)),"--")</f>
        <v>--</v>
      </c>
      <c r="K782" s="43" t="str">
        <f>IFERROR(ABS(F782/VLOOKUP(2*$B782,$B783:F816,5,TRUE)),"--")</f>
        <v>--</v>
      </c>
      <c r="L782" s="43" t="str">
        <f>IFERROR(ABS(G782/VLOOKUP(2*$B782,$B783:G816,6,TRUE)),"--")</f>
        <v>--</v>
      </c>
      <c r="M782" s="38">
        <f>IF(AND(1+$Q$6&gt;H782,1-$Q$6&lt;H782,1+$Q$6&gt;I782,1-$Q$6&lt;I782,1+$Q$6&gt;J782,1-$Q$6&lt;J782,1+$Q$6&gt;K782,1-$Q$6&lt;K782,1+$Q$6&gt;L782,1-$Q$6&lt;L782),IF(SUM($M$2:M781)=0,1,0),0)</f>
        <v>0</v>
      </c>
      <c r="N782" s="38">
        <f>IF(AND(1+$Q$7&gt;H782,1-$Q$7&lt;H782,1+$Q$7&gt;I782,1-$Q$7&lt;I782,1+$Q$7&gt;J782,1-$Q$7&lt;J782,1+$Q$7&gt;K782,1-$Q$7&lt;K782,1+$Q$7&gt;L782,1-$Q$7&lt;L782),IF(SUM($N$2:N781)=0,1,0),0)</f>
        <v>0</v>
      </c>
      <c r="O782" s="34">
        <f t="shared" si="12"/>
        <v>0</v>
      </c>
    </row>
    <row r="783" spans="8:15" ht="20.100000000000001" customHeight="1" x14ac:dyDescent="0.25">
      <c r="H783" s="43" t="str">
        <f>IFERROR(ABS(C783/VLOOKUP(2*$B783,$B784:C817,2,TRUE)),"--")</f>
        <v>--</v>
      </c>
      <c r="I783" s="43" t="str">
        <f>IFERROR(ABS(D783/VLOOKUP(2*$B783,$B784:D817,3,TRUE)),"--")</f>
        <v>--</v>
      </c>
      <c r="J783" s="43" t="str">
        <f>IFERROR(ABS(E783/VLOOKUP(2*$B783,$B784:E817,4,TRUE)),"--")</f>
        <v>--</v>
      </c>
      <c r="K783" s="43" t="str">
        <f>IFERROR(ABS(F783/VLOOKUP(2*$B783,$B784:F817,5,TRUE)),"--")</f>
        <v>--</v>
      </c>
      <c r="L783" s="43" t="str">
        <f>IFERROR(ABS(G783/VLOOKUP(2*$B783,$B784:G817,6,TRUE)),"--")</f>
        <v>--</v>
      </c>
      <c r="M783" s="38">
        <f>IF(AND(1+$Q$6&gt;H783,1-$Q$6&lt;H783,1+$Q$6&gt;I783,1-$Q$6&lt;I783,1+$Q$6&gt;J783,1-$Q$6&lt;J783,1+$Q$6&gt;K783,1-$Q$6&lt;K783,1+$Q$6&gt;L783,1-$Q$6&lt;L783),IF(SUM($M$2:M782)=0,1,0),0)</f>
        <v>0</v>
      </c>
      <c r="N783" s="38">
        <f>IF(AND(1+$Q$7&gt;H783,1-$Q$7&lt;H783,1+$Q$7&gt;I783,1-$Q$7&lt;I783,1+$Q$7&gt;J783,1-$Q$7&lt;J783,1+$Q$7&gt;K783,1-$Q$7&lt;K783,1+$Q$7&gt;L783,1-$Q$7&lt;L783),IF(SUM($N$2:N782)=0,1,0),0)</f>
        <v>0</v>
      </c>
      <c r="O783" s="34">
        <f t="shared" si="12"/>
        <v>0</v>
      </c>
    </row>
    <row r="784" spans="8:15" ht="20.100000000000001" customHeight="1" x14ac:dyDescent="0.25">
      <c r="H784" s="43" t="str">
        <f>IFERROR(ABS(C784/VLOOKUP(2*$B784,$B785:C818,2,TRUE)),"--")</f>
        <v>--</v>
      </c>
      <c r="I784" s="43" t="str">
        <f>IFERROR(ABS(D784/VLOOKUP(2*$B784,$B785:D818,3,TRUE)),"--")</f>
        <v>--</v>
      </c>
      <c r="J784" s="43" t="str">
        <f>IFERROR(ABS(E784/VLOOKUP(2*$B784,$B785:E818,4,TRUE)),"--")</f>
        <v>--</v>
      </c>
      <c r="K784" s="43" t="str">
        <f>IFERROR(ABS(F784/VLOOKUP(2*$B784,$B785:F818,5,TRUE)),"--")</f>
        <v>--</v>
      </c>
      <c r="L784" s="43" t="str">
        <f>IFERROR(ABS(G784/VLOOKUP(2*$B784,$B785:G818,6,TRUE)),"--")</f>
        <v>--</v>
      </c>
      <c r="M784" s="38">
        <f>IF(AND(1+$Q$6&gt;H784,1-$Q$6&lt;H784,1+$Q$6&gt;I784,1-$Q$6&lt;I784,1+$Q$6&gt;J784,1-$Q$6&lt;J784,1+$Q$6&gt;K784,1-$Q$6&lt;K784,1+$Q$6&gt;L784,1-$Q$6&lt;L784),IF(SUM($M$2:M783)=0,1,0),0)</f>
        <v>0</v>
      </c>
      <c r="N784" s="38">
        <f>IF(AND(1+$Q$7&gt;H784,1-$Q$7&lt;H784,1+$Q$7&gt;I784,1-$Q$7&lt;I784,1+$Q$7&gt;J784,1-$Q$7&lt;J784,1+$Q$7&gt;K784,1-$Q$7&lt;K784,1+$Q$7&gt;L784,1-$Q$7&lt;L784),IF(SUM($N$2:N783)=0,1,0),0)</f>
        <v>0</v>
      </c>
      <c r="O784" s="34">
        <f t="shared" si="12"/>
        <v>0</v>
      </c>
    </row>
    <row r="785" spans="8:15" ht="20.100000000000001" customHeight="1" x14ac:dyDescent="0.25">
      <c r="H785" s="43" t="str">
        <f>IFERROR(ABS(C785/VLOOKUP(2*$B785,$B786:C819,2,TRUE)),"--")</f>
        <v>--</v>
      </c>
      <c r="I785" s="43" t="str">
        <f>IFERROR(ABS(D785/VLOOKUP(2*$B785,$B786:D819,3,TRUE)),"--")</f>
        <v>--</v>
      </c>
      <c r="J785" s="43" t="str">
        <f>IFERROR(ABS(E785/VLOOKUP(2*$B785,$B786:E819,4,TRUE)),"--")</f>
        <v>--</v>
      </c>
      <c r="K785" s="43" t="str">
        <f>IFERROR(ABS(F785/VLOOKUP(2*$B785,$B786:F819,5,TRUE)),"--")</f>
        <v>--</v>
      </c>
      <c r="L785" s="43" t="str">
        <f>IFERROR(ABS(G785/VLOOKUP(2*$B785,$B786:G819,6,TRUE)),"--")</f>
        <v>--</v>
      </c>
      <c r="M785" s="38">
        <f>IF(AND(1+$Q$6&gt;H785,1-$Q$6&lt;H785,1+$Q$6&gt;I785,1-$Q$6&lt;I785,1+$Q$6&gt;J785,1-$Q$6&lt;J785,1+$Q$6&gt;K785,1-$Q$6&lt;K785,1+$Q$6&gt;L785,1-$Q$6&lt;L785),IF(SUM($M$2:M784)=0,1,0),0)</f>
        <v>0</v>
      </c>
      <c r="N785" s="38">
        <f>IF(AND(1+$Q$7&gt;H785,1-$Q$7&lt;H785,1+$Q$7&gt;I785,1-$Q$7&lt;I785,1+$Q$7&gt;J785,1-$Q$7&lt;J785,1+$Q$7&gt;K785,1-$Q$7&lt;K785,1+$Q$7&gt;L785,1-$Q$7&lt;L785),IF(SUM($N$2:N784)=0,1,0),0)</f>
        <v>0</v>
      </c>
      <c r="O785" s="34">
        <f t="shared" si="12"/>
        <v>0</v>
      </c>
    </row>
    <row r="786" spans="8:15" ht="20.100000000000001" customHeight="1" x14ac:dyDescent="0.25">
      <c r="H786" s="43" t="str">
        <f>IFERROR(ABS(C786/VLOOKUP(2*$B786,$B787:C820,2,TRUE)),"--")</f>
        <v>--</v>
      </c>
      <c r="I786" s="43" t="str">
        <f>IFERROR(ABS(D786/VLOOKUP(2*$B786,$B787:D820,3,TRUE)),"--")</f>
        <v>--</v>
      </c>
      <c r="J786" s="43" t="str">
        <f>IFERROR(ABS(E786/VLOOKUP(2*$B786,$B787:E820,4,TRUE)),"--")</f>
        <v>--</v>
      </c>
      <c r="K786" s="43" t="str">
        <f>IFERROR(ABS(F786/VLOOKUP(2*$B786,$B787:F820,5,TRUE)),"--")</f>
        <v>--</v>
      </c>
      <c r="L786" s="43" t="str">
        <f>IFERROR(ABS(G786/VLOOKUP(2*$B786,$B787:G820,6,TRUE)),"--")</f>
        <v>--</v>
      </c>
      <c r="M786" s="38">
        <f>IF(AND(1+$Q$6&gt;H786,1-$Q$6&lt;H786,1+$Q$6&gt;I786,1-$Q$6&lt;I786,1+$Q$6&gt;J786,1-$Q$6&lt;J786,1+$Q$6&gt;K786,1-$Q$6&lt;K786,1+$Q$6&gt;L786,1-$Q$6&lt;L786),IF(SUM($M$2:M785)=0,1,0),0)</f>
        <v>0</v>
      </c>
      <c r="N786" s="38">
        <f>IF(AND(1+$Q$7&gt;H786,1-$Q$7&lt;H786,1+$Q$7&gt;I786,1-$Q$7&lt;I786,1+$Q$7&gt;J786,1-$Q$7&lt;J786,1+$Q$7&gt;K786,1-$Q$7&lt;K786,1+$Q$7&gt;L786,1-$Q$7&lt;L786),IF(SUM($N$2:N785)=0,1,0),0)</f>
        <v>0</v>
      </c>
      <c r="O786" s="34">
        <f t="shared" si="12"/>
        <v>0</v>
      </c>
    </row>
    <row r="787" spans="8:15" ht="20.100000000000001" customHeight="1" x14ac:dyDescent="0.25">
      <c r="H787" s="43" t="str">
        <f>IFERROR(ABS(C787/VLOOKUP(2*$B787,$B788:C821,2,TRUE)),"--")</f>
        <v>--</v>
      </c>
      <c r="I787" s="43" t="str">
        <f>IFERROR(ABS(D787/VLOOKUP(2*$B787,$B788:D821,3,TRUE)),"--")</f>
        <v>--</v>
      </c>
      <c r="J787" s="43" t="str">
        <f>IFERROR(ABS(E787/VLOOKUP(2*$B787,$B788:E821,4,TRUE)),"--")</f>
        <v>--</v>
      </c>
      <c r="K787" s="43" t="str">
        <f>IFERROR(ABS(F787/VLOOKUP(2*$B787,$B788:F821,5,TRUE)),"--")</f>
        <v>--</v>
      </c>
      <c r="L787" s="43" t="str">
        <f>IFERROR(ABS(G787/VLOOKUP(2*$B787,$B788:G821,6,TRUE)),"--")</f>
        <v>--</v>
      </c>
      <c r="M787" s="38">
        <f>IF(AND(1+$Q$6&gt;H787,1-$Q$6&lt;H787,1+$Q$6&gt;I787,1-$Q$6&lt;I787,1+$Q$6&gt;J787,1-$Q$6&lt;J787,1+$Q$6&gt;K787,1-$Q$6&lt;K787,1+$Q$6&gt;L787,1-$Q$6&lt;L787),IF(SUM($M$2:M786)=0,1,0),0)</f>
        <v>0</v>
      </c>
      <c r="N787" s="38">
        <f>IF(AND(1+$Q$7&gt;H787,1-$Q$7&lt;H787,1+$Q$7&gt;I787,1-$Q$7&lt;I787,1+$Q$7&gt;J787,1-$Q$7&lt;J787,1+$Q$7&gt;K787,1-$Q$7&lt;K787,1+$Q$7&gt;L787,1-$Q$7&lt;L787),IF(SUM($N$2:N786)=0,1,0),0)</f>
        <v>0</v>
      </c>
      <c r="O787" s="34">
        <f t="shared" si="12"/>
        <v>0</v>
      </c>
    </row>
    <row r="788" spans="8:15" ht="20.100000000000001" customHeight="1" x14ac:dyDescent="0.25">
      <c r="H788" s="43" t="str">
        <f>IFERROR(ABS(C788/VLOOKUP(2*$B788,$B789:C822,2,TRUE)),"--")</f>
        <v>--</v>
      </c>
      <c r="I788" s="43" t="str">
        <f>IFERROR(ABS(D788/VLOOKUP(2*$B788,$B789:D822,3,TRUE)),"--")</f>
        <v>--</v>
      </c>
      <c r="J788" s="43" t="str">
        <f>IFERROR(ABS(E788/VLOOKUP(2*$B788,$B789:E822,4,TRUE)),"--")</f>
        <v>--</v>
      </c>
      <c r="K788" s="43" t="str">
        <f>IFERROR(ABS(F788/VLOOKUP(2*$B788,$B789:F822,5,TRUE)),"--")</f>
        <v>--</v>
      </c>
      <c r="L788" s="43" t="str">
        <f>IFERROR(ABS(G788/VLOOKUP(2*$B788,$B789:G822,6,TRUE)),"--")</f>
        <v>--</v>
      </c>
      <c r="M788" s="38">
        <f>IF(AND(1+$Q$6&gt;H788,1-$Q$6&lt;H788,1+$Q$6&gt;I788,1-$Q$6&lt;I788,1+$Q$6&gt;J788,1-$Q$6&lt;J788,1+$Q$6&gt;K788,1-$Q$6&lt;K788,1+$Q$6&gt;L788,1-$Q$6&lt;L788),IF(SUM($M$2:M787)=0,1,0),0)</f>
        <v>0</v>
      </c>
      <c r="N788" s="38">
        <f>IF(AND(1+$Q$7&gt;H788,1-$Q$7&lt;H788,1+$Q$7&gt;I788,1-$Q$7&lt;I788,1+$Q$7&gt;J788,1-$Q$7&lt;J788,1+$Q$7&gt;K788,1-$Q$7&lt;K788,1+$Q$7&gt;L788,1-$Q$7&lt;L788),IF(SUM($N$2:N787)=0,1,0),0)</f>
        <v>0</v>
      </c>
      <c r="O788" s="34">
        <f t="shared" si="12"/>
        <v>0</v>
      </c>
    </row>
    <row r="789" spans="8:15" ht="20.100000000000001" customHeight="1" x14ac:dyDescent="0.25">
      <c r="H789" s="43" t="str">
        <f>IFERROR(ABS(C789/VLOOKUP(2*$B789,$B790:C823,2,TRUE)),"--")</f>
        <v>--</v>
      </c>
      <c r="I789" s="43" t="str">
        <f>IFERROR(ABS(D789/VLOOKUP(2*$B789,$B790:D823,3,TRUE)),"--")</f>
        <v>--</v>
      </c>
      <c r="J789" s="43" t="str">
        <f>IFERROR(ABS(E789/VLOOKUP(2*$B789,$B790:E823,4,TRUE)),"--")</f>
        <v>--</v>
      </c>
      <c r="K789" s="43" t="str">
        <f>IFERROR(ABS(F789/VLOOKUP(2*$B789,$B790:F823,5,TRUE)),"--")</f>
        <v>--</v>
      </c>
      <c r="L789" s="43" t="str">
        <f>IFERROR(ABS(G789/VLOOKUP(2*$B789,$B790:G823,6,TRUE)),"--")</f>
        <v>--</v>
      </c>
      <c r="M789" s="38">
        <f>IF(AND(1+$Q$6&gt;H789,1-$Q$6&lt;H789,1+$Q$6&gt;I789,1-$Q$6&lt;I789,1+$Q$6&gt;J789,1-$Q$6&lt;J789,1+$Q$6&gt;K789,1-$Q$6&lt;K789,1+$Q$6&gt;L789,1-$Q$6&lt;L789),IF(SUM($M$2:M788)=0,1,0),0)</f>
        <v>0</v>
      </c>
      <c r="N789" s="38">
        <f>IF(AND(1+$Q$7&gt;H789,1-$Q$7&lt;H789,1+$Q$7&gt;I789,1-$Q$7&lt;I789,1+$Q$7&gt;J789,1-$Q$7&lt;J789,1+$Q$7&gt;K789,1-$Q$7&lt;K789,1+$Q$7&gt;L789,1-$Q$7&lt;L789),IF(SUM($N$2:N788)=0,1,0),0)</f>
        <v>0</v>
      </c>
      <c r="O789" s="34">
        <f t="shared" si="12"/>
        <v>0</v>
      </c>
    </row>
    <row r="790" spans="8:15" ht="20.100000000000001" customHeight="1" x14ac:dyDescent="0.25">
      <c r="H790" s="43" t="str">
        <f>IFERROR(ABS(C790/VLOOKUP(2*$B790,$B791:C824,2,TRUE)),"--")</f>
        <v>--</v>
      </c>
      <c r="I790" s="43" t="str">
        <f>IFERROR(ABS(D790/VLOOKUP(2*$B790,$B791:D824,3,TRUE)),"--")</f>
        <v>--</v>
      </c>
      <c r="J790" s="43" t="str">
        <f>IFERROR(ABS(E790/VLOOKUP(2*$B790,$B791:E824,4,TRUE)),"--")</f>
        <v>--</v>
      </c>
      <c r="K790" s="43" t="str">
        <f>IFERROR(ABS(F790/VLOOKUP(2*$B790,$B791:F824,5,TRUE)),"--")</f>
        <v>--</v>
      </c>
      <c r="L790" s="43" t="str">
        <f>IFERROR(ABS(G790/VLOOKUP(2*$B790,$B791:G824,6,TRUE)),"--")</f>
        <v>--</v>
      </c>
      <c r="M790" s="38">
        <f>IF(AND(1+$Q$6&gt;H790,1-$Q$6&lt;H790,1+$Q$6&gt;I790,1-$Q$6&lt;I790,1+$Q$6&gt;J790,1-$Q$6&lt;J790,1+$Q$6&gt;K790,1-$Q$6&lt;K790,1+$Q$6&gt;L790,1-$Q$6&lt;L790),IF(SUM($M$2:M789)=0,1,0),0)</f>
        <v>0</v>
      </c>
      <c r="N790" s="38">
        <f>IF(AND(1+$Q$7&gt;H790,1-$Q$7&lt;H790,1+$Q$7&gt;I790,1-$Q$7&lt;I790,1+$Q$7&gt;J790,1-$Q$7&lt;J790,1+$Q$7&gt;K790,1-$Q$7&lt;K790,1+$Q$7&gt;L790,1-$Q$7&lt;L790),IF(SUM($N$2:N789)=0,1,0),0)</f>
        <v>0</v>
      </c>
      <c r="O790" s="34">
        <f t="shared" si="12"/>
        <v>0</v>
      </c>
    </row>
    <row r="791" spans="8:15" ht="20.100000000000001" customHeight="1" x14ac:dyDescent="0.25">
      <c r="H791" s="43" t="str">
        <f>IFERROR(ABS(C791/VLOOKUP(2*$B791,$B792:C825,2,TRUE)),"--")</f>
        <v>--</v>
      </c>
      <c r="I791" s="43" t="str">
        <f>IFERROR(ABS(D791/VLOOKUP(2*$B791,$B792:D825,3,TRUE)),"--")</f>
        <v>--</v>
      </c>
      <c r="J791" s="43" t="str">
        <f>IFERROR(ABS(E791/VLOOKUP(2*$B791,$B792:E825,4,TRUE)),"--")</f>
        <v>--</v>
      </c>
      <c r="K791" s="43" t="str">
        <f>IFERROR(ABS(F791/VLOOKUP(2*$B791,$B792:F825,5,TRUE)),"--")</f>
        <v>--</v>
      </c>
      <c r="L791" s="43" t="str">
        <f>IFERROR(ABS(G791/VLOOKUP(2*$B791,$B792:G825,6,TRUE)),"--")</f>
        <v>--</v>
      </c>
      <c r="M791" s="38">
        <f>IF(AND(1+$Q$6&gt;H791,1-$Q$6&lt;H791,1+$Q$6&gt;I791,1-$Q$6&lt;I791,1+$Q$6&gt;J791,1-$Q$6&lt;J791,1+$Q$6&gt;K791,1-$Q$6&lt;K791,1+$Q$6&gt;L791,1-$Q$6&lt;L791),IF(SUM($M$2:M790)=0,1,0),0)</f>
        <v>0</v>
      </c>
      <c r="N791" s="38">
        <f>IF(AND(1+$Q$7&gt;H791,1-$Q$7&lt;H791,1+$Q$7&gt;I791,1-$Q$7&lt;I791,1+$Q$7&gt;J791,1-$Q$7&lt;J791,1+$Q$7&gt;K791,1-$Q$7&lt;K791,1+$Q$7&gt;L791,1-$Q$7&lt;L791),IF(SUM($N$2:N790)=0,1,0),0)</f>
        <v>0</v>
      </c>
      <c r="O791" s="34">
        <f t="shared" si="12"/>
        <v>0</v>
      </c>
    </row>
    <row r="792" spans="8:15" ht="20.100000000000001" customHeight="1" x14ac:dyDescent="0.25">
      <c r="H792" s="43" t="str">
        <f>IFERROR(ABS(C792/VLOOKUP(2*$B792,$B793:C826,2,TRUE)),"--")</f>
        <v>--</v>
      </c>
      <c r="I792" s="43" t="str">
        <f>IFERROR(ABS(D792/VLOOKUP(2*$B792,$B793:D826,3,TRUE)),"--")</f>
        <v>--</v>
      </c>
      <c r="J792" s="43" t="str">
        <f>IFERROR(ABS(E792/VLOOKUP(2*$B792,$B793:E826,4,TRUE)),"--")</f>
        <v>--</v>
      </c>
      <c r="K792" s="43" t="str">
        <f>IFERROR(ABS(F792/VLOOKUP(2*$B792,$B793:F826,5,TRUE)),"--")</f>
        <v>--</v>
      </c>
      <c r="L792" s="43" t="str">
        <f>IFERROR(ABS(G792/VLOOKUP(2*$B792,$B793:G826,6,TRUE)),"--")</f>
        <v>--</v>
      </c>
      <c r="M792" s="38">
        <f>IF(AND(1+$Q$6&gt;H792,1-$Q$6&lt;H792,1+$Q$6&gt;I792,1-$Q$6&lt;I792,1+$Q$6&gt;J792,1-$Q$6&lt;J792,1+$Q$6&gt;K792,1-$Q$6&lt;K792,1+$Q$6&gt;L792,1-$Q$6&lt;L792),IF(SUM($M$2:M791)=0,1,0),0)</f>
        <v>0</v>
      </c>
      <c r="N792" s="38">
        <f>IF(AND(1+$Q$7&gt;H792,1-$Q$7&lt;H792,1+$Q$7&gt;I792,1-$Q$7&lt;I792,1+$Q$7&gt;J792,1-$Q$7&lt;J792,1+$Q$7&gt;K792,1-$Q$7&lt;K792,1+$Q$7&gt;L792,1-$Q$7&lt;L792),IF(SUM($N$2:N791)=0,1,0),0)</f>
        <v>0</v>
      </c>
      <c r="O792" s="34">
        <f t="shared" si="12"/>
        <v>0</v>
      </c>
    </row>
    <row r="793" spans="8:15" ht="20.100000000000001" customHeight="1" x14ac:dyDescent="0.25">
      <c r="H793" s="43" t="str">
        <f>IFERROR(ABS(C793/VLOOKUP(2*$B793,$B794:C827,2,TRUE)),"--")</f>
        <v>--</v>
      </c>
      <c r="I793" s="43" t="str">
        <f>IFERROR(ABS(D793/VLOOKUP(2*$B793,$B794:D827,3,TRUE)),"--")</f>
        <v>--</v>
      </c>
      <c r="J793" s="43" t="str">
        <f>IFERROR(ABS(E793/VLOOKUP(2*$B793,$B794:E827,4,TRUE)),"--")</f>
        <v>--</v>
      </c>
      <c r="K793" s="43" t="str">
        <f>IFERROR(ABS(F793/VLOOKUP(2*$B793,$B794:F827,5,TRUE)),"--")</f>
        <v>--</v>
      </c>
      <c r="L793" s="43" t="str">
        <f>IFERROR(ABS(G793/VLOOKUP(2*$B793,$B794:G827,6,TRUE)),"--")</f>
        <v>--</v>
      </c>
      <c r="M793" s="38">
        <f>IF(AND(1+$Q$6&gt;H793,1-$Q$6&lt;H793,1+$Q$6&gt;I793,1-$Q$6&lt;I793,1+$Q$6&gt;J793,1-$Q$6&lt;J793,1+$Q$6&gt;K793,1-$Q$6&lt;K793,1+$Q$6&gt;L793,1-$Q$6&lt;L793),IF(SUM($M$2:M792)=0,1,0),0)</f>
        <v>0</v>
      </c>
      <c r="N793" s="38">
        <f>IF(AND(1+$Q$7&gt;H793,1-$Q$7&lt;H793,1+$Q$7&gt;I793,1-$Q$7&lt;I793,1+$Q$7&gt;J793,1-$Q$7&lt;J793,1+$Q$7&gt;K793,1-$Q$7&lt;K793,1+$Q$7&gt;L793,1-$Q$7&lt;L793),IF(SUM($N$2:N792)=0,1,0),0)</f>
        <v>0</v>
      </c>
      <c r="O793" s="34">
        <f t="shared" si="12"/>
        <v>0</v>
      </c>
    </row>
    <row r="794" spans="8:15" ht="20.100000000000001" customHeight="1" x14ac:dyDescent="0.25">
      <c r="H794" s="43" t="str">
        <f>IFERROR(ABS(C794/VLOOKUP(2*$B794,$B795:C828,2,TRUE)),"--")</f>
        <v>--</v>
      </c>
      <c r="I794" s="43" t="str">
        <f>IFERROR(ABS(D794/VLOOKUP(2*$B794,$B795:D828,3,TRUE)),"--")</f>
        <v>--</v>
      </c>
      <c r="J794" s="43" t="str">
        <f>IFERROR(ABS(E794/VLOOKUP(2*$B794,$B795:E828,4,TRUE)),"--")</f>
        <v>--</v>
      </c>
      <c r="K794" s="43" t="str">
        <f>IFERROR(ABS(F794/VLOOKUP(2*$B794,$B795:F828,5,TRUE)),"--")</f>
        <v>--</v>
      </c>
      <c r="L794" s="43" t="str">
        <f>IFERROR(ABS(G794/VLOOKUP(2*$B794,$B795:G828,6,TRUE)),"--")</f>
        <v>--</v>
      </c>
      <c r="M794" s="38">
        <f>IF(AND(1+$Q$6&gt;H794,1-$Q$6&lt;H794,1+$Q$6&gt;I794,1-$Q$6&lt;I794,1+$Q$6&gt;J794,1-$Q$6&lt;J794,1+$Q$6&gt;K794,1-$Q$6&lt;K794,1+$Q$6&gt;L794,1-$Q$6&lt;L794),IF(SUM($M$2:M793)=0,1,0),0)</f>
        <v>0</v>
      </c>
      <c r="N794" s="38">
        <f>IF(AND(1+$Q$7&gt;H794,1-$Q$7&lt;H794,1+$Q$7&gt;I794,1-$Q$7&lt;I794,1+$Q$7&gt;J794,1-$Q$7&lt;J794,1+$Q$7&gt;K794,1-$Q$7&lt;K794,1+$Q$7&gt;L794,1-$Q$7&lt;L794),IF(SUM($N$2:N793)=0,1,0),0)</f>
        <v>0</v>
      </c>
      <c r="O794" s="34">
        <f t="shared" si="12"/>
        <v>0</v>
      </c>
    </row>
    <row r="795" spans="8:15" ht="20.100000000000001" customHeight="1" x14ac:dyDescent="0.25">
      <c r="H795" s="43" t="str">
        <f>IFERROR(ABS(C795/VLOOKUP(2*$B795,$B796:C829,2,TRUE)),"--")</f>
        <v>--</v>
      </c>
      <c r="I795" s="43" t="str">
        <f>IFERROR(ABS(D795/VLOOKUP(2*$B795,$B796:D829,3,TRUE)),"--")</f>
        <v>--</v>
      </c>
      <c r="J795" s="43" t="str">
        <f>IFERROR(ABS(E795/VLOOKUP(2*$B795,$B796:E829,4,TRUE)),"--")</f>
        <v>--</v>
      </c>
      <c r="K795" s="43" t="str">
        <f>IFERROR(ABS(F795/VLOOKUP(2*$B795,$B796:F829,5,TRUE)),"--")</f>
        <v>--</v>
      </c>
      <c r="L795" s="43" t="str">
        <f>IFERROR(ABS(G795/VLOOKUP(2*$B795,$B796:G829,6,TRUE)),"--")</f>
        <v>--</v>
      </c>
      <c r="M795" s="38">
        <f>IF(AND(1+$Q$6&gt;H795,1-$Q$6&lt;H795,1+$Q$6&gt;I795,1-$Q$6&lt;I795,1+$Q$6&gt;J795,1-$Q$6&lt;J795,1+$Q$6&gt;K795,1-$Q$6&lt;K795,1+$Q$6&gt;L795,1-$Q$6&lt;L795),IF(SUM($M$2:M794)=0,1,0),0)</f>
        <v>0</v>
      </c>
      <c r="N795" s="38">
        <f>IF(AND(1+$Q$7&gt;H795,1-$Q$7&lt;H795,1+$Q$7&gt;I795,1-$Q$7&lt;I795,1+$Q$7&gt;J795,1-$Q$7&lt;J795,1+$Q$7&gt;K795,1-$Q$7&lt;K795,1+$Q$7&gt;L795,1-$Q$7&lt;L795),IF(SUM($N$2:N794)=0,1,0),0)</f>
        <v>0</v>
      </c>
      <c r="O795" s="34">
        <f t="shared" si="12"/>
        <v>0</v>
      </c>
    </row>
    <row r="796" spans="8:15" ht="20.100000000000001" customHeight="1" x14ac:dyDescent="0.25">
      <c r="H796" s="43" t="str">
        <f>IFERROR(ABS(C796/VLOOKUP(2*$B796,$B797:C830,2,TRUE)),"--")</f>
        <v>--</v>
      </c>
      <c r="I796" s="43" t="str">
        <f>IFERROR(ABS(D796/VLOOKUP(2*$B796,$B797:D830,3,TRUE)),"--")</f>
        <v>--</v>
      </c>
      <c r="J796" s="43" t="str">
        <f>IFERROR(ABS(E796/VLOOKUP(2*$B796,$B797:E830,4,TRUE)),"--")</f>
        <v>--</v>
      </c>
      <c r="K796" s="43" t="str">
        <f>IFERROR(ABS(F796/VLOOKUP(2*$B796,$B797:F830,5,TRUE)),"--")</f>
        <v>--</v>
      </c>
      <c r="L796" s="43" t="str">
        <f>IFERROR(ABS(G796/VLOOKUP(2*$B796,$B797:G830,6,TRUE)),"--")</f>
        <v>--</v>
      </c>
      <c r="M796" s="38">
        <f>IF(AND(1+$Q$6&gt;H796,1-$Q$6&lt;H796,1+$Q$6&gt;I796,1-$Q$6&lt;I796,1+$Q$6&gt;J796,1-$Q$6&lt;J796,1+$Q$6&gt;K796,1-$Q$6&lt;K796,1+$Q$6&gt;L796,1-$Q$6&lt;L796),IF(SUM($M$2:M795)=0,1,0),0)</f>
        <v>0</v>
      </c>
      <c r="N796" s="38">
        <f>IF(AND(1+$Q$7&gt;H796,1-$Q$7&lt;H796,1+$Q$7&gt;I796,1-$Q$7&lt;I796,1+$Q$7&gt;J796,1-$Q$7&lt;J796,1+$Q$7&gt;K796,1-$Q$7&lt;K796,1+$Q$7&gt;L796,1-$Q$7&lt;L796),IF(SUM($N$2:N795)=0,1,0),0)</f>
        <v>0</v>
      </c>
      <c r="O796" s="34">
        <f t="shared" si="12"/>
        <v>0</v>
      </c>
    </row>
    <row r="797" spans="8:15" ht="20.100000000000001" customHeight="1" x14ac:dyDescent="0.25">
      <c r="H797" s="43" t="str">
        <f>IFERROR(ABS(C797/VLOOKUP(2*$B797,$B798:C831,2,TRUE)),"--")</f>
        <v>--</v>
      </c>
      <c r="I797" s="43" t="str">
        <f>IFERROR(ABS(D797/VLOOKUP(2*$B797,$B798:D831,3,TRUE)),"--")</f>
        <v>--</v>
      </c>
      <c r="J797" s="43" t="str">
        <f>IFERROR(ABS(E797/VLOOKUP(2*$B797,$B798:E831,4,TRUE)),"--")</f>
        <v>--</v>
      </c>
      <c r="K797" s="43" t="str">
        <f>IFERROR(ABS(F797/VLOOKUP(2*$B797,$B798:F831,5,TRUE)),"--")</f>
        <v>--</v>
      </c>
      <c r="L797" s="43" t="str">
        <f>IFERROR(ABS(G797/VLOOKUP(2*$B797,$B798:G831,6,TRUE)),"--")</f>
        <v>--</v>
      </c>
      <c r="M797" s="38">
        <f>IF(AND(1+$Q$6&gt;H797,1-$Q$6&lt;H797,1+$Q$6&gt;I797,1-$Q$6&lt;I797,1+$Q$6&gt;J797,1-$Q$6&lt;J797,1+$Q$6&gt;K797,1-$Q$6&lt;K797,1+$Q$6&gt;L797,1-$Q$6&lt;L797),IF(SUM($M$2:M796)=0,1,0),0)</f>
        <v>0</v>
      </c>
      <c r="N797" s="38">
        <f>IF(AND(1+$Q$7&gt;H797,1-$Q$7&lt;H797,1+$Q$7&gt;I797,1-$Q$7&lt;I797,1+$Q$7&gt;J797,1-$Q$7&lt;J797,1+$Q$7&gt;K797,1-$Q$7&lt;K797,1+$Q$7&gt;L797,1-$Q$7&lt;L797),IF(SUM($N$2:N796)=0,1,0),0)</f>
        <v>0</v>
      </c>
      <c r="O797" s="34">
        <f t="shared" si="12"/>
        <v>0</v>
      </c>
    </row>
    <row r="798" spans="8:15" ht="20.100000000000001" customHeight="1" x14ac:dyDescent="0.25">
      <c r="H798" s="43" t="str">
        <f>IFERROR(ABS(C798/VLOOKUP(2*$B798,$B799:C832,2,TRUE)),"--")</f>
        <v>--</v>
      </c>
      <c r="I798" s="43" t="str">
        <f>IFERROR(ABS(D798/VLOOKUP(2*$B798,$B799:D832,3,TRUE)),"--")</f>
        <v>--</v>
      </c>
      <c r="J798" s="43" t="str">
        <f>IFERROR(ABS(E798/VLOOKUP(2*$B798,$B799:E832,4,TRUE)),"--")</f>
        <v>--</v>
      </c>
      <c r="K798" s="43" t="str">
        <f>IFERROR(ABS(F798/VLOOKUP(2*$B798,$B799:F832,5,TRUE)),"--")</f>
        <v>--</v>
      </c>
      <c r="L798" s="43" t="str">
        <f>IFERROR(ABS(G798/VLOOKUP(2*$B798,$B799:G832,6,TRUE)),"--")</f>
        <v>--</v>
      </c>
      <c r="M798" s="38">
        <f>IF(AND(1+$Q$6&gt;H798,1-$Q$6&lt;H798,1+$Q$6&gt;I798,1-$Q$6&lt;I798,1+$Q$6&gt;J798,1-$Q$6&lt;J798,1+$Q$6&gt;K798,1-$Q$6&lt;K798,1+$Q$6&gt;L798,1-$Q$6&lt;L798),IF(SUM($M$2:M797)=0,1,0),0)</f>
        <v>0</v>
      </c>
      <c r="N798" s="38">
        <f>IF(AND(1+$Q$7&gt;H798,1-$Q$7&lt;H798,1+$Q$7&gt;I798,1-$Q$7&lt;I798,1+$Q$7&gt;J798,1-$Q$7&lt;J798,1+$Q$7&gt;K798,1-$Q$7&lt;K798,1+$Q$7&gt;L798,1-$Q$7&lt;L798),IF(SUM($N$2:N797)=0,1,0),0)</f>
        <v>0</v>
      </c>
      <c r="O798" s="34">
        <f t="shared" si="12"/>
        <v>0</v>
      </c>
    </row>
    <row r="799" spans="8:15" ht="20.100000000000001" customHeight="1" x14ac:dyDescent="0.25">
      <c r="H799" s="43" t="str">
        <f>IFERROR(ABS(C799/VLOOKUP(2*$B799,$B800:C833,2,TRUE)),"--")</f>
        <v>--</v>
      </c>
      <c r="I799" s="43" t="str">
        <f>IFERROR(ABS(D799/VLOOKUP(2*$B799,$B800:D833,3,TRUE)),"--")</f>
        <v>--</v>
      </c>
      <c r="J799" s="43" t="str">
        <f>IFERROR(ABS(E799/VLOOKUP(2*$B799,$B800:E833,4,TRUE)),"--")</f>
        <v>--</v>
      </c>
      <c r="K799" s="43" t="str">
        <f>IFERROR(ABS(F799/VLOOKUP(2*$B799,$B800:F833,5,TRUE)),"--")</f>
        <v>--</v>
      </c>
      <c r="L799" s="43" t="str">
        <f>IFERROR(ABS(G799/VLOOKUP(2*$B799,$B800:G833,6,TRUE)),"--")</f>
        <v>--</v>
      </c>
      <c r="M799" s="38">
        <f>IF(AND(1+$Q$6&gt;H799,1-$Q$6&lt;H799,1+$Q$6&gt;I799,1-$Q$6&lt;I799,1+$Q$6&gt;J799,1-$Q$6&lt;J799,1+$Q$6&gt;K799,1-$Q$6&lt;K799,1+$Q$6&gt;L799,1-$Q$6&lt;L799),IF(SUM($M$2:M798)=0,1,0),0)</f>
        <v>0</v>
      </c>
      <c r="N799" s="38">
        <f>IF(AND(1+$Q$7&gt;H799,1-$Q$7&lt;H799,1+$Q$7&gt;I799,1-$Q$7&lt;I799,1+$Q$7&gt;J799,1-$Q$7&lt;J799,1+$Q$7&gt;K799,1-$Q$7&lt;K799,1+$Q$7&gt;L799,1-$Q$7&lt;L799),IF(SUM($N$2:N798)=0,1,0),0)</f>
        <v>0</v>
      </c>
      <c r="O799" s="34">
        <f t="shared" si="12"/>
        <v>0</v>
      </c>
    </row>
    <row r="800" spans="8:15" ht="20.100000000000001" customHeight="1" x14ac:dyDescent="0.25">
      <c r="H800" s="43" t="str">
        <f>IFERROR(ABS(C800/VLOOKUP(2*$B800,$B801:C834,2,TRUE)),"--")</f>
        <v>--</v>
      </c>
      <c r="I800" s="43" t="str">
        <f>IFERROR(ABS(D800/VLOOKUP(2*$B800,$B801:D834,3,TRUE)),"--")</f>
        <v>--</v>
      </c>
      <c r="J800" s="43" t="str">
        <f>IFERROR(ABS(E800/VLOOKUP(2*$B800,$B801:E834,4,TRUE)),"--")</f>
        <v>--</v>
      </c>
      <c r="K800" s="43" t="str">
        <f>IFERROR(ABS(F800/VLOOKUP(2*$B800,$B801:F834,5,TRUE)),"--")</f>
        <v>--</v>
      </c>
      <c r="L800" s="43" t="str">
        <f>IFERROR(ABS(G800/VLOOKUP(2*$B800,$B801:G834,6,TRUE)),"--")</f>
        <v>--</v>
      </c>
      <c r="M800" s="38">
        <f>IF(AND(1+$Q$6&gt;H800,1-$Q$6&lt;H800,1+$Q$6&gt;I800,1-$Q$6&lt;I800,1+$Q$6&gt;J800,1-$Q$6&lt;J800,1+$Q$6&gt;K800,1-$Q$6&lt;K800,1+$Q$6&gt;L800,1-$Q$6&lt;L800),IF(SUM($M$2:M799)=0,1,0),0)</f>
        <v>0</v>
      </c>
      <c r="N800" s="38">
        <f>IF(AND(1+$Q$7&gt;H800,1-$Q$7&lt;H800,1+$Q$7&gt;I800,1-$Q$7&lt;I800,1+$Q$7&gt;J800,1-$Q$7&lt;J800,1+$Q$7&gt;K800,1-$Q$7&lt;K800,1+$Q$7&gt;L800,1-$Q$7&lt;L800),IF(SUM($N$2:N799)=0,1,0),0)</f>
        <v>0</v>
      </c>
      <c r="O800" s="34">
        <f t="shared" si="12"/>
        <v>0</v>
      </c>
    </row>
    <row r="801" spans="8:15" ht="20.100000000000001" customHeight="1" x14ac:dyDescent="0.25">
      <c r="H801" s="43" t="str">
        <f>IFERROR(ABS(C801/VLOOKUP(2*$B801,$B802:C835,2,TRUE)),"--")</f>
        <v>--</v>
      </c>
      <c r="I801" s="43" t="str">
        <f>IFERROR(ABS(D801/VLOOKUP(2*$B801,$B802:D835,3,TRUE)),"--")</f>
        <v>--</v>
      </c>
      <c r="J801" s="43" t="str">
        <f>IFERROR(ABS(E801/VLOOKUP(2*$B801,$B802:E835,4,TRUE)),"--")</f>
        <v>--</v>
      </c>
      <c r="K801" s="43" t="str">
        <f>IFERROR(ABS(F801/VLOOKUP(2*$B801,$B802:F835,5,TRUE)),"--")</f>
        <v>--</v>
      </c>
      <c r="L801" s="43" t="str">
        <f>IFERROR(ABS(G801/VLOOKUP(2*$B801,$B802:G835,6,TRUE)),"--")</f>
        <v>--</v>
      </c>
      <c r="M801" s="38">
        <f>IF(AND(1+$Q$6&gt;H801,1-$Q$6&lt;H801,1+$Q$6&gt;I801,1-$Q$6&lt;I801,1+$Q$6&gt;J801,1-$Q$6&lt;J801,1+$Q$6&gt;K801,1-$Q$6&lt;K801,1+$Q$6&gt;L801,1-$Q$6&lt;L801),IF(SUM($M$2:M800)=0,1,0),0)</f>
        <v>0</v>
      </c>
      <c r="N801" s="38">
        <f>IF(AND(1+$Q$7&gt;H801,1-$Q$7&lt;H801,1+$Q$7&gt;I801,1-$Q$7&lt;I801,1+$Q$7&gt;J801,1-$Q$7&lt;J801,1+$Q$7&gt;K801,1-$Q$7&lt;K801,1+$Q$7&gt;L801,1-$Q$7&lt;L801),IF(SUM($N$2:N800)=0,1,0),0)</f>
        <v>0</v>
      </c>
      <c r="O801" s="34">
        <f t="shared" si="12"/>
        <v>0</v>
      </c>
    </row>
    <row r="802" spans="8:15" ht="20.100000000000001" customHeight="1" x14ac:dyDescent="0.25">
      <c r="H802" s="43" t="str">
        <f>IFERROR(ABS(C802/VLOOKUP(2*$B802,$B803:C836,2,TRUE)),"--")</f>
        <v>--</v>
      </c>
      <c r="I802" s="43" t="str">
        <f>IFERROR(ABS(D802/VLOOKUP(2*$B802,$B803:D836,3,TRUE)),"--")</f>
        <v>--</v>
      </c>
      <c r="J802" s="43" t="str">
        <f>IFERROR(ABS(E802/VLOOKUP(2*$B802,$B803:E836,4,TRUE)),"--")</f>
        <v>--</v>
      </c>
      <c r="K802" s="43" t="str">
        <f>IFERROR(ABS(F802/VLOOKUP(2*$B802,$B803:F836,5,TRUE)),"--")</f>
        <v>--</v>
      </c>
      <c r="L802" s="43" t="str">
        <f>IFERROR(ABS(G802/VLOOKUP(2*$B802,$B803:G836,6,TRUE)),"--")</f>
        <v>--</v>
      </c>
      <c r="M802" s="38">
        <f>IF(AND(1+$Q$6&gt;H802,1-$Q$6&lt;H802,1+$Q$6&gt;I802,1-$Q$6&lt;I802,1+$Q$6&gt;J802,1-$Q$6&lt;J802,1+$Q$6&gt;K802,1-$Q$6&lt;K802,1+$Q$6&gt;L802,1-$Q$6&lt;L802),IF(SUM($M$2:M801)=0,1,0),0)</f>
        <v>0</v>
      </c>
      <c r="N802" s="38">
        <f>IF(AND(1+$Q$7&gt;H802,1-$Q$7&lt;H802,1+$Q$7&gt;I802,1-$Q$7&lt;I802,1+$Q$7&gt;J802,1-$Q$7&lt;J802,1+$Q$7&gt;K802,1-$Q$7&lt;K802,1+$Q$7&gt;L802,1-$Q$7&lt;L802),IF(SUM($N$2:N801)=0,1,0),0)</f>
        <v>0</v>
      </c>
      <c r="O802" s="34">
        <f t="shared" si="12"/>
        <v>0</v>
      </c>
    </row>
    <row r="803" spans="8:15" ht="20.100000000000001" customHeight="1" x14ac:dyDescent="0.25">
      <c r="H803" s="43" t="str">
        <f>IFERROR(ABS(C803/VLOOKUP(2*$B803,$B804:C837,2,TRUE)),"--")</f>
        <v>--</v>
      </c>
      <c r="I803" s="43" t="str">
        <f>IFERROR(ABS(D803/VLOOKUP(2*$B803,$B804:D837,3,TRUE)),"--")</f>
        <v>--</v>
      </c>
      <c r="J803" s="43" t="str">
        <f>IFERROR(ABS(E803/VLOOKUP(2*$B803,$B804:E837,4,TRUE)),"--")</f>
        <v>--</v>
      </c>
      <c r="K803" s="43" t="str">
        <f>IFERROR(ABS(F803/VLOOKUP(2*$B803,$B804:F837,5,TRUE)),"--")</f>
        <v>--</v>
      </c>
      <c r="L803" s="43" t="str">
        <f>IFERROR(ABS(G803/VLOOKUP(2*$B803,$B804:G837,6,TRUE)),"--")</f>
        <v>--</v>
      </c>
      <c r="M803" s="38">
        <f>IF(AND(1+$Q$6&gt;H803,1-$Q$6&lt;H803,1+$Q$6&gt;I803,1-$Q$6&lt;I803,1+$Q$6&gt;J803,1-$Q$6&lt;J803,1+$Q$6&gt;K803,1-$Q$6&lt;K803,1+$Q$6&gt;L803,1-$Q$6&lt;L803),IF(SUM($M$2:M802)=0,1,0),0)</f>
        <v>0</v>
      </c>
      <c r="N803" s="38">
        <f>IF(AND(1+$Q$7&gt;H803,1-$Q$7&lt;H803,1+$Q$7&gt;I803,1-$Q$7&lt;I803,1+$Q$7&gt;J803,1-$Q$7&lt;J803,1+$Q$7&gt;K803,1-$Q$7&lt;K803,1+$Q$7&gt;L803,1-$Q$7&lt;L803),IF(SUM($N$2:N802)=0,1,0),0)</f>
        <v>0</v>
      </c>
      <c r="O803" s="34">
        <f t="shared" si="12"/>
        <v>0</v>
      </c>
    </row>
    <row r="804" spans="8:15" ht="20.100000000000001" customHeight="1" x14ac:dyDescent="0.25">
      <c r="H804" s="43" t="str">
        <f>IFERROR(ABS(C804/VLOOKUP(2*$B804,$B805:C838,2,TRUE)),"--")</f>
        <v>--</v>
      </c>
      <c r="I804" s="43" t="str">
        <f>IFERROR(ABS(D804/VLOOKUP(2*$B804,$B805:D838,3,TRUE)),"--")</f>
        <v>--</v>
      </c>
      <c r="J804" s="43" t="str">
        <f>IFERROR(ABS(E804/VLOOKUP(2*$B804,$B805:E838,4,TRUE)),"--")</f>
        <v>--</v>
      </c>
      <c r="K804" s="43" t="str">
        <f>IFERROR(ABS(F804/VLOOKUP(2*$B804,$B805:F838,5,TRUE)),"--")</f>
        <v>--</v>
      </c>
      <c r="L804" s="43" t="str">
        <f>IFERROR(ABS(G804/VLOOKUP(2*$B804,$B805:G838,6,TRUE)),"--")</f>
        <v>--</v>
      </c>
      <c r="M804" s="38">
        <f>IF(AND(1+$Q$6&gt;H804,1-$Q$6&lt;H804,1+$Q$6&gt;I804,1-$Q$6&lt;I804,1+$Q$6&gt;J804,1-$Q$6&lt;J804,1+$Q$6&gt;K804,1-$Q$6&lt;K804,1+$Q$6&gt;L804,1-$Q$6&lt;L804),IF(SUM($M$2:M803)=0,1,0),0)</f>
        <v>0</v>
      </c>
      <c r="N804" s="38">
        <f>IF(AND(1+$Q$7&gt;H804,1-$Q$7&lt;H804,1+$Q$7&gt;I804,1-$Q$7&lt;I804,1+$Q$7&gt;J804,1-$Q$7&lt;J804,1+$Q$7&gt;K804,1-$Q$7&lt;K804,1+$Q$7&gt;L804,1-$Q$7&lt;L804),IF(SUM($N$2:N803)=0,1,0),0)</f>
        <v>0</v>
      </c>
      <c r="O804" s="34">
        <f t="shared" si="12"/>
        <v>0</v>
      </c>
    </row>
    <row r="805" spans="8:15" ht="20.100000000000001" customHeight="1" x14ac:dyDescent="0.25">
      <c r="H805" s="43" t="str">
        <f>IFERROR(ABS(C805/VLOOKUP(2*$B805,$B806:C839,2,TRUE)),"--")</f>
        <v>--</v>
      </c>
      <c r="I805" s="43" t="str">
        <f>IFERROR(ABS(D805/VLOOKUP(2*$B805,$B806:D839,3,TRUE)),"--")</f>
        <v>--</v>
      </c>
      <c r="J805" s="43" t="str">
        <f>IFERROR(ABS(E805/VLOOKUP(2*$B805,$B806:E839,4,TRUE)),"--")</f>
        <v>--</v>
      </c>
      <c r="K805" s="43" t="str">
        <f>IFERROR(ABS(F805/VLOOKUP(2*$B805,$B806:F839,5,TRUE)),"--")</f>
        <v>--</v>
      </c>
      <c r="L805" s="43" t="str">
        <f>IFERROR(ABS(G805/VLOOKUP(2*$B805,$B806:G839,6,TRUE)),"--")</f>
        <v>--</v>
      </c>
      <c r="M805" s="38">
        <f>IF(AND(1+$Q$6&gt;H805,1-$Q$6&lt;H805,1+$Q$6&gt;I805,1-$Q$6&lt;I805,1+$Q$6&gt;J805,1-$Q$6&lt;J805,1+$Q$6&gt;K805,1-$Q$6&lt;K805,1+$Q$6&gt;L805,1-$Q$6&lt;L805),IF(SUM($M$2:M804)=0,1,0),0)</f>
        <v>0</v>
      </c>
      <c r="N805" s="38">
        <f>IF(AND(1+$Q$7&gt;H805,1-$Q$7&lt;H805,1+$Q$7&gt;I805,1-$Q$7&lt;I805,1+$Q$7&gt;J805,1-$Q$7&lt;J805,1+$Q$7&gt;K805,1-$Q$7&lt;K805,1+$Q$7&gt;L805,1-$Q$7&lt;L805),IF(SUM($N$2:N804)=0,1,0),0)</f>
        <v>0</v>
      </c>
      <c r="O805" s="34">
        <f t="shared" si="12"/>
        <v>0</v>
      </c>
    </row>
    <row r="806" spans="8:15" ht="20.100000000000001" customHeight="1" x14ac:dyDescent="0.25">
      <c r="H806" s="43" t="str">
        <f>IFERROR(ABS(C806/VLOOKUP(2*$B806,$B807:C840,2,TRUE)),"--")</f>
        <v>--</v>
      </c>
      <c r="I806" s="43" t="str">
        <f>IFERROR(ABS(D806/VLOOKUP(2*$B806,$B807:D840,3,TRUE)),"--")</f>
        <v>--</v>
      </c>
      <c r="J806" s="43" t="str">
        <f>IFERROR(ABS(E806/VLOOKUP(2*$B806,$B807:E840,4,TRUE)),"--")</f>
        <v>--</v>
      </c>
      <c r="K806" s="43" t="str">
        <f>IFERROR(ABS(F806/VLOOKUP(2*$B806,$B807:F840,5,TRUE)),"--")</f>
        <v>--</v>
      </c>
      <c r="L806" s="43" t="str">
        <f>IFERROR(ABS(G806/VLOOKUP(2*$B806,$B807:G840,6,TRUE)),"--")</f>
        <v>--</v>
      </c>
      <c r="M806" s="38">
        <f>IF(AND(1+$Q$6&gt;H806,1-$Q$6&lt;H806,1+$Q$6&gt;I806,1-$Q$6&lt;I806,1+$Q$6&gt;J806,1-$Q$6&lt;J806,1+$Q$6&gt;K806,1-$Q$6&lt;K806,1+$Q$6&gt;L806,1-$Q$6&lt;L806),IF(SUM($M$2:M805)=0,1,0),0)</f>
        <v>0</v>
      </c>
      <c r="N806" s="38">
        <f>IF(AND(1+$Q$7&gt;H806,1-$Q$7&lt;H806,1+$Q$7&gt;I806,1-$Q$7&lt;I806,1+$Q$7&gt;J806,1-$Q$7&lt;J806,1+$Q$7&gt;K806,1-$Q$7&lt;K806,1+$Q$7&gt;L806,1-$Q$7&lt;L806),IF(SUM($N$2:N805)=0,1,0),0)</f>
        <v>0</v>
      </c>
      <c r="O806" s="34">
        <f t="shared" si="12"/>
        <v>0</v>
      </c>
    </row>
    <row r="807" spans="8:15" ht="20.100000000000001" customHeight="1" x14ac:dyDescent="0.25">
      <c r="H807" s="43" t="str">
        <f>IFERROR(ABS(C807/VLOOKUP(2*$B807,$B808:C841,2,TRUE)),"--")</f>
        <v>--</v>
      </c>
      <c r="I807" s="43" t="str">
        <f>IFERROR(ABS(D807/VLOOKUP(2*$B807,$B808:D841,3,TRUE)),"--")</f>
        <v>--</v>
      </c>
      <c r="J807" s="43" t="str">
        <f>IFERROR(ABS(E807/VLOOKUP(2*$B807,$B808:E841,4,TRUE)),"--")</f>
        <v>--</v>
      </c>
      <c r="K807" s="43" t="str">
        <f>IFERROR(ABS(F807/VLOOKUP(2*$B807,$B808:F841,5,TRUE)),"--")</f>
        <v>--</v>
      </c>
      <c r="L807" s="43" t="str">
        <f>IFERROR(ABS(G807/VLOOKUP(2*$B807,$B808:G841,6,TRUE)),"--")</f>
        <v>--</v>
      </c>
      <c r="M807" s="38">
        <f>IF(AND(1+$Q$6&gt;H807,1-$Q$6&lt;H807,1+$Q$6&gt;I807,1-$Q$6&lt;I807,1+$Q$6&gt;J807,1-$Q$6&lt;J807,1+$Q$6&gt;K807,1-$Q$6&lt;K807,1+$Q$6&gt;L807,1-$Q$6&lt;L807),IF(SUM($M$2:M806)=0,1,0),0)</f>
        <v>0</v>
      </c>
      <c r="N807" s="38">
        <f>IF(AND(1+$Q$7&gt;H807,1-$Q$7&lt;H807,1+$Q$7&gt;I807,1-$Q$7&lt;I807,1+$Q$7&gt;J807,1-$Q$7&lt;J807,1+$Q$7&gt;K807,1-$Q$7&lt;K807,1+$Q$7&gt;L807,1-$Q$7&lt;L807),IF(SUM($N$2:N806)=0,1,0),0)</f>
        <v>0</v>
      </c>
      <c r="O807" s="34">
        <f t="shared" si="12"/>
        <v>0</v>
      </c>
    </row>
    <row r="808" spans="8:15" ht="20.100000000000001" customHeight="1" x14ac:dyDescent="0.25">
      <c r="H808" s="43" t="str">
        <f>IFERROR(ABS(C808/VLOOKUP(2*$B808,$B809:C842,2,TRUE)),"--")</f>
        <v>--</v>
      </c>
      <c r="I808" s="43" t="str">
        <f>IFERROR(ABS(D808/VLOOKUP(2*$B808,$B809:D842,3,TRUE)),"--")</f>
        <v>--</v>
      </c>
      <c r="J808" s="43" t="str">
        <f>IFERROR(ABS(E808/VLOOKUP(2*$B808,$B809:E842,4,TRUE)),"--")</f>
        <v>--</v>
      </c>
      <c r="K808" s="43" t="str">
        <f>IFERROR(ABS(F808/VLOOKUP(2*$B808,$B809:F842,5,TRUE)),"--")</f>
        <v>--</v>
      </c>
      <c r="L808" s="43" t="str">
        <f>IFERROR(ABS(G808/VLOOKUP(2*$B808,$B809:G842,6,TRUE)),"--")</f>
        <v>--</v>
      </c>
      <c r="M808" s="38">
        <f>IF(AND(1+$Q$6&gt;H808,1-$Q$6&lt;H808,1+$Q$6&gt;I808,1-$Q$6&lt;I808,1+$Q$6&gt;J808,1-$Q$6&lt;J808,1+$Q$6&gt;K808,1-$Q$6&lt;K808,1+$Q$6&gt;L808,1-$Q$6&lt;L808),IF(SUM($M$2:M807)=0,1,0),0)</f>
        <v>0</v>
      </c>
      <c r="N808" s="38">
        <f>IF(AND(1+$Q$7&gt;H808,1-$Q$7&lt;H808,1+$Q$7&gt;I808,1-$Q$7&lt;I808,1+$Q$7&gt;J808,1-$Q$7&lt;J808,1+$Q$7&gt;K808,1-$Q$7&lt;K808,1+$Q$7&gt;L808,1-$Q$7&lt;L808),IF(SUM($N$2:N807)=0,1,0),0)</f>
        <v>0</v>
      </c>
      <c r="O808" s="34">
        <f t="shared" si="12"/>
        <v>0</v>
      </c>
    </row>
    <row r="809" spans="8:15" ht="20.100000000000001" customHeight="1" x14ac:dyDescent="0.25">
      <c r="H809" s="43" t="str">
        <f>IFERROR(ABS(C809/VLOOKUP(2*$B809,$B810:C843,2,TRUE)),"--")</f>
        <v>--</v>
      </c>
      <c r="I809" s="43" t="str">
        <f>IFERROR(ABS(D809/VLOOKUP(2*$B809,$B810:D843,3,TRUE)),"--")</f>
        <v>--</v>
      </c>
      <c r="J809" s="43" t="str">
        <f>IFERROR(ABS(E809/VLOOKUP(2*$B809,$B810:E843,4,TRUE)),"--")</f>
        <v>--</v>
      </c>
      <c r="K809" s="43" t="str">
        <f>IFERROR(ABS(F809/VLOOKUP(2*$B809,$B810:F843,5,TRUE)),"--")</f>
        <v>--</v>
      </c>
      <c r="L809" s="43" t="str">
        <f>IFERROR(ABS(G809/VLOOKUP(2*$B809,$B810:G843,6,TRUE)),"--")</f>
        <v>--</v>
      </c>
      <c r="M809" s="38">
        <f>IF(AND(1+$Q$6&gt;H809,1-$Q$6&lt;H809,1+$Q$6&gt;I809,1-$Q$6&lt;I809,1+$Q$6&gt;J809,1-$Q$6&lt;J809,1+$Q$6&gt;K809,1-$Q$6&lt;K809,1+$Q$6&gt;L809,1-$Q$6&lt;L809),IF(SUM($M$2:M808)=0,1,0),0)</f>
        <v>0</v>
      </c>
      <c r="N809" s="38">
        <f>IF(AND(1+$Q$7&gt;H809,1-$Q$7&lt;H809,1+$Q$7&gt;I809,1-$Q$7&lt;I809,1+$Q$7&gt;J809,1-$Q$7&lt;J809,1+$Q$7&gt;K809,1-$Q$7&lt;K809,1+$Q$7&gt;L809,1-$Q$7&lt;L809),IF(SUM($N$2:N808)=0,1,0),0)</f>
        <v>0</v>
      </c>
      <c r="O809" s="34">
        <f t="shared" si="12"/>
        <v>0</v>
      </c>
    </row>
    <row r="810" spans="8:15" ht="20.100000000000001" customHeight="1" x14ac:dyDescent="0.25">
      <c r="H810" s="43" t="str">
        <f>IFERROR(ABS(C810/VLOOKUP(2*$B810,$B811:C844,2,TRUE)),"--")</f>
        <v>--</v>
      </c>
      <c r="I810" s="43" t="str">
        <f>IFERROR(ABS(D810/VLOOKUP(2*$B810,$B811:D844,3,TRUE)),"--")</f>
        <v>--</v>
      </c>
      <c r="J810" s="43" t="str">
        <f>IFERROR(ABS(E810/VLOOKUP(2*$B810,$B811:E844,4,TRUE)),"--")</f>
        <v>--</v>
      </c>
      <c r="K810" s="43" t="str">
        <f>IFERROR(ABS(F810/VLOOKUP(2*$B810,$B811:F844,5,TRUE)),"--")</f>
        <v>--</v>
      </c>
      <c r="L810" s="43" t="str">
        <f>IFERROR(ABS(G810/VLOOKUP(2*$B810,$B811:G844,6,TRUE)),"--")</f>
        <v>--</v>
      </c>
      <c r="M810" s="38">
        <f>IF(AND(1+$Q$6&gt;H810,1-$Q$6&lt;H810,1+$Q$6&gt;I810,1-$Q$6&lt;I810,1+$Q$6&gt;J810,1-$Q$6&lt;J810,1+$Q$6&gt;K810,1-$Q$6&lt;K810,1+$Q$6&gt;L810,1-$Q$6&lt;L810),IF(SUM($M$2:M809)=0,1,0),0)</f>
        <v>0</v>
      </c>
      <c r="N810" s="38">
        <f>IF(AND(1+$Q$7&gt;H810,1-$Q$7&lt;H810,1+$Q$7&gt;I810,1-$Q$7&lt;I810,1+$Q$7&gt;J810,1-$Q$7&lt;J810,1+$Q$7&gt;K810,1-$Q$7&lt;K810,1+$Q$7&gt;L810,1-$Q$7&lt;L810),IF(SUM($N$2:N809)=0,1,0),0)</f>
        <v>0</v>
      </c>
      <c r="O810" s="34">
        <f t="shared" si="12"/>
        <v>0</v>
      </c>
    </row>
    <row r="811" spans="8:15" ht="20.100000000000001" customHeight="1" x14ac:dyDescent="0.25">
      <c r="H811" s="43" t="str">
        <f>IFERROR(ABS(C811/VLOOKUP(2*$B811,$B812:C845,2,TRUE)),"--")</f>
        <v>--</v>
      </c>
      <c r="I811" s="43" t="str">
        <f>IFERROR(ABS(D811/VLOOKUP(2*$B811,$B812:D845,3,TRUE)),"--")</f>
        <v>--</v>
      </c>
      <c r="J811" s="43" t="str">
        <f>IFERROR(ABS(E811/VLOOKUP(2*$B811,$B812:E845,4,TRUE)),"--")</f>
        <v>--</v>
      </c>
      <c r="K811" s="43" t="str">
        <f>IFERROR(ABS(F811/VLOOKUP(2*$B811,$B812:F845,5,TRUE)),"--")</f>
        <v>--</v>
      </c>
      <c r="L811" s="43" t="str">
        <f>IFERROR(ABS(G811/VLOOKUP(2*$B811,$B812:G845,6,TRUE)),"--")</f>
        <v>--</v>
      </c>
      <c r="M811" s="38">
        <f>IF(AND(1+$Q$6&gt;H811,1-$Q$6&lt;H811,1+$Q$6&gt;I811,1-$Q$6&lt;I811,1+$Q$6&gt;J811,1-$Q$6&lt;J811,1+$Q$6&gt;K811,1-$Q$6&lt;K811,1+$Q$6&gt;L811,1-$Q$6&lt;L811),IF(SUM($M$2:M810)=0,1,0),0)</f>
        <v>0</v>
      </c>
      <c r="N811" s="38">
        <f>IF(AND(1+$Q$7&gt;H811,1-$Q$7&lt;H811,1+$Q$7&gt;I811,1-$Q$7&lt;I811,1+$Q$7&gt;J811,1-$Q$7&lt;J811,1+$Q$7&gt;K811,1-$Q$7&lt;K811,1+$Q$7&gt;L811,1-$Q$7&lt;L811),IF(SUM($N$2:N810)=0,1,0),0)</f>
        <v>0</v>
      </c>
      <c r="O811" s="34">
        <f t="shared" si="12"/>
        <v>0</v>
      </c>
    </row>
    <row r="812" spans="8:15" ht="20.100000000000001" customHeight="1" x14ac:dyDescent="0.25">
      <c r="H812" s="43" t="str">
        <f>IFERROR(ABS(C812/VLOOKUP(2*$B812,$B813:C846,2,TRUE)),"--")</f>
        <v>--</v>
      </c>
      <c r="I812" s="43" t="str">
        <f>IFERROR(ABS(D812/VLOOKUP(2*$B812,$B813:D846,3,TRUE)),"--")</f>
        <v>--</v>
      </c>
      <c r="J812" s="43" t="str">
        <f>IFERROR(ABS(E812/VLOOKUP(2*$B812,$B813:E846,4,TRUE)),"--")</f>
        <v>--</v>
      </c>
      <c r="K812" s="43" t="str">
        <f>IFERROR(ABS(F812/VLOOKUP(2*$B812,$B813:F846,5,TRUE)),"--")</f>
        <v>--</v>
      </c>
      <c r="L812" s="43" t="str">
        <f>IFERROR(ABS(G812/VLOOKUP(2*$B812,$B813:G846,6,TRUE)),"--")</f>
        <v>--</v>
      </c>
      <c r="M812" s="38">
        <f>IF(AND(1+$Q$6&gt;H812,1-$Q$6&lt;H812,1+$Q$6&gt;I812,1-$Q$6&lt;I812,1+$Q$6&gt;J812,1-$Q$6&lt;J812,1+$Q$6&gt;K812,1-$Q$6&lt;K812,1+$Q$6&gt;L812,1-$Q$6&lt;L812),IF(SUM($M$2:M811)=0,1,0),0)</f>
        <v>0</v>
      </c>
      <c r="N812" s="38">
        <f>IF(AND(1+$Q$7&gt;H812,1-$Q$7&lt;H812,1+$Q$7&gt;I812,1-$Q$7&lt;I812,1+$Q$7&gt;J812,1-$Q$7&lt;J812,1+$Q$7&gt;K812,1-$Q$7&lt;K812,1+$Q$7&gt;L812,1-$Q$7&lt;L812),IF(SUM($N$2:N811)=0,1,0),0)</f>
        <v>0</v>
      </c>
      <c r="O812" s="34">
        <f t="shared" si="12"/>
        <v>0</v>
      </c>
    </row>
    <row r="813" spans="8:15" ht="20.100000000000001" customHeight="1" x14ac:dyDescent="0.25">
      <c r="H813" s="43" t="str">
        <f>IFERROR(ABS(C813/VLOOKUP(2*$B813,$B814:C847,2,TRUE)),"--")</f>
        <v>--</v>
      </c>
      <c r="I813" s="43" t="str">
        <f>IFERROR(ABS(D813/VLOOKUP(2*$B813,$B814:D847,3,TRUE)),"--")</f>
        <v>--</v>
      </c>
      <c r="J813" s="43" t="str">
        <f>IFERROR(ABS(E813/VLOOKUP(2*$B813,$B814:E847,4,TRUE)),"--")</f>
        <v>--</v>
      </c>
      <c r="K813" s="43" t="str">
        <f>IFERROR(ABS(F813/VLOOKUP(2*$B813,$B814:F847,5,TRUE)),"--")</f>
        <v>--</v>
      </c>
      <c r="L813" s="43" t="str">
        <f>IFERROR(ABS(G813/VLOOKUP(2*$B813,$B814:G847,6,TRUE)),"--")</f>
        <v>--</v>
      </c>
      <c r="M813" s="38">
        <f>IF(AND(1+$Q$6&gt;H813,1-$Q$6&lt;H813,1+$Q$6&gt;I813,1-$Q$6&lt;I813,1+$Q$6&gt;J813,1-$Q$6&lt;J813,1+$Q$6&gt;K813,1-$Q$6&lt;K813,1+$Q$6&gt;L813,1-$Q$6&lt;L813),IF(SUM($M$2:M812)=0,1,0),0)</f>
        <v>0</v>
      </c>
      <c r="N813" s="38">
        <f>IF(AND(1+$Q$7&gt;H813,1-$Q$7&lt;H813,1+$Q$7&gt;I813,1-$Q$7&lt;I813,1+$Q$7&gt;J813,1-$Q$7&lt;J813,1+$Q$7&gt;K813,1-$Q$7&lt;K813,1+$Q$7&gt;L813,1-$Q$7&lt;L813),IF(SUM($N$2:N812)=0,1,0),0)</f>
        <v>0</v>
      </c>
      <c r="O813" s="34">
        <f t="shared" si="12"/>
        <v>0</v>
      </c>
    </row>
    <row r="814" spans="8:15" ht="20.100000000000001" customHeight="1" x14ac:dyDescent="0.25">
      <c r="H814" s="43" t="str">
        <f>IFERROR(ABS(C814/VLOOKUP(2*$B814,$B815:C848,2,TRUE)),"--")</f>
        <v>--</v>
      </c>
      <c r="I814" s="43" t="str">
        <f>IFERROR(ABS(D814/VLOOKUP(2*$B814,$B815:D848,3,TRUE)),"--")</f>
        <v>--</v>
      </c>
      <c r="J814" s="43" t="str">
        <f>IFERROR(ABS(E814/VLOOKUP(2*$B814,$B815:E848,4,TRUE)),"--")</f>
        <v>--</v>
      </c>
      <c r="K814" s="43" t="str">
        <f>IFERROR(ABS(F814/VLOOKUP(2*$B814,$B815:F848,5,TRUE)),"--")</f>
        <v>--</v>
      </c>
      <c r="L814" s="43" t="str">
        <f>IFERROR(ABS(G814/VLOOKUP(2*$B814,$B815:G848,6,TRUE)),"--")</f>
        <v>--</v>
      </c>
      <c r="M814" s="38">
        <f>IF(AND(1+$Q$6&gt;H814,1-$Q$6&lt;H814,1+$Q$6&gt;I814,1-$Q$6&lt;I814,1+$Q$6&gt;J814,1-$Q$6&lt;J814,1+$Q$6&gt;K814,1-$Q$6&lt;K814,1+$Q$6&gt;L814,1-$Q$6&lt;L814),IF(SUM($M$2:M813)=0,1,0),0)</f>
        <v>0</v>
      </c>
      <c r="N814" s="38">
        <f>IF(AND(1+$Q$7&gt;H814,1-$Q$7&lt;H814,1+$Q$7&gt;I814,1-$Q$7&lt;I814,1+$Q$7&gt;J814,1-$Q$7&lt;J814,1+$Q$7&gt;K814,1-$Q$7&lt;K814,1+$Q$7&gt;L814,1-$Q$7&lt;L814),IF(SUM($N$2:N813)=0,1,0),0)</f>
        <v>0</v>
      </c>
      <c r="O814" s="34">
        <f t="shared" si="12"/>
        <v>0</v>
      </c>
    </row>
    <row r="815" spans="8:15" ht="20.100000000000001" customHeight="1" x14ac:dyDescent="0.25">
      <c r="H815" s="43" t="str">
        <f>IFERROR(ABS(C815/VLOOKUP(2*$B815,$B816:C849,2,TRUE)),"--")</f>
        <v>--</v>
      </c>
      <c r="I815" s="43" t="str">
        <f>IFERROR(ABS(D815/VLOOKUP(2*$B815,$B816:D849,3,TRUE)),"--")</f>
        <v>--</v>
      </c>
      <c r="J815" s="43" t="str">
        <f>IFERROR(ABS(E815/VLOOKUP(2*$B815,$B816:E849,4,TRUE)),"--")</f>
        <v>--</v>
      </c>
      <c r="K815" s="43" t="str">
        <f>IFERROR(ABS(F815/VLOOKUP(2*$B815,$B816:F849,5,TRUE)),"--")</f>
        <v>--</v>
      </c>
      <c r="L815" s="43" t="str">
        <f>IFERROR(ABS(G815/VLOOKUP(2*$B815,$B816:G849,6,TRUE)),"--")</f>
        <v>--</v>
      </c>
      <c r="M815" s="38">
        <f>IF(AND(1+$Q$6&gt;H815,1-$Q$6&lt;H815,1+$Q$6&gt;I815,1-$Q$6&lt;I815,1+$Q$6&gt;J815,1-$Q$6&lt;J815,1+$Q$6&gt;K815,1-$Q$6&lt;K815,1+$Q$6&gt;L815,1-$Q$6&lt;L815),IF(SUM($M$2:M814)=0,1,0),0)</f>
        <v>0</v>
      </c>
      <c r="N815" s="38">
        <f>IF(AND(1+$Q$7&gt;H815,1-$Q$7&lt;H815,1+$Q$7&gt;I815,1-$Q$7&lt;I815,1+$Q$7&gt;J815,1-$Q$7&lt;J815,1+$Q$7&gt;K815,1-$Q$7&lt;K815,1+$Q$7&gt;L815,1-$Q$7&lt;L815),IF(SUM($N$2:N814)=0,1,0),0)</f>
        <v>0</v>
      </c>
      <c r="O815" s="34">
        <f t="shared" si="12"/>
        <v>0</v>
      </c>
    </row>
    <row r="816" spans="8:15" ht="20.100000000000001" customHeight="1" x14ac:dyDescent="0.25">
      <c r="H816" s="43" t="str">
        <f>IFERROR(ABS(C816/VLOOKUP(2*$B816,$B817:C850,2,TRUE)),"--")</f>
        <v>--</v>
      </c>
      <c r="I816" s="43" t="str">
        <f>IFERROR(ABS(D816/VLOOKUP(2*$B816,$B817:D850,3,TRUE)),"--")</f>
        <v>--</v>
      </c>
      <c r="J816" s="43" t="str">
        <f>IFERROR(ABS(E816/VLOOKUP(2*$B816,$B817:E850,4,TRUE)),"--")</f>
        <v>--</v>
      </c>
      <c r="K816" s="43" t="str">
        <f>IFERROR(ABS(F816/VLOOKUP(2*$B816,$B817:F850,5,TRUE)),"--")</f>
        <v>--</v>
      </c>
      <c r="L816" s="43" t="str">
        <f>IFERROR(ABS(G816/VLOOKUP(2*$B816,$B817:G850,6,TRUE)),"--")</f>
        <v>--</v>
      </c>
      <c r="M816" s="38">
        <f>IF(AND(1+$Q$6&gt;H816,1-$Q$6&lt;H816,1+$Q$6&gt;I816,1-$Q$6&lt;I816,1+$Q$6&gt;J816,1-$Q$6&lt;J816,1+$Q$6&gt;K816,1-$Q$6&lt;K816,1+$Q$6&gt;L816,1-$Q$6&lt;L816),IF(SUM($M$2:M815)=0,1,0),0)</f>
        <v>0</v>
      </c>
      <c r="N816" s="38">
        <f>IF(AND(1+$Q$7&gt;H816,1-$Q$7&lt;H816,1+$Q$7&gt;I816,1-$Q$7&lt;I816,1+$Q$7&gt;J816,1-$Q$7&lt;J816,1+$Q$7&gt;K816,1-$Q$7&lt;K816,1+$Q$7&gt;L816,1-$Q$7&lt;L816),IF(SUM($N$2:N815)=0,1,0),0)</f>
        <v>0</v>
      </c>
      <c r="O816" s="34">
        <f t="shared" si="12"/>
        <v>0</v>
      </c>
    </row>
    <row r="817" spans="8:15" ht="20.100000000000001" customHeight="1" x14ac:dyDescent="0.25">
      <c r="H817" s="43" t="str">
        <f>IFERROR(ABS(C817/VLOOKUP(2*$B817,$B818:C851,2,TRUE)),"--")</f>
        <v>--</v>
      </c>
      <c r="I817" s="43" t="str">
        <f>IFERROR(ABS(D817/VLOOKUP(2*$B817,$B818:D851,3,TRUE)),"--")</f>
        <v>--</v>
      </c>
      <c r="J817" s="43" t="str">
        <f>IFERROR(ABS(E817/VLOOKUP(2*$B817,$B818:E851,4,TRUE)),"--")</f>
        <v>--</v>
      </c>
      <c r="K817" s="43" t="str">
        <f>IFERROR(ABS(F817/VLOOKUP(2*$B817,$B818:F851,5,TRUE)),"--")</f>
        <v>--</v>
      </c>
      <c r="L817" s="43" t="str">
        <f>IFERROR(ABS(G817/VLOOKUP(2*$B817,$B818:G851,6,TRUE)),"--")</f>
        <v>--</v>
      </c>
      <c r="M817" s="38">
        <f>IF(AND(1+$Q$6&gt;H817,1-$Q$6&lt;H817,1+$Q$6&gt;I817,1-$Q$6&lt;I817,1+$Q$6&gt;J817,1-$Q$6&lt;J817,1+$Q$6&gt;K817,1-$Q$6&lt;K817,1+$Q$6&gt;L817,1-$Q$6&lt;L817),IF(SUM($M$2:M816)=0,1,0),0)</f>
        <v>0</v>
      </c>
      <c r="N817" s="38">
        <f>IF(AND(1+$Q$7&gt;H817,1-$Q$7&lt;H817,1+$Q$7&gt;I817,1-$Q$7&lt;I817,1+$Q$7&gt;J817,1-$Q$7&lt;J817,1+$Q$7&gt;K817,1-$Q$7&lt;K817,1+$Q$7&gt;L817,1-$Q$7&lt;L817),IF(SUM($N$2:N816)=0,1,0),0)</f>
        <v>0</v>
      </c>
      <c r="O817" s="34">
        <f t="shared" si="12"/>
        <v>0</v>
      </c>
    </row>
    <row r="818" spans="8:15" ht="20.100000000000001" customHeight="1" x14ac:dyDescent="0.25">
      <c r="H818" s="43" t="str">
        <f>IFERROR(ABS(C818/VLOOKUP(2*$B818,$B819:C852,2,TRUE)),"--")</f>
        <v>--</v>
      </c>
      <c r="I818" s="43" t="str">
        <f>IFERROR(ABS(D818/VLOOKUP(2*$B818,$B819:D852,3,TRUE)),"--")</f>
        <v>--</v>
      </c>
      <c r="J818" s="43" t="str">
        <f>IFERROR(ABS(E818/VLOOKUP(2*$B818,$B819:E852,4,TRUE)),"--")</f>
        <v>--</v>
      </c>
      <c r="K818" s="43" t="str">
        <f>IFERROR(ABS(F818/VLOOKUP(2*$B818,$B819:F852,5,TRUE)),"--")</f>
        <v>--</v>
      </c>
      <c r="L818" s="43" t="str">
        <f>IFERROR(ABS(G818/VLOOKUP(2*$B818,$B819:G852,6,TRUE)),"--")</f>
        <v>--</v>
      </c>
      <c r="M818" s="38">
        <f>IF(AND(1+$Q$6&gt;H818,1-$Q$6&lt;H818,1+$Q$6&gt;I818,1-$Q$6&lt;I818,1+$Q$6&gt;J818,1-$Q$6&lt;J818,1+$Q$6&gt;K818,1-$Q$6&lt;K818,1+$Q$6&gt;L818,1-$Q$6&lt;L818),IF(SUM($M$2:M817)=0,1,0),0)</f>
        <v>0</v>
      </c>
      <c r="N818" s="38">
        <f>IF(AND(1+$Q$7&gt;H818,1-$Q$7&lt;H818,1+$Q$7&gt;I818,1-$Q$7&lt;I818,1+$Q$7&gt;J818,1-$Q$7&lt;J818,1+$Q$7&gt;K818,1-$Q$7&lt;K818,1+$Q$7&gt;L818,1-$Q$7&lt;L818),IF(SUM($N$2:N817)=0,1,0),0)</f>
        <v>0</v>
      </c>
      <c r="O818" s="34">
        <f t="shared" si="12"/>
        <v>0</v>
      </c>
    </row>
    <row r="819" spans="8:15" ht="20.100000000000001" customHeight="1" x14ac:dyDescent="0.25">
      <c r="H819" s="43" t="str">
        <f>IFERROR(ABS(C819/VLOOKUP(2*$B819,$B820:C853,2,TRUE)),"--")</f>
        <v>--</v>
      </c>
      <c r="I819" s="43" t="str">
        <f>IFERROR(ABS(D819/VLOOKUP(2*$B819,$B820:D853,3,TRUE)),"--")</f>
        <v>--</v>
      </c>
      <c r="J819" s="43" t="str">
        <f>IFERROR(ABS(E819/VLOOKUP(2*$B819,$B820:E853,4,TRUE)),"--")</f>
        <v>--</v>
      </c>
      <c r="K819" s="43" t="str">
        <f>IFERROR(ABS(F819/VLOOKUP(2*$B819,$B820:F853,5,TRUE)),"--")</f>
        <v>--</v>
      </c>
      <c r="L819" s="43" t="str">
        <f>IFERROR(ABS(G819/VLOOKUP(2*$B819,$B820:G853,6,TRUE)),"--")</f>
        <v>--</v>
      </c>
      <c r="M819" s="38">
        <f>IF(AND(1+$Q$6&gt;H819,1-$Q$6&lt;H819,1+$Q$6&gt;I819,1-$Q$6&lt;I819,1+$Q$6&gt;J819,1-$Q$6&lt;J819,1+$Q$6&gt;K819,1-$Q$6&lt;K819,1+$Q$6&gt;L819,1-$Q$6&lt;L819),IF(SUM($M$2:M818)=0,1,0),0)</f>
        <v>0</v>
      </c>
      <c r="N819" s="38">
        <f>IF(AND(1+$Q$7&gt;H819,1-$Q$7&lt;H819,1+$Q$7&gt;I819,1-$Q$7&lt;I819,1+$Q$7&gt;J819,1-$Q$7&lt;J819,1+$Q$7&gt;K819,1-$Q$7&lt;K819,1+$Q$7&gt;L819,1-$Q$7&lt;L819),IF(SUM($N$2:N818)=0,1,0),0)</f>
        <v>0</v>
      </c>
      <c r="O819" s="34">
        <f t="shared" si="12"/>
        <v>0</v>
      </c>
    </row>
    <row r="820" spans="8:15" ht="20.100000000000001" customHeight="1" x14ac:dyDescent="0.25">
      <c r="H820" s="43" t="str">
        <f>IFERROR(ABS(C820/VLOOKUP(2*$B820,$B821:C854,2,TRUE)),"--")</f>
        <v>--</v>
      </c>
      <c r="I820" s="43" t="str">
        <f>IFERROR(ABS(D820/VLOOKUP(2*$B820,$B821:D854,3,TRUE)),"--")</f>
        <v>--</v>
      </c>
      <c r="J820" s="43" t="str">
        <f>IFERROR(ABS(E820/VLOOKUP(2*$B820,$B821:E854,4,TRUE)),"--")</f>
        <v>--</v>
      </c>
      <c r="K820" s="43" t="str">
        <f>IFERROR(ABS(F820/VLOOKUP(2*$B820,$B821:F854,5,TRUE)),"--")</f>
        <v>--</v>
      </c>
      <c r="L820" s="43" t="str">
        <f>IFERROR(ABS(G820/VLOOKUP(2*$B820,$B821:G854,6,TRUE)),"--")</f>
        <v>--</v>
      </c>
      <c r="M820" s="38">
        <f>IF(AND(1+$Q$6&gt;H820,1-$Q$6&lt;H820,1+$Q$6&gt;I820,1-$Q$6&lt;I820,1+$Q$6&gt;J820,1-$Q$6&lt;J820,1+$Q$6&gt;K820,1-$Q$6&lt;K820,1+$Q$6&gt;L820,1-$Q$6&lt;L820),IF(SUM($M$2:M819)=0,1,0),0)</f>
        <v>0</v>
      </c>
      <c r="N820" s="38">
        <f>IF(AND(1+$Q$7&gt;H820,1-$Q$7&lt;H820,1+$Q$7&gt;I820,1-$Q$7&lt;I820,1+$Q$7&gt;J820,1-$Q$7&lt;J820,1+$Q$7&gt;K820,1-$Q$7&lt;K820,1+$Q$7&gt;L820,1-$Q$7&lt;L820),IF(SUM($N$2:N819)=0,1,0),0)</f>
        <v>0</v>
      </c>
      <c r="O820" s="34">
        <f t="shared" si="12"/>
        <v>0</v>
      </c>
    </row>
    <row r="821" spans="8:15" ht="20.100000000000001" customHeight="1" x14ac:dyDescent="0.25">
      <c r="H821" s="43" t="str">
        <f>IFERROR(ABS(C821/VLOOKUP(2*$B821,$B822:C855,2,TRUE)),"--")</f>
        <v>--</v>
      </c>
      <c r="I821" s="43" t="str">
        <f>IFERROR(ABS(D821/VLOOKUP(2*$B821,$B822:D855,3,TRUE)),"--")</f>
        <v>--</v>
      </c>
      <c r="J821" s="43" t="str">
        <f>IFERROR(ABS(E821/VLOOKUP(2*$B821,$B822:E855,4,TRUE)),"--")</f>
        <v>--</v>
      </c>
      <c r="K821" s="43" t="str">
        <f>IFERROR(ABS(F821/VLOOKUP(2*$B821,$B822:F855,5,TRUE)),"--")</f>
        <v>--</v>
      </c>
      <c r="L821" s="43" t="str">
        <f>IFERROR(ABS(G821/VLOOKUP(2*$B821,$B822:G855,6,TRUE)),"--")</f>
        <v>--</v>
      </c>
      <c r="M821" s="38">
        <f>IF(AND(1+$Q$6&gt;H821,1-$Q$6&lt;H821,1+$Q$6&gt;I821,1-$Q$6&lt;I821,1+$Q$6&gt;J821,1-$Q$6&lt;J821,1+$Q$6&gt;K821,1-$Q$6&lt;K821,1+$Q$6&gt;L821,1-$Q$6&lt;L821),IF(SUM($M$2:M820)=0,1,0),0)</f>
        <v>0</v>
      </c>
      <c r="N821" s="38">
        <f>IF(AND(1+$Q$7&gt;H821,1-$Q$7&lt;H821,1+$Q$7&gt;I821,1-$Q$7&lt;I821,1+$Q$7&gt;J821,1-$Q$7&lt;J821,1+$Q$7&gt;K821,1-$Q$7&lt;K821,1+$Q$7&gt;L821,1-$Q$7&lt;L821),IF(SUM($N$2:N820)=0,1,0),0)</f>
        <v>0</v>
      </c>
      <c r="O821" s="34">
        <f t="shared" si="12"/>
        <v>0</v>
      </c>
    </row>
    <row r="822" spans="8:15" ht="20.100000000000001" customHeight="1" x14ac:dyDescent="0.25">
      <c r="H822" s="43" t="str">
        <f>IFERROR(ABS(C822/VLOOKUP(2*$B822,$B823:C856,2,TRUE)),"--")</f>
        <v>--</v>
      </c>
      <c r="I822" s="43" t="str">
        <f>IFERROR(ABS(D822/VLOOKUP(2*$B822,$B823:D856,3,TRUE)),"--")</f>
        <v>--</v>
      </c>
      <c r="J822" s="43" t="str">
        <f>IFERROR(ABS(E822/VLOOKUP(2*$B822,$B823:E856,4,TRUE)),"--")</f>
        <v>--</v>
      </c>
      <c r="K822" s="43" t="str">
        <f>IFERROR(ABS(F822/VLOOKUP(2*$B822,$B823:F856,5,TRUE)),"--")</f>
        <v>--</v>
      </c>
      <c r="L822" s="43" t="str">
        <f>IFERROR(ABS(G822/VLOOKUP(2*$B822,$B823:G856,6,TRUE)),"--")</f>
        <v>--</v>
      </c>
      <c r="M822" s="38">
        <f>IF(AND(1+$Q$6&gt;H822,1-$Q$6&lt;H822,1+$Q$6&gt;I822,1-$Q$6&lt;I822,1+$Q$6&gt;J822,1-$Q$6&lt;J822,1+$Q$6&gt;K822,1-$Q$6&lt;K822,1+$Q$6&gt;L822,1-$Q$6&lt;L822),IF(SUM($M$2:M821)=0,1,0),0)</f>
        <v>0</v>
      </c>
      <c r="N822" s="38">
        <f>IF(AND(1+$Q$7&gt;H822,1-$Q$7&lt;H822,1+$Q$7&gt;I822,1-$Q$7&lt;I822,1+$Q$7&gt;J822,1-$Q$7&lt;J822,1+$Q$7&gt;K822,1-$Q$7&lt;K822,1+$Q$7&gt;L822,1-$Q$7&lt;L822),IF(SUM($N$2:N821)=0,1,0),0)</f>
        <v>0</v>
      </c>
      <c r="O822" s="34">
        <f t="shared" si="12"/>
        <v>0</v>
      </c>
    </row>
    <row r="823" spans="8:15" ht="20.100000000000001" customHeight="1" x14ac:dyDescent="0.25">
      <c r="H823" s="43" t="str">
        <f>IFERROR(ABS(C823/VLOOKUP(2*$B823,$B824:C857,2,TRUE)),"--")</f>
        <v>--</v>
      </c>
      <c r="I823" s="43" t="str">
        <f>IFERROR(ABS(D823/VLOOKUP(2*$B823,$B824:D857,3,TRUE)),"--")</f>
        <v>--</v>
      </c>
      <c r="J823" s="43" t="str">
        <f>IFERROR(ABS(E823/VLOOKUP(2*$B823,$B824:E857,4,TRUE)),"--")</f>
        <v>--</v>
      </c>
      <c r="K823" s="43" t="str">
        <f>IFERROR(ABS(F823/VLOOKUP(2*$B823,$B824:F857,5,TRUE)),"--")</f>
        <v>--</v>
      </c>
      <c r="L823" s="43" t="str">
        <f>IFERROR(ABS(G823/VLOOKUP(2*$B823,$B824:G857,6,TRUE)),"--")</f>
        <v>--</v>
      </c>
      <c r="M823" s="38">
        <f>IF(AND(1+$Q$6&gt;H823,1-$Q$6&lt;H823,1+$Q$6&gt;I823,1-$Q$6&lt;I823,1+$Q$6&gt;J823,1-$Q$6&lt;J823,1+$Q$6&gt;K823,1-$Q$6&lt;K823,1+$Q$6&gt;L823,1-$Q$6&lt;L823),IF(SUM($M$2:M822)=0,1,0),0)</f>
        <v>0</v>
      </c>
      <c r="N823" s="38">
        <f>IF(AND(1+$Q$7&gt;H823,1-$Q$7&lt;H823,1+$Q$7&gt;I823,1-$Q$7&lt;I823,1+$Q$7&gt;J823,1-$Q$7&lt;J823,1+$Q$7&gt;K823,1-$Q$7&lt;K823,1+$Q$7&gt;L823,1-$Q$7&lt;L823),IF(SUM($N$2:N822)=0,1,0),0)</f>
        <v>0</v>
      </c>
      <c r="O823" s="34">
        <f t="shared" si="12"/>
        <v>0</v>
      </c>
    </row>
    <row r="824" spans="8:15" ht="20.100000000000001" customHeight="1" x14ac:dyDescent="0.25">
      <c r="H824" s="43" t="str">
        <f>IFERROR(ABS(C824/VLOOKUP(2*$B824,$B825:C858,2,TRUE)),"--")</f>
        <v>--</v>
      </c>
      <c r="I824" s="43" t="str">
        <f>IFERROR(ABS(D824/VLOOKUP(2*$B824,$B825:D858,3,TRUE)),"--")</f>
        <v>--</v>
      </c>
      <c r="J824" s="43" t="str">
        <f>IFERROR(ABS(E824/VLOOKUP(2*$B824,$B825:E858,4,TRUE)),"--")</f>
        <v>--</v>
      </c>
      <c r="K824" s="43" t="str">
        <f>IFERROR(ABS(F824/VLOOKUP(2*$B824,$B825:F858,5,TRUE)),"--")</f>
        <v>--</v>
      </c>
      <c r="L824" s="43" t="str">
        <f>IFERROR(ABS(G824/VLOOKUP(2*$B824,$B825:G858,6,TRUE)),"--")</f>
        <v>--</v>
      </c>
      <c r="M824" s="38">
        <f>IF(AND(1+$Q$6&gt;H824,1-$Q$6&lt;H824,1+$Q$6&gt;I824,1-$Q$6&lt;I824,1+$Q$6&gt;J824,1-$Q$6&lt;J824,1+$Q$6&gt;K824,1-$Q$6&lt;K824,1+$Q$6&gt;L824,1-$Q$6&lt;L824),IF(SUM($M$2:M823)=0,1,0),0)</f>
        <v>0</v>
      </c>
      <c r="N824" s="38">
        <f>IF(AND(1+$Q$7&gt;H824,1-$Q$7&lt;H824,1+$Q$7&gt;I824,1-$Q$7&lt;I824,1+$Q$7&gt;J824,1-$Q$7&lt;J824,1+$Q$7&gt;K824,1-$Q$7&lt;K824,1+$Q$7&gt;L824,1-$Q$7&lt;L824),IF(SUM($N$2:N823)=0,1,0),0)</f>
        <v>0</v>
      </c>
      <c r="O824" s="34">
        <f t="shared" si="12"/>
        <v>0</v>
      </c>
    </row>
    <row r="825" spans="8:15" ht="20.100000000000001" customHeight="1" x14ac:dyDescent="0.25">
      <c r="H825" s="43" t="str">
        <f>IFERROR(ABS(C825/VLOOKUP(2*$B825,$B826:C859,2,TRUE)),"--")</f>
        <v>--</v>
      </c>
      <c r="I825" s="43" t="str">
        <f>IFERROR(ABS(D825/VLOOKUP(2*$B825,$B826:D859,3,TRUE)),"--")</f>
        <v>--</v>
      </c>
      <c r="J825" s="43" t="str">
        <f>IFERROR(ABS(E825/VLOOKUP(2*$B825,$B826:E859,4,TRUE)),"--")</f>
        <v>--</v>
      </c>
      <c r="K825" s="43" t="str">
        <f>IFERROR(ABS(F825/VLOOKUP(2*$B825,$B826:F859,5,TRUE)),"--")</f>
        <v>--</v>
      </c>
      <c r="L825" s="43" t="str">
        <f>IFERROR(ABS(G825/VLOOKUP(2*$B825,$B826:G859,6,TRUE)),"--")</f>
        <v>--</v>
      </c>
      <c r="M825" s="38">
        <f>IF(AND(1+$Q$6&gt;H825,1-$Q$6&lt;H825,1+$Q$6&gt;I825,1-$Q$6&lt;I825,1+$Q$6&gt;J825,1-$Q$6&lt;J825,1+$Q$6&gt;K825,1-$Q$6&lt;K825,1+$Q$6&gt;L825,1-$Q$6&lt;L825),IF(SUM($M$2:M824)=0,1,0),0)</f>
        <v>0</v>
      </c>
      <c r="N825" s="38">
        <f>IF(AND(1+$Q$7&gt;H825,1-$Q$7&lt;H825,1+$Q$7&gt;I825,1-$Q$7&lt;I825,1+$Q$7&gt;J825,1-$Q$7&lt;J825,1+$Q$7&gt;K825,1-$Q$7&lt;K825,1+$Q$7&gt;L825,1-$Q$7&lt;L825),IF(SUM($N$2:N824)=0,1,0),0)</f>
        <v>0</v>
      </c>
      <c r="O825" s="34">
        <f t="shared" si="12"/>
        <v>0</v>
      </c>
    </row>
    <row r="826" spans="8:15" ht="20.100000000000001" customHeight="1" x14ac:dyDescent="0.25">
      <c r="H826" s="43" t="str">
        <f>IFERROR(ABS(C826/VLOOKUP(2*$B826,$B827:C860,2,TRUE)),"--")</f>
        <v>--</v>
      </c>
      <c r="I826" s="43" t="str">
        <f>IFERROR(ABS(D826/VLOOKUP(2*$B826,$B827:D860,3,TRUE)),"--")</f>
        <v>--</v>
      </c>
      <c r="J826" s="43" t="str">
        <f>IFERROR(ABS(E826/VLOOKUP(2*$B826,$B827:E860,4,TRUE)),"--")</f>
        <v>--</v>
      </c>
      <c r="K826" s="43" t="str">
        <f>IFERROR(ABS(F826/VLOOKUP(2*$B826,$B827:F860,5,TRUE)),"--")</f>
        <v>--</v>
      </c>
      <c r="L826" s="43" t="str">
        <f>IFERROR(ABS(G826/VLOOKUP(2*$B826,$B827:G860,6,TRUE)),"--")</f>
        <v>--</v>
      </c>
      <c r="M826" s="38">
        <f>IF(AND(1+$Q$6&gt;H826,1-$Q$6&lt;H826,1+$Q$6&gt;I826,1-$Q$6&lt;I826,1+$Q$6&gt;J826,1-$Q$6&lt;J826,1+$Q$6&gt;K826,1-$Q$6&lt;K826,1+$Q$6&gt;L826,1-$Q$6&lt;L826),IF(SUM($M$2:M825)=0,1,0),0)</f>
        <v>0</v>
      </c>
      <c r="N826" s="38">
        <f>IF(AND(1+$Q$7&gt;H826,1-$Q$7&lt;H826,1+$Q$7&gt;I826,1-$Q$7&lt;I826,1+$Q$7&gt;J826,1-$Q$7&lt;J826,1+$Q$7&gt;K826,1-$Q$7&lt;K826,1+$Q$7&gt;L826,1-$Q$7&lt;L826),IF(SUM($N$2:N825)=0,1,0),0)</f>
        <v>0</v>
      </c>
      <c r="O826" s="34">
        <f t="shared" si="12"/>
        <v>0</v>
      </c>
    </row>
    <row r="827" spans="8:15" ht="20.100000000000001" customHeight="1" x14ac:dyDescent="0.25">
      <c r="H827" s="43" t="str">
        <f>IFERROR(ABS(C827/VLOOKUP(2*$B827,$B828:C861,2,TRUE)),"--")</f>
        <v>--</v>
      </c>
      <c r="I827" s="43" t="str">
        <f>IFERROR(ABS(D827/VLOOKUP(2*$B827,$B828:D861,3,TRUE)),"--")</f>
        <v>--</v>
      </c>
      <c r="J827" s="43" t="str">
        <f>IFERROR(ABS(E827/VLOOKUP(2*$B827,$B828:E861,4,TRUE)),"--")</f>
        <v>--</v>
      </c>
      <c r="K827" s="43" t="str">
        <f>IFERROR(ABS(F827/VLOOKUP(2*$B827,$B828:F861,5,TRUE)),"--")</f>
        <v>--</v>
      </c>
      <c r="L827" s="43" t="str">
        <f>IFERROR(ABS(G827/VLOOKUP(2*$B827,$B828:G861,6,TRUE)),"--")</f>
        <v>--</v>
      </c>
      <c r="M827" s="38">
        <f>IF(AND(1+$Q$6&gt;H827,1-$Q$6&lt;H827,1+$Q$6&gt;I827,1-$Q$6&lt;I827,1+$Q$6&gt;J827,1-$Q$6&lt;J827,1+$Q$6&gt;K827,1-$Q$6&lt;K827,1+$Q$6&gt;L827,1-$Q$6&lt;L827),IF(SUM($M$2:M826)=0,1,0),0)</f>
        <v>0</v>
      </c>
      <c r="N827" s="38">
        <f>IF(AND(1+$Q$7&gt;H827,1-$Q$7&lt;H827,1+$Q$7&gt;I827,1-$Q$7&lt;I827,1+$Q$7&gt;J827,1-$Q$7&lt;J827,1+$Q$7&gt;K827,1-$Q$7&lt;K827,1+$Q$7&gt;L827,1-$Q$7&lt;L827),IF(SUM($N$2:N826)=0,1,0),0)</f>
        <v>0</v>
      </c>
      <c r="O827" s="34">
        <f t="shared" si="12"/>
        <v>0</v>
      </c>
    </row>
    <row r="828" spans="8:15" ht="20.100000000000001" customHeight="1" x14ac:dyDescent="0.25">
      <c r="H828" s="43" t="str">
        <f>IFERROR(ABS(C828/VLOOKUP(2*$B828,$B829:C862,2,TRUE)),"--")</f>
        <v>--</v>
      </c>
      <c r="I828" s="43" t="str">
        <f>IFERROR(ABS(D828/VLOOKUP(2*$B828,$B829:D862,3,TRUE)),"--")</f>
        <v>--</v>
      </c>
      <c r="J828" s="43" t="str">
        <f>IFERROR(ABS(E828/VLOOKUP(2*$B828,$B829:E862,4,TRUE)),"--")</f>
        <v>--</v>
      </c>
      <c r="K828" s="43" t="str">
        <f>IFERROR(ABS(F828/VLOOKUP(2*$B828,$B829:F862,5,TRUE)),"--")</f>
        <v>--</v>
      </c>
      <c r="L828" s="43" t="str">
        <f>IFERROR(ABS(G828/VLOOKUP(2*$B828,$B829:G862,6,TRUE)),"--")</f>
        <v>--</v>
      </c>
      <c r="M828" s="38">
        <f>IF(AND(1+$Q$6&gt;H828,1-$Q$6&lt;H828,1+$Q$6&gt;I828,1-$Q$6&lt;I828,1+$Q$6&gt;J828,1-$Q$6&lt;J828,1+$Q$6&gt;K828,1-$Q$6&lt;K828,1+$Q$6&gt;L828,1-$Q$6&lt;L828),IF(SUM($M$2:M827)=0,1,0),0)</f>
        <v>0</v>
      </c>
      <c r="N828" s="38">
        <f>IF(AND(1+$Q$7&gt;H828,1-$Q$7&lt;H828,1+$Q$7&gt;I828,1-$Q$7&lt;I828,1+$Q$7&gt;J828,1-$Q$7&lt;J828,1+$Q$7&gt;K828,1-$Q$7&lt;K828,1+$Q$7&gt;L828,1-$Q$7&lt;L828),IF(SUM($N$2:N827)=0,1,0),0)</f>
        <v>0</v>
      </c>
      <c r="O828" s="34">
        <f t="shared" si="12"/>
        <v>0</v>
      </c>
    </row>
    <row r="829" spans="8:15" ht="20.100000000000001" customHeight="1" x14ac:dyDescent="0.25">
      <c r="H829" s="43" t="str">
        <f>IFERROR(ABS(C829/VLOOKUP(2*$B829,$B830:C863,2,TRUE)),"--")</f>
        <v>--</v>
      </c>
      <c r="I829" s="43" t="str">
        <f>IFERROR(ABS(D829/VLOOKUP(2*$B829,$B830:D863,3,TRUE)),"--")</f>
        <v>--</v>
      </c>
      <c r="J829" s="43" t="str">
        <f>IFERROR(ABS(E829/VLOOKUP(2*$B829,$B830:E863,4,TRUE)),"--")</f>
        <v>--</v>
      </c>
      <c r="K829" s="43" t="str">
        <f>IFERROR(ABS(F829/VLOOKUP(2*$B829,$B830:F863,5,TRUE)),"--")</f>
        <v>--</v>
      </c>
      <c r="L829" s="43" t="str">
        <f>IFERROR(ABS(G829/VLOOKUP(2*$B829,$B830:G863,6,TRUE)),"--")</f>
        <v>--</v>
      </c>
      <c r="M829" s="38">
        <f>IF(AND(1+$Q$6&gt;H829,1-$Q$6&lt;H829,1+$Q$6&gt;I829,1-$Q$6&lt;I829,1+$Q$6&gt;J829,1-$Q$6&lt;J829,1+$Q$6&gt;K829,1-$Q$6&lt;K829,1+$Q$6&gt;L829,1-$Q$6&lt;L829),IF(SUM($M$2:M828)=0,1,0),0)</f>
        <v>0</v>
      </c>
      <c r="N829" s="38">
        <f>IF(AND(1+$Q$7&gt;H829,1-$Q$7&lt;H829,1+$Q$7&gt;I829,1-$Q$7&lt;I829,1+$Q$7&gt;J829,1-$Q$7&lt;J829,1+$Q$7&gt;K829,1-$Q$7&lt;K829,1+$Q$7&gt;L829,1-$Q$7&lt;L829),IF(SUM($N$2:N828)=0,1,0),0)</f>
        <v>0</v>
      </c>
      <c r="O829" s="34">
        <f t="shared" si="12"/>
        <v>0</v>
      </c>
    </row>
    <row r="830" spans="8:15" ht="20.100000000000001" customHeight="1" x14ac:dyDescent="0.25">
      <c r="H830" s="43" t="str">
        <f>IFERROR(ABS(C830/VLOOKUP(2*$B830,$B831:C864,2,TRUE)),"--")</f>
        <v>--</v>
      </c>
      <c r="I830" s="43" t="str">
        <f>IFERROR(ABS(D830/VLOOKUP(2*$B830,$B831:D864,3,TRUE)),"--")</f>
        <v>--</v>
      </c>
      <c r="J830" s="43" t="str">
        <f>IFERROR(ABS(E830/VLOOKUP(2*$B830,$B831:E864,4,TRUE)),"--")</f>
        <v>--</v>
      </c>
      <c r="K830" s="43" t="str">
        <f>IFERROR(ABS(F830/VLOOKUP(2*$B830,$B831:F864,5,TRUE)),"--")</f>
        <v>--</v>
      </c>
      <c r="L830" s="43" t="str">
        <f>IFERROR(ABS(G830/VLOOKUP(2*$B830,$B831:G864,6,TRUE)),"--")</f>
        <v>--</v>
      </c>
      <c r="M830" s="38">
        <f>IF(AND(1+$Q$6&gt;H830,1-$Q$6&lt;H830,1+$Q$6&gt;I830,1-$Q$6&lt;I830,1+$Q$6&gt;J830,1-$Q$6&lt;J830,1+$Q$6&gt;K830,1-$Q$6&lt;K830,1+$Q$6&gt;L830,1-$Q$6&lt;L830),IF(SUM($M$2:M829)=0,1,0),0)</f>
        <v>0</v>
      </c>
      <c r="N830" s="38">
        <f>IF(AND(1+$Q$7&gt;H830,1-$Q$7&lt;H830,1+$Q$7&gt;I830,1-$Q$7&lt;I830,1+$Q$7&gt;J830,1-$Q$7&lt;J830,1+$Q$7&gt;K830,1-$Q$7&lt;K830,1+$Q$7&gt;L830,1-$Q$7&lt;L830),IF(SUM($N$2:N829)=0,1,0),0)</f>
        <v>0</v>
      </c>
      <c r="O830" s="34">
        <f t="shared" si="12"/>
        <v>0</v>
      </c>
    </row>
    <row r="831" spans="8:15" ht="20.100000000000001" customHeight="1" x14ac:dyDescent="0.25">
      <c r="H831" s="43" t="str">
        <f>IFERROR(ABS(C831/VLOOKUP(2*$B831,$B832:C865,2,TRUE)),"--")</f>
        <v>--</v>
      </c>
      <c r="I831" s="43" t="str">
        <f>IFERROR(ABS(D831/VLOOKUP(2*$B831,$B832:D865,3,TRUE)),"--")</f>
        <v>--</v>
      </c>
      <c r="J831" s="43" t="str">
        <f>IFERROR(ABS(E831/VLOOKUP(2*$B831,$B832:E865,4,TRUE)),"--")</f>
        <v>--</v>
      </c>
      <c r="K831" s="43" t="str">
        <f>IFERROR(ABS(F831/VLOOKUP(2*$B831,$B832:F865,5,TRUE)),"--")</f>
        <v>--</v>
      </c>
      <c r="L831" s="43" t="str">
        <f>IFERROR(ABS(G831/VLOOKUP(2*$B831,$B832:G865,6,TRUE)),"--")</f>
        <v>--</v>
      </c>
      <c r="M831" s="38">
        <f>IF(AND(1+$Q$6&gt;H831,1-$Q$6&lt;H831,1+$Q$6&gt;I831,1-$Q$6&lt;I831,1+$Q$6&gt;J831,1-$Q$6&lt;J831,1+$Q$6&gt;K831,1-$Q$6&lt;K831,1+$Q$6&gt;L831,1-$Q$6&lt;L831),IF(SUM($M$2:M830)=0,1,0),0)</f>
        <v>0</v>
      </c>
      <c r="N831" s="38">
        <f>IF(AND(1+$Q$7&gt;H831,1-$Q$7&lt;H831,1+$Q$7&gt;I831,1-$Q$7&lt;I831,1+$Q$7&gt;J831,1-$Q$7&lt;J831,1+$Q$7&gt;K831,1-$Q$7&lt;K831,1+$Q$7&gt;L831,1-$Q$7&lt;L831),IF(SUM($N$2:N830)=0,1,0),0)</f>
        <v>0</v>
      </c>
      <c r="O831" s="34">
        <f t="shared" si="12"/>
        <v>0</v>
      </c>
    </row>
    <row r="832" spans="8:15" ht="20.100000000000001" customHeight="1" x14ac:dyDescent="0.25">
      <c r="H832" s="43" t="str">
        <f>IFERROR(ABS(C832/VLOOKUP(2*$B832,$B833:C866,2,TRUE)),"--")</f>
        <v>--</v>
      </c>
      <c r="I832" s="43" t="str">
        <f>IFERROR(ABS(D832/VLOOKUP(2*$B832,$B833:D866,3,TRUE)),"--")</f>
        <v>--</v>
      </c>
      <c r="J832" s="43" t="str">
        <f>IFERROR(ABS(E832/VLOOKUP(2*$B832,$B833:E866,4,TRUE)),"--")</f>
        <v>--</v>
      </c>
      <c r="K832" s="43" t="str">
        <f>IFERROR(ABS(F832/VLOOKUP(2*$B832,$B833:F866,5,TRUE)),"--")</f>
        <v>--</v>
      </c>
      <c r="L832" s="43" t="str">
        <f>IFERROR(ABS(G832/VLOOKUP(2*$B832,$B833:G866,6,TRUE)),"--")</f>
        <v>--</v>
      </c>
      <c r="M832" s="38">
        <f>IF(AND(1+$Q$6&gt;H832,1-$Q$6&lt;H832,1+$Q$6&gt;I832,1-$Q$6&lt;I832,1+$Q$6&gt;J832,1-$Q$6&lt;J832,1+$Q$6&gt;K832,1-$Q$6&lt;K832,1+$Q$6&gt;L832,1-$Q$6&lt;L832),IF(SUM($M$2:M831)=0,1,0),0)</f>
        <v>0</v>
      </c>
      <c r="N832" s="38">
        <f>IF(AND(1+$Q$7&gt;H832,1-$Q$7&lt;H832,1+$Q$7&gt;I832,1-$Q$7&lt;I832,1+$Q$7&gt;J832,1-$Q$7&lt;J832,1+$Q$7&gt;K832,1-$Q$7&lt;K832,1+$Q$7&gt;L832,1-$Q$7&lt;L832),IF(SUM($N$2:N831)=0,1,0),0)</f>
        <v>0</v>
      </c>
      <c r="O832" s="34">
        <f t="shared" si="12"/>
        <v>0</v>
      </c>
    </row>
    <row r="833" spans="8:15" ht="20.100000000000001" customHeight="1" x14ac:dyDescent="0.25">
      <c r="H833" s="43" t="str">
        <f>IFERROR(ABS(C833/VLOOKUP(2*$B833,$B834:C867,2,TRUE)),"--")</f>
        <v>--</v>
      </c>
      <c r="I833" s="43" t="str">
        <f>IFERROR(ABS(D833/VLOOKUP(2*$B833,$B834:D867,3,TRUE)),"--")</f>
        <v>--</v>
      </c>
      <c r="J833" s="43" t="str">
        <f>IFERROR(ABS(E833/VLOOKUP(2*$B833,$B834:E867,4,TRUE)),"--")</f>
        <v>--</v>
      </c>
      <c r="K833" s="43" t="str">
        <f>IFERROR(ABS(F833/VLOOKUP(2*$B833,$B834:F867,5,TRUE)),"--")</f>
        <v>--</v>
      </c>
      <c r="L833" s="43" t="str">
        <f>IFERROR(ABS(G833/VLOOKUP(2*$B833,$B834:G867,6,TRUE)),"--")</f>
        <v>--</v>
      </c>
      <c r="M833" s="38">
        <f>IF(AND(1+$Q$6&gt;H833,1-$Q$6&lt;H833,1+$Q$6&gt;I833,1-$Q$6&lt;I833,1+$Q$6&gt;J833,1-$Q$6&lt;J833,1+$Q$6&gt;K833,1-$Q$6&lt;K833,1+$Q$6&gt;L833,1-$Q$6&lt;L833),IF(SUM($M$2:M832)=0,1,0),0)</f>
        <v>0</v>
      </c>
      <c r="N833" s="38">
        <f>IF(AND(1+$Q$7&gt;H833,1-$Q$7&lt;H833,1+$Q$7&gt;I833,1-$Q$7&lt;I833,1+$Q$7&gt;J833,1-$Q$7&lt;J833,1+$Q$7&gt;K833,1-$Q$7&lt;K833,1+$Q$7&gt;L833,1-$Q$7&lt;L833),IF(SUM($N$2:N832)=0,1,0),0)</f>
        <v>0</v>
      </c>
      <c r="O833" s="34">
        <f t="shared" si="12"/>
        <v>0</v>
      </c>
    </row>
    <row r="834" spans="8:15" ht="20.100000000000001" customHeight="1" x14ac:dyDescent="0.25">
      <c r="H834" s="43" t="str">
        <f>IFERROR(ABS(C834/VLOOKUP(2*$B834,$B835:C868,2,TRUE)),"--")</f>
        <v>--</v>
      </c>
      <c r="I834" s="43" t="str">
        <f>IFERROR(ABS(D834/VLOOKUP(2*$B834,$B835:D868,3,TRUE)),"--")</f>
        <v>--</v>
      </c>
      <c r="J834" s="43" t="str">
        <f>IFERROR(ABS(E834/VLOOKUP(2*$B834,$B835:E868,4,TRUE)),"--")</f>
        <v>--</v>
      </c>
      <c r="K834" s="43" t="str">
        <f>IFERROR(ABS(F834/VLOOKUP(2*$B834,$B835:F868,5,TRUE)),"--")</f>
        <v>--</v>
      </c>
      <c r="L834" s="43" t="str">
        <f>IFERROR(ABS(G834/VLOOKUP(2*$B834,$B835:G868,6,TRUE)),"--")</f>
        <v>--</v>
      </c>
      <c r="M834" s="38">
        <f>IF(AND(1+$Q$6&gt;H834,1-$Q$6&lt;H834,1+$Q$6&gt;I834,1-$Q$6&lt;I834,1+$Q$6&gt;J834,1-$Q$6&lt;J834,1+$Q$6&gt;K834,1-$Q$6&lt;K834,1+$Q$6&gt;L834,1-$Q$6&lt;L834),IF(SUM($M$2:M833)=0,1,0),0)</f>
        <v>0</v>
      </c>
      <c r="N834" s="38">
        <f>IF(AND(1+$Q$7&gt;H834,1-$Q$7&lt;H834,1+$Q$7&gt;I834,1-$Q$7&lt;I834,1+$Q$7&gt;J834,1-$Q$7&lt;J834,1+$Q$7&gt;K834,1-$Q$7&lt;K834,1+$Q$7&gt;L834,1-$Q$7&lt;L834),IF(SUM($N$2:N833)=0,1,0),0)</f>
        <v>0</v>
      </c>
      <c r="O834" s="34">
        <f t="shared" si="12"/>
        <v>0</v>
      </c>
    </row>
    <row r="835" spans="8:15" ht="20.100000000000001" customHeight="1" x14ac:dyDescent="0.25">
      <c r="H835" s="43" t="str">
        <f>IFERROR(ABS(C835/VLOOKUP(2*$B835,$B836:C869,2,TRUE)),"--")</f>
        <v>--</v>
      </c>
      <c r="I835" s="43" t="str">
        <f>IFERROR(ABS(D835/VLOOKUP(2*$B835,$B836:D869,3,TRUE)),"--")</f>
        <v>--</v>
      </c>
      <c r="J835" s="43" t="str">
        <f>IFERROR(ABS(E835/VLOOKUP(2*$B835,$B836:E869,4,TRUE)),"--")</f>
        <v>--</v>
      </c>
      <c r="K835" s="43" t="str">
        <f>IFERROR(ABS(F835/VLOOKUP(2*$B835,$B836:F869,5,TRUE)),"--")</f>
        <v>--</v>
      </c>
      <c r="L835" s="43" t="str">
        <f>IFERROR(ABS(G835/VLOOKUP(2*$B835,$B836:G869,6,TRUE)),"--")</f>
        <v>--</v>
      </c>
      <c r="M835" s="38">
        <f>IF(AND(1+$Q$6&gt;H835,1-$Q$6&lt;H835,1+$Q$6&gt;I835,1-$Q$6&lt;I835,1+$Q$6&gt;J835,1-$Q$6&lt;J835,1+$Q$6&gt;K835,1-$Q$6&lt;K835,1+$Q$6&gt;L835,1-$Q$6&lt;L835),IF(SUM($M$2:M834)=0,1,0),0)</f>
        <v>0</v>
      </c>
      <c r="N835" s="38">
        <f>IF(AND(1+$Q$7&gt;H835,1-$Q$7&lt;H835,1+$Q$7&gt;I835,1-$Q$7&lt;I835,1+$Q$7&gt;J835,1-$Q$7&lt;J835,1+$Q$7&gt;K835,1-$Q$7&lt;K835,1+$Q$7&gt;L835,1-$Q$7&lt;L835),IF(SUM($N$2:N834)=0,1,0),0)</f>
        <v>0</v>
      </c>
      <c r="O835" s="34">
        <f t="shared" ref="O835:O898" si="13">A835</f>
        <v>0</v>
      </c>
    </row>
    <row r="836" spans="8:15" ht="20.100000000000001" customHeight="1" x14ac:dyDescent="0.25">
      <c r="H836" s="43" t="str">
        <f>IFERROR(ABS(C836/VLOOKUP(2*$B836,$B837:C870,2,TRUE)),"--")</f>
        <v>--</v>
      </c>
      <c r="I836" s="43" t="str">
        <f>IFERROR(ABS(D836/VLOOKUP(2*$B836,$B837:D870,3,TRUE)),"--")</f>
        <v>--</v>
      </c>
      <c r="J836" s="43" t="str">
        <f>IFERROR(ABS(E836/VLOOKUP(2*$B836,$B837:E870,4,TRUE)),"--")</f>
        <v>--</v>
      </c>
      <c r="K836" s="43" t="str">
        <f>IFERROR(ABS(F836/VLOOKUP(2*$B836,$B837:F870,5,TRUE)),"--")</f>
        <v>--</v>
      </c>
      <c r="L836" s="43" t="str">
        <f>IFERROR(ABS(G836/VLOOKUP(2*$B836,$B837:G870,6,TRUE)),"--")</f>
        <v>--</v>
      </c>
      <c r="M836" s="38">
        <f>IF(AND(1+$Q$6&gt;H836,1-$Q$6&lt;H836,1+$Q$6&gt;I836,1-$Q$6&lt;I836,1+$Q$6&gt;J836,1-$Q$6&lt;J836,1+$Q$6&gt;K836,1-$Q$6&lt;K836,1+$Q$6&gt;L836,1-$Q$6&lt;L836),IF(SUM($M$2:M835)=0,1,0),0)</f>
        <v>0</v>
      </c>
      <c r="N836" s="38">
        <f>IF(AND(1+$Q$7&gt;H836,1-$Q$7&lt;H836,1+$Q$7&gt;I836,1-$Q$7&lt;I836,1+$Q$7&gt;J836,1-$Q$7&lt;J836,1+$Q$7&gt;K836,1-$Q$7&lt;K836,1+$Q$7&gt;L836,1-$Q$7&lt;L836),IF(SUM($N$2:N835)=0,1,0),0)</f>
        <v>0</v>
      </c>
      <c r="O836" s="34">
        <f t="shared" si="13"/>
        <v>0</v>
      </c>
    </row>
    <row r="837" spans="8:15" ht="20.100000000000001" customHeight="1" x14ac:dyDescent="0.25">
      <c r="H837" s="43" t="str">
        <f>IFERROR(ABS(C837/VLOOKUP(2*$B837,$B838:C871,2,TRUE)),"--")</f>
        <v>--</v>
      </c>
      <c r="I837" s="43" t="str">
        <f>IFERROR(ABS(D837/VLOOKUP(2*$B837,$B838:D871,3,TRUE)),"--")</f>
        <v>--</v>
      </c>
      <c r="J837" s="43" t="str">
        <f>IFERROR(ABS(E837/VLOOKUP(2*$B837,$B838:E871,4,TRUE)),"--")</f>
        <v>--</v>
      </c>
      <c r="K837" s="43" t="str">
        <f>IFERROR(ABS(F837/VLOOKUP(2*$B837,$B838:F871,5,TRUE)),"--")</f>
        <v>--</v>
      </c>
      <c r="L837" s="43" t="str">
        <f>IFERROR(ABS(G837/VLOOKUP(2*$B837,$B838:G871,6,TRUE)),"--")</f>
        <v>--</v>
      </c>
      <c r="M837" s="38">
        <f>IF(AND(1+$Q$6&gt;H837,1-$Q$6&lt;H837,1+$Q$6&gt;I837,1-$Q$6&lt;I837,1+$Q$6&gt;J837,1-$Q$6&lt;J837,1+$Q$6&gt;K837,1-$Q$6&lt;K837,1+$Q$6&gt;L837,1-$Q$6&lt;L837),IF(SUM($M$2:M836)=0,1,0),0)</f>
        <v>0</v>
      </c>
      <c r="N837" s="38">
        <f>IF(AND(1+$Q$7&gt;H837,1-$Q$7&lt;H837,1+$Q$7&gt;I837,1-$Q$7&lt;I837,1+$Q$7&gt;J837,1-$Q$7&lt;J837,1+$Q$7&gt;K837,1-$Q$7&lt;K837,1+$Q$7&gt;L837,1-$Q$7&lt;L837),IF(SUM($N$2:N836)=0,1,0),0)</f>
        <v>0</v>
      </c>
      <c r="O837" s="34">
        <f t="shared" si="13"/>
        <v>0</v>
      </c>
    </row>
    <row r="838" spans="8:15" ht="20.100000000000001" customHeight="1" x14ac:dyDescent="0.25">
      <c r="H838" s="43" t="str">
        <f>IFERROR(ABS(C838/VLOOKUP(2*$B838,$B839:C872,2,TRUE)),"--")</f>
        <v>--</v>
      </c>
      <c r="I838" s="43" t="str">
        <f>IFERROR(ABS(D838/VLOOKUP(2*$B838,$B839:D872,3,TRUE)),"--")</f>
        <v>--</v>
      </c>
      <c r="J838" s="43" t="str">
        <f>IFERROR(ABS(E838/VLOOKUP(2*$B838,$B839:E872,4,TRUE)),"--")</f>
        <v>--</v>
      </c>
      <c r="K838" s="43" t="str">
        <f>IFERROR(ABS(F838/VLOOKUP(2*$B838,$B839:F872,5,TRUE)),"--")</f>
        <v>--</v>
      </c>
      <c r="L838" s="43" t="str">
        <f>IFERROR(ABS(G838/VLOOKUP(2*$B838,$B839:G872,6,TRUE)),"--")</f>
        <v>--</v>
      </c>
      <c r="M838" s="38">
        <f>IF(AND(1+$Q$6&gt;H838,1-$Q$6&lt;H838,1+$Q$6&gt;I838,1-$Q$6&lt;I838,1+$Q$6&gt;J838,1-$Q$6&lt;J838,1+$Q$6&gt;K838,1-$Q$6&lt;K838,1+$Q$6&gt;L838,1-$Q$6&lt;L838),IF(SUM($M$2:M837)=0,1,0),0)</f>
        <v>0</v>
      </c>
      <c r="N838" s="38">
        <f>IF(AND(1+$Q$7&gt;H838,1-$Q$7&lt;H838,1+$Q$7&gt;I838,1-$Q$7&lt;I838,1+$Q$7&gt;J838,1-$Q$7&lt;J838,1+$Q$7&gt;K838,1-$Q$7&lt;K838,1+$Q$7&gt;L838,1-$Q$7&lt;L838),IF(SUM($N$2:N837)=0,1,0),0)</f>
        <v>0</v>
      </c>
      <c r="O838" s="34">
        <f t="shared" si="13"/>
        <v>0</v>
      </c>
    </row>
    <row r="839" spans="8:15" ht="20.100000000000001" customHeight="1" x14ac:dyDescent="0.25">
      <c r="H839" s="43" t="str">
        <f>IFERROR(ABS(C839/VLOOKUP(2*$B839,$B840:C873,2,TRUE)),"--")</f>
        <v>--</v>
      </c>
      <c r="I839" s="43" t="str">
        <f>IFERROR(ABS(D839/VLOOKUP(2*$B839,$B840:D873,3,TRUE)),"--")</f>
        <v>--</v>
      </c>
      <c r="J839" s="43" t="str">
        <f>IFERROR(ABS(E839/VLOOKUP(2*$B839,$B840:E873,4,TRUE)),"--")</f>
        <v>--</v>
      </c>
      <c r="K839" s="43" t="str">
        <f>IFERROR(ABS(F839/VLOOKUP(2*$B839,$B840:F873,5,TRUE)),"--")</f>
        <v>--</v>
      </c>
      <c r="L839" s="43" t="str">
        <f>IFERROR(ABS(G839/VLOOKUP(2*$B839,$B840:G873,6,TRUE)),"--")</f>
        <v>--</v>
      </c>
      <c r="M839" s="38">
        <f>IF(AND(1+$Q$6&gt;H839,1-$Q$6&lt;H839,1+$Q$6&gt;I839,1-$Q$6&lt;I839,1+$Q$6&gt;J839,1-$Q$6&lt;J839,1+$Q$6&gt;K839,1-$Q$6&lt;K839,1+$Q$6&gt;L839,1-$Q$6&lt;L839),IF(SUM($M$2:M838)=0,1,0),0)</f>
        <v>0</v>
      </c>
      <c r="N839" s="38">
        <f>IF(AND(1+$Q$7&gt;H839,1-$Q$7&lt;H839,1+$Q$7&gt;I839,1-$Q$7&lt;I839,1+$Q$7&gt;J839,1-$Q$7&lt;J839,1+$Q$7&gt;K839,1-$Q$7&lt;K839,1+$Q$7&gt;L839,1-$Q$7&lt;L839),IF(SUM($N$2:N838)=0,1,0),0)</f>
        <v>0</v>
      </c>
      <c r="O839" s="34">
        <f t="shared" si="13"/>
        <v>0</v>
      </c>
    </row>
    <row r="840" spans="8:15" ht="20.100000000000001" customHeight="1" x14ac:dyDescent="0.25">
      <c r="H840" s="43" t="str">
        <f>IFERROR(ABS(C840/VLOOKUP(2*$B840,$B841:C874,2,TRUE)),"--")</f>
        <v>--</v>
      </c>
      <c r="I840" s="43" t="str">
        <f>IFERROR(ABS(D840/VLOOKUP(2*$B840,$B841:D874,3,TRUE)),"--")</f>
        <v>--</v>
      </c>
      <c r="J840" s="43" t="str">
        <f>IFERROR(ABS(E840/VLOOKUP(2*$B840,$B841:E874,4,TRUE)),"--")</f>
        <v>--</v>
      </c>
      <c r="K840" s="43" t="str">
        <f>IFERROR(ABS(F840/VLOOKUP(2*$B840,$B841:F874,5,TRUE)),"--")</f>
        <v>--</v>
      </c>
      <c r="L840" s="43" t="str">
        <f>IFERROR(ABS(G840/VLOOKUP(2*$B840,$B841:G874,6,TRUE)),"--")</f>
        <v>--</v>
      </c>
      <c r="M840" s="38">
        <f>IF(AND(1+$Q$6&gt;H840,1-$Q$6&lt;H840,1+$Q$6&gt;I840,1-$Q$6&lt;I840,1+$Q$6&gt;J840,1-$Q$6&lt;J840,1+$Q$6&gt;K840,1-$Q$6&lt;K840,1+$Q$6&gt;L840,1-$Q$6&lt;L840),IF(SUM($M$2:M839)=0,1,0),0)</f>
        <v>0</v>
      </c>
      <c r="N840" s="38">
        <f>IF(AND(1+$Q$7&gt;H840,1-$Q$7&lt;H840,1+$Q$7&gt;I840,1-$Q$7&lt;I840,1+$Q$7&gt;J840,1-$Q$7&lt;J840,1+$Q$7&gt;K840,1-$Q$7&lt;K840,1+$Q$7&gt;L840,1-$Q$7&lt;L840),IF(SUM($N$2:N839)=0,1,0),0)</f>
        <v>0</v>
      </c>
      <c r="O840" s="34">
        <f t="shared" si="13"/>
        <v>0</v>
      </c>
    </row>
    <row r="841" spans="8:15" ht="20.100000000000001" customHeight="1" x14ac:dyDescent="0.25">
      <c r="H841" s="43" t="str">
        <f>IFERROR(ABS(C841/VLOOKUP(2*$B841,$B842:C875,2,TRUE)),"--")</f>
        <v>--</v>
      </c>
      <c r="I841" s="43" t="str">
        <f>IFERROR(ABS(D841/VLOOKUP(2*$B841,$B842:D875,3,TRUE)),"--")</f>
        <v>--</v>
      </c>
      <c r="J841" s="43" t="str">
        <f>IFERROR(ABS(E841/VLOOKUP(2*$B841,$B842:E875,4,TRUE)),"--")</f>
        <v>--</v>
      </c>
      <c r="K841" s="43" t="str">
        <f>IFERROR(ABS(F841/VLOOKUP(2*$B841,$B842:F875,5,TRUE)),"--")</f>
        <v>--</v>
      </c>
      <c r="L841" s="43" t="str">
        <f>IFERROR(ABS(G841/VLOOKUP(2*$B841,$B842:G875,6,TRUE)),"--")</f>
        <v>--</v>
      </c>
      <c r="M841" s="38">
        <f>IF(AND(1+$Q$6&gt;H841,1-$Q$6&lt;H841,1+$Q$6&gt;I841,1-$Q$6&lt;I841,1+$Q$6&gt;J841,1-$Q$6&lt;J841,1+$Q$6&gt;K841,1-$Q$6&lt;K841,1+$Q$6&gt;L841,1-$Q$6&lt;L841),IF(SUM($M$2:M840)=0,1,0),0)</f>
        <v>0</v>
      </c>
      <c r="N841" s="38">
        <f>IF(AND(1+$Q$7&gt;H841,1-$Q$7&lt;H841,1+$Q$7&gt;I841,1-$Q$7&lt;I841,1+$Q$7&gt;J841,1-$Q$7&lt;J841,1+$Q$7&gt;K841,1-$Q$7&lt;K841,1+$Q$7&gt;L841,1-$Q$7&lt;L841),IF(SUM($N$2:N840)=0,1,0),0)</f>
        <v>0</v>
      </c>
      <c r="O841" s="34">
        <f t="shared" si="13"/>
        <v>0</v>
      </c>
    </row>
    <row r="842" spans="8:15" ht="20.100000000000001" customHeight="1" x14ac:dyDescent="0.25">
      <c r="H842" s="43" t="str">
        <f>IFERROR(ABS(C842/VLOOKUP(2*$B842,$B843:C876,2,TRUE)),"--")</f>
        <v>--</v>
      </c>
      <c r="I842" s="43" t="str">
        <f>IFERROR(ABS(D842/VLOOKUP(2*$B842,$B843:D876,3,TRUE)),"--")</f>
        <v>--</v>
      </c>
      <c r="J842" s="43" t="str">
        <f>IFERROR(ABS(E842/VLOOKUP(2*$B842,$B843:E876,4,TRUE)),"--")</f>
        <v>--</v>
      </c>
      <c r="K842" s="43" t="str">
        <f>IFERROR(ABS(F842/VLOOKUP(2*$B842,$B843:F876,5,TRUE)),"--")</f>
        <v>--</v>
      </c>
      <c r="L842" s="43" t="str">
        <f>IFERROR(ABS(G842/VLOOKUP(2*$B842,$B843:G876,6,TRUE)),"--")</f>
        <v>--</v>
      </c>
      <c r="M842" s="38">
        <f>IF(AND(1+$Q$6&gt;H842,1-$Q$6&lt;H842,1+$Q$6&gt;I842,1-$Q$6&lt;I842,1+$Q$6&gt;J842,1-$Q$6&lt;J842,1+$Q$6&gt;K842,1-$Q$6&lt;K842,1+$Q$6&gt;L842,1-$Q$6&lt;L842),IF(SUM($M$2:M841)=0,1,0),0)</f>
        <v>0</v>
      </c>
      <c r="N842" s="38">
        <f>IF(AND(1+$Q$7&gt;H842,1-$Q$7&lt;H842,1+$Q$7&gt;I842,1-$Q$7&lt;I842,1+$Q$7&gt;J842,1-$Q$7&lt;J842,1+$Q$7&gt;K842,1-$Q$7&lt;K842,1+$Q$7&gt;L842,1-$Q$7&lt;L842),IF(SUM($N$2:N841)=0,1,0),0)</f>
        <v>0</v>
      </c>
      <c r="O842" s="34">
        <f t="shared" si="13"/>
        <v>0</v>
      </c>
    </row>
    <row r="843" spans="8:15" ht="20.100000000000001" customHeight="1" x14ac:dyDescent="0.25">
      <c r="H843" s="43" t="str">
        <f>IFERROR(ABS(C843/VLOOKUP(2*$B843,$B844:C877,2,TRUE)),"--")</f>
        <v>--</v>
      </c>
      <c r="I843" s="43" t="str">
        <f>IFERROR(ABS(D843/VLOOKUP(2*$B843,$B844:D877,3,TRUE)),"--")</f>
        <v>--</v>
      </c>
      <c r="J843" s="43" t="str">
        <f>IFERROR(ABS(E843/VLOOKUP(2*$B843,$B844:E877,4,TRUE)),"--")</f>
        <v>--</v>
      </c>
      <c r="K843" s="43" t="str">
        <f>IFERROR(ABS(F843/VLOOKUP(2*$B843,$B844:F877,5,TRUE)),"--")</f>
        <v>--</v>
      </c>
      <c r="L843" s="43" t="str">
        <f>IFERROR(ABS(G843/VLOOKUP(2*$B843,$B844:G877,6,TRUE)),"--")</f>
        <v>--</v>
      </c>
      <c r="M843" s="38">
        <f>IF(AND(1+$Q$6&gt;H843,1-$Q$6&lt;H843,1+$Q$6&gt;I843,1-$Q$6&lt;I843,1+$Q$6&gt;J843,1-$Q$6&lt;J843,1+$Q$6&gt;K843,1-$Q$6&lt;K843,1+$Q$6&gt;L843,1-$Q$6&lt;L843),IF(SUM($M$2:M842)=0,1,0),0)</f>
        <v>0</v>
      </c>
      <c r="N843" s="38">
        <f>IF(AND(1+$Q$7&gt;H843,1-$Q$7&lt;H843,1+$Q$7&gt;I843,1-$Q$7&lt;I843,1+$Q$7&gt;J843,1-$Q$7&lt;J843,1+$Q$7&gt;K843,1-$Q$7&lt;K843,1+$Q$7&gt;L843,1-$Q$7&lt;L843),IF(SUM($N$2:N842)=0,1,0),0)</f>
        <v>0</v>
      </c>
      <c r="O843" s="34">
        <f t="shared" si="13"/>
        <v>0</v>
      </c>
    </row>
    <row r="844" spans="8:15" ht="20.100000000000001" customHeight="1" x14ac:dyDescent="0.25">
      <c r="H844" s="43" t="str">
        <f>IFERROR(ABS(C844/VLOOKUP(2*$B844,$B845:C878,2,TRUE)),"--")</f>
        <v>--</v>
      </c>
      <c r="I844" s="43" t="str">
        <f>IFERROR(ABS(D844/VLOOKUP(2*$B844,$B845:D878,3,TRUE)),"--")</f>
        <v>--</v>
      </c>
      <c r="J844" s="43" t="str">
        <f>IFERROR(ABS(E844/VLOOKUP(2*$B844,$B845:E878,4,TRUE)),"--")</f>
        <v>--</v>
      </c>
      <c r="K844" s="43" t="str">
        <f>IFERROR(ABS(F844/VLOOKUP(2*$B844,$B845:F878,5,TRUE)),"--")</f>
        <v>--</v>
      </c>
      <c r="L844" s="43" t="str">
        <f>IFERROR(ABS(G844/VLOOKUP(2*$B844,$B845:G878,6,TRUE)),"--")</f>
        <v>--</v>
      </c>
      <c r="M844" s="38">
        <f>IF(AND(1+$Q$6&gt;H844,1-$Q$6&lt;H844,1+$Q$6&gt;I844,1-$Q$6&lt;I844,1+$Q$6&gt;J844,1-$Q$6&lt;J844,1+$Q$6&gt;K844,1-$Q$6&lt;K844,1+$Q$6&gt;L844,1-$Q$6&lt;L844),IF(SUM($M$2:M843)=0,1,0),0)</f>
        <v>0</v>
      </c>
      <c r="N844" s="38">
        <f>IF(AND(1+$Q$7&gt;H844,1-$Q$7&lt;H844,1+$Q$7&gt;I844,1-$Q$7&lt;I844,1+$Q$7&gt;J844,1-$Q$7&lt;J844,1+$Q$7&gt;K844,1-$Q$7&lt;K844,1+$Q$7&gt;L844,1-$Q$7&lt;L844),IF(SUM($N$2:N843)=0,1,0),0)</f>
        <v>0</v>
      </c>
      <c r="O844" s="34">
        <f t="shared" si="13"/>
        <v>0</v>
      </c>
    </row>
    <row r="845" spans="8:15" ht="20.100000000000001" customHeight="1" x14ac:dyDescent="0.25">
      <c r="H845" s="43" t="str">
        <f>IFERROR(ABS(C845/VLOOKUP(2*$B845,$B846:C879,2,TRUE)),"--")</f>
        <v>--</v>
      </c>
      <c r="I845" s="43" t="str">
        <f>IFERROR(ABS(D845/VLOOKUP(2*$B845,$B846:D879,3,TRUE)),"--")</f>
        <v>--</v>
      </c>
      <c r="J845" s="43" t="str">
        <f>IFERROR(ABS(E845/VLOOKUP(2*$B845,$B846:E879,4,TRUE)),"--")</f>
        <v>--</v>
      </c>
      <c r="K845" s="43" t="str">
        <f>IFERROR(ABS(F845/VLOOKUP(2*$B845,$B846:F879,5,TRUE)),"--")</f>
        <v>--</v>
      </c>
      <c r="L845" s="43" t="str">
        <f>IFERROR(ABS(G845/VLOOKUP(2*$B845,$B846:G879,6,TRUE)),"--")</f>
        <v>--</v>
      </c>
      <c r="M845" s="38">
        <f>IF(AND(1+$Q$6&gt;H845,1-$Q$6&lt;H845,1+$Q$6&gt;I845,1-$Q$6&lt;I845,1+$Q$6&gt;J845,1-$Q$6&lt;J845,1+$Q$6&gt;K845,1-$Q$6&lt;K845,1+$Q$6&gt;L845,1-$Q$6&lt;L845),IF(SUM($M$2:M844)=0,1,0),0)</f>
        <v>0</v>
      </c>
      <c r="N845" s="38">
        <f>IF(AND(1+$Q$7&gt;H845,1-$Q$7&lt;H845,1+$Q$7&gt;I845,1-$Q$7&lt;I845,1+$Q$7&gt;J845,1-$Q$7&lt;J845,1+$Q$7&gt;K845,1-$Q$7&lt;K845,1+$Q$7&gt;L845,1-$Q$7&lt;L845),IF(SUM($N$2:N844)=0,1,0),0)</f>
        <v>0</v>
      </c>
      <c r="O845" s="34">
        <f t="shared" si="13"/>
        <v>0</v>
      </c>
    </row>
    <row r="846" spans="8:15" ht="20.100000000000001" customHeight="1" x14ac:dyDescent="0.25">
      <c r="H846" s="43" t="str">
        <f>IFERROR(ABS(C846/VLOOKUP(2*$B846,$B847:C880,2,TRUE)),"--")</f>
        <v>--</v>
      </c>
      <c r="I846" s="43" t="str">
        <f>IFERROR(ABS(D846/VLOOKUP(2*$B846,$B847:D880,3,TRUE)),"--")</f>
        <v>--</v>
      </c>
      <c r="J846" s="43" t="str">
        <f>IFERROR(ABS(E846/VLOOKUP(2*$B846,$B847:E880,4,TRUE)),"--")</f>
        <v>--</v>
      </c>
      <c r="K846" s="43" t="str">
        <f>IFERROR(ABS(F846/VLOOKUP(2*$B846,$B847:F880,5,TRUE)),"--")</f>
        <v>--</v>
      </c>
      <c r="L846" s="43" t="str">
        <f>IFERROR(ABS(G846/VLOOKUP(2*$B846,$B847:G880,6,TRUE)),"--")</f>
        <v>--</v>
      </c>
      <c r="M846" s="38">
        <f>IF(AND(1+$Q$6&gt;H846,1-$Q$6&lt;H846,1+$Q$6&gt;I846,1-$Q$6&lt;I846,1+$Q$6&gt;J846,1-$Q$6&lt;J846,1+$Q$6&gt;K846,1-$Q$6&lt;K846,1+$Q$6&gt;L846,1-$Q$6&lt;L846),IF(SUM($M$2:M845)=0,1,0),0)</f>
        <v>0</v>
      </c>
      <c r="N846" s="38">
        <f>IF(AND(1+$Q$7&gt;H846,1-$Q$7&lt;H846,1+$Q$7&gt;I846,1-$Q$7&lt;I846,1+$Q$7&gt;J846,1-$Q$7&lt;J846,1+$Q$7&gt;K846,1-$Q$7&lt;K846,1+$Q$7&gt;L846,1-$Q$7&lt;L846),IF(SUM($N$2:N845)=0,1,0),0)</f>
        <v>0</v>
      </c>
      <c r="O846" s="34">
        <f t="shared" si="13"/>
        <v>0</v>
      </c>
    </row>
    <row r="847" spans="8:15" ht="20.100000000000001" customHeight="1" x14ac:dyDescent="0.25">
      <c r="H847" s="43" t="str">
        <f>IFERROR(ABS(C847/VLOOKUP(2*$B847,$B848:C881,2,TRUE)),"--")</f>
        <v>--</v>
      </c>
      <c r="I847" s="43" t="str">
        <f>IFERROR(ABS(D847/VLOOKUP(2*$B847,$B848:D881,3,TRUE)),"--")</f>
        <v>--</v>
      </c>
      <c r="J847" s="43" t="str">
        <f>IFERROR(ABS(E847/VLOOKUP(2*$B847,$B848:E881,4,TRUE)),"--")</f>
        <v>--</v>
      </c>
      <c r="K847" s="43" t="str">
        <f>IFERROR(ABS(F847/VLOOKUP(2*$B847,$B848:F881,5,TRUE)),"--")</f>
        <v>--</v>
      </c>
      <c r="L847" s="43" t="str">
        <f>IFERROR(ABS(G847/VLOOKUP(2*$B847,$B848:G881,6,TRUE)),"--")</f>
        <v>--</v>
      </c>
      <c r="M847" s="38">
        <f>IF(AND(1+$Q$6&gt;H847,1-$Q$6&lt;H847,1+$Q$6&gt;I847,1-$Q$6&lt;I847,1+$Q$6&gt;J847,1-$Q$6&lt;J847,1+$Q$6&gt;K847,1-$Q$6&lt;K847,1+$Q$6&gt;L847,1-$Q$6&lt;L847),IF(SUM($M$2:M846)=0,1,0),0)</f>
        <v>0</v>
      </c>
      <c r="N847" s="38">
        <f>IF(AND(1+$Q$7&gt;H847,1-$Q$7&lt;H847,1+$Q$7&gt;I847,1-$Q$7&lt;I847,1+$Q$7&gt;J847,1-$Q$7&lt;J847,1+$Q$7&gt;K847,1-$Q$7&lt;K847,1+$Q$7&gt;L847,1-$Q$7&lt;L847),IF(SUM($N$2:N846)=0,1,0),0)</f>
        <v>0</v>
      </c>
      <c r="O847" s="34">
        <f t="shared" si="13"/>
        <v>0</v>
      </c>
    </row>
    <row r="848" spans="8:15" ht="20.100000000000001" customHeight="1" x14ac:dyDescent="0.25">
      <c r="H848" s="43" t="str">
        <f>IFERROR(ABS(C848/VLOOKUP(2*$B848,$B849:C882,2,TRUE)),"--")</f>
        <v>--</v>
      </c>
      <c r="I848" s="43" t="str">
        <f>IFERROR(ABS(D848/VLOOKUP(2*$B848,$B849:D882,3,TRUE)),"--")</f>
        <v>--</v>
      </c>
      <c r="J848" s="43" t="str">
        <f>IFERROR(ABS(E848/VLOOKUP(2*$B848,$B849:E882,4,TRUE)),"--")</f>
        <v>--</v>
      </c>
      <c r="K848" s="43" t="str">
        <f>IFERROR(ABS(F848/VLOOKUP(2*$B848,$B849:F882,5,TRUE)),"--")</f>
        <v>--</v>
      </c>
      <c r="L848" s="43" t="str">
        <f>IFERROR(ABS(G848/VLOOKUP(2*$B848,$B849:G882,6,TRUE)),"--")</f>
        <v>--</v>
      </c>
      <c r="M848" s="38">
        <f>IF(AND(1+$Q$6&gt;H848,1-$Q$6&lt;H848,1+$Q$6&gt;I848,1-$Q$6&lt;I848,1+$Q$6&gt;J848,1-$Q$6&lt;J848,1+$Q$6&gt;K848,1-$Q$6&lt;K848,1+$Q$6&gt;L848,1-$Q$6&lt;L848),IF(SUM($M$2:M847)=0,1,0),0)</f>
        <v>0</v>
      </c>
      <c r="N848" s="38">
        <f>IF(AND(1+$Q$7&gt;H848,1-$Q$7&lt;H848,1+$Q$7&gt;I848,1-$Q$7&lt;I848,1+$Q$7&gt;J848,1-$Q$7&lt;J848,1+$Q$7&gt;K848,1-$Q$7&lt;K848,1+$Q$7&gt;L848,1-$Q$7&lt;L848),IF(SUM($N$2:N847)=0,1,0),0)</f>
        <v>0</v>
      </c>
      <c r="O848" s="34">
        <f t="shared" si="13"/>
        <v>0</v>
      </c>
    </row>
    <row r="849" spans="8:15" ht="20.100000000000001" customHeight="1" x14ac:dyDescent="0.25">
      <c r="H849" s="43" t="str">
        <f>IFERROR(ABS(C849/VLOOKUP(2*$B849,$B850:C883,2,TRUE)),"--")</f>
        <v>--</v>
      </c>
      <c r="I849" s="43" t="str">
        <f>IFERROR(ABS(D849/VLOOKUP(2*$B849,$B850:D883,3,TRUE)),"--")</f>
        <v>--</v>
      </c>
      <c r="J849" s="43" t="str">
        <f>IFERROR(ABS(E849/VLOOKUP(2*$B849,$B850:E883,4,TRUE)),"--")</f>
        <v>--</v>
      </c>
      <c r="K849" s="43" t="str">
        <f>IFERROR(ABS(F849/VLOOKUP(2*$B849,$B850:F883,5,TRUE)),"--")</f>
        <v>--</v>
      </c>
      <c r="L849" s="43" t="str">
        <f>IFERROR(ABS(G849/VLOOKUP(2*$B849,$B850:G883,6,TRUE)),"--")</f>
        <v>--</v>
      </c>
      <c r="M849" s="38">
        <f>IF(AND(1+$Q$6&gt;H849,1-$Q$6&lt;H849,1+$Q$6&gt;I849,1-$Q$6&lt;I849,1+$Q$6&gt;J849,1-$Q$6&lt;J849,1+$Q$6&gt;K849,1-$Q$6&lt;K849,1+$Q$6&gt;L849,1-$Q$6&lt;L849),IF(SUM($M$2:M848)=0,1,0),0)</f>
        <v>0</v>
      </c>
      <c r="N849" s="38">
        <f>IF(AND(1+$Q$7&gt;H849,1-$Q$7&lt;H849,1+$Q$7&gt;I849,1-$Q$7&lt;I849,1+$Q$7&gt;J849,1-$Q$7&lt;J849,1+$Q$7&gt;K849,1-$Q$7&lt;K849,1+$Q$7&gt;L849,1-$Q$7&lt;L849),IF(SUM($N$2:N848)=0,1,0),0)</f>
        <v>0</v>
      </c>
      <c r="O849" s="34">
        <f t="shared" si="13"/>
        <v>0</v>
      </c>
    </row>
    <row r="850" spans="8:15" ht="20.100000000000001" customHeight="1" x14ac:dyDescent="0.25">
      <c r="H850" s="43" t="str">
        <f>IFERROR(ABS(C850/VLOOKUP(2*$B850,$B851:C884,2,TRUE)),"--")</f>
        <v>--</v>
      </c>
      <c r="I850" s="43" t="str">
        <f>IFERROR(ABS(D850/VLOOKUP(2*$B850,$B851:D884,3,TRUE)),"--")</f>
        <v>--</v>
      </c>
      <c r="J850" s="43" t="str">
        <f>IFERROR(ABS(E850/VLOOKUP(2*$B850,$B851:E884,4,TRUE)),"--")</f>
        <v>--</v>
      </c>
      <c r="K850" s="43" t="str">
        <f>IFERROR(ABS(F850/VLOOKUP(2*$B850,$B851:F884,5,TRUE)),"--")</f>
        <v>--</v>
      </c>
      <c r="L850" s="43" t="str">
        <f>IFERROR(ABS(G850/VLOOKUP(2*$B850,$B851:G884,6,TRUE)),"--")</f>
        <v>--</v>
      </c>
      <c r="M850" s="38">
        <f>IF(AND(1+$Q$6&gt;H850,1-$Q$6&lt;H850,1+$Q$6&gt;I850,1-$Q$6&lt;I850,1+$Q$6&gt;J850,1-$Q$6&lt;J850,1+$Q$6&gt;K850,1-$Q$6&lt;K850,1+$Q$6&gt;L850,1-$Q$6&lt;L850),IF(SUM($M$2:M849)=0,1,0),0)</f>
        <v>0</v>
      </c>
      <c r="N850" s="38">
        <f>IF(AND(1+$Q$7&gt;H850,1-$Q$7&lt;H850,1+$Q$7&gt;I850,1-$Q$7&lt;I850,1+$Q$7&gt;J850,1-$Q$7&lt;J850,1+$Q$7&gt;K850,1-$Q$7&lt;K850,1+$Q$7&gt;L850,1-$Q$7&lt;L850),IF(SUM($N$2:N849)=0,1,0),0)</f>
        <v>0</v>
      </c>
      <c r="O850" s="34">
        <f t="shared" si="13"/>
        <v>0</v>
      </c>
    </row>
    <row r="851" spans="8:15" ht="20.100000000000001" customHeight="1" x14ac:dyDescent="0.25">
      <c r="H851" s="43" t="str">
        <f>IFERROR(ABS(C851/VLOOKUP(2*$B851,$B852:C885,2,TRUE)),"--")</f>
        <v>--</v>
      </c>
      <c r="I851" s="43" t="str">
        <f>IFERROR(ABS(D851/VLOOKUP(2*$B851,$B852:D885,3,TRUE)),"--")</f>
        <v>--</v>
      </c>
      <c r="J851" s="43" t="str">
        <f>IFERROR(ABS(E851/VLOOKUP(2*$B851,$B852:E885,4,TRUE)),"--")</f>
        <v>--</v>
      </c>
      <c r="K851" s="43" t="str">
        <f>IFERROR(ABS(F851/VLOOKUP(2*$B851,$B852:F885,5,TRUE)),"--")</f>
        <v>--</v>
      </c>
      <c r="L851" s="43" t="str">
        <f>IFERROR(ABS(G851/VLOOKUP(2*$B851,$B852:G885,6,TRUE)),"--")</f>
        <v>--</v>
      </c>
      <c r="M851" s="38">
        <f>IF(AND(1+$Q$6&gt;H851,1-$Q$6&lt;H851,1+$Q$6&gt;I851,1-$Q$6&lt;I851,1+$Q$6&gt;J851,1-$Q$6&lt;J851,1+$Q$6&gt;K851,1-$Q$6&lt;K851,1+$Q$6&gt;L851,1-$Q$6&lt;L851),IF(SUM($M$2:M850)=0,1,0),0)</f>
        <v>0</v>
      </c>
      <c r="N851" s="38">
        <f>IF(AND(1+$Q$7&gt;H851,1-$Q$7&lt;H851,1+$Q$7&gt;I851,1-$Q$7&lt;I851,1+$Q$7&gt;J851,1-$Q$7&lt;J851,1+$Q$7&gt;K851,1-$Q$7&lt;K851,1+$Q$7&gt;L851,1-$Q$7&lt;L851),IF(SUM($N$2:N850)=0,1,0),0)</f>
        <v>0</v>
      </c>
      <c r="O851" s="34">
        <f t="shared" si="13"/>
        <v>0</v>
      </c>
    </row>
    <row r="852" spans="8:15" ht="20.100000000000001" customHeight="1" x14ac:dyDescent="0.25">
      <c r="H852" s="43" t="str">
        <f>IFERROR(ABS(C852/VLOOKUP(2*$B852,$B853:C886,2,TRUE)),"--")</f>
        <v>--</v>
      </c>
      <c r="I852" s="43" t="str">
        <f>IFERROR(ABS(D852/VLOOKUP(2*$B852,$B853:D886,3,TRUE)),"--")</f>
        <v>--</v>
      </c>
      <c r="J852" s="43" t="str">
        <f>IFERROR(ABS(E852/VLOOKUP(2*$B852,$B853:E886,4,TRUE)),"--")</f>
        <v>--</v>
      </c>
      <c r="K852" s="43" t="str">
        <f>IFERROR(ABS(F852/VLOOKUP(2*$B852,$B853:F886,5,TRUE)),"--")</f>
        <v>--</v>
      </c>
      <c r="L852" s="43" t="str">
        <f>IFERROR(ABS(G852/VLOOKUP(2*$B852,$B853:G886,6,TRUE)),"--")</f>
        <v>--</v>
      </c>
      <c r="M852" s="38">
        <f>IF(AND(1+$Q$6&gt;H852,1-$Q$6&lt;H852,1+$Q$6&gt;I852,1-$Q$6&lt;I852,1+$Q$6&gt;J852,1-$Q$6&lt;J852,1+$Q$6&gt;K852,1-$Q$6&lt;K852,1+$Q$6&gt;L852,1-$Q$6&lt;L852),IF(SUM($M$2:M851)=0,1,0),0)</f>
        <v>0</v>
      </c>
      <c r="N852" s="38">
        <f>IF(AND(1+$Q$7&gt;H852,1-$Q$7&lt;H852,1+$Q$7&gt;I852,1-$Q$7&lt;I852,1+$Q$7&gt;J852,1-$Q$7&lt;J852,1+$Q$7&gt;K852,1-$Q$7&lt;K852,1+$Q$7&gt;L852,1-$Q$7&lt;L852),IF(SUM($N$2:N851)=0,1,0),0)</f>
        <v>0</v>
      </c>
      <c r="O852" s="34">
        <f t="shared" si="13"/>
        <v>0</v>
      </c>
    </row>
    <row r="853" spans="8:15" ht="20.100000000000001" customHeight="1" x14ac:dyDescent="0.25">
      <c r="H853" s="43" t="str">
        <f>IFERROR(ABS(C853/VLOOKUP(2*$B853,$B854:C887,2,TRUE)),"--")</f>
        <v>--</v>
      </c>
      <c r="I853" s="43" t="str">
        <f>IFERROR(ABS(D853/VLOOKUP(2*$B853,$B854:D887,3,TRUE)),"--")</f>
        <v>--</v>
      </c>
      <c r="J853" s="43" t="str">
        <f>IFERROR(ABS(E853/VLOOKUP(2*$B853,$B854:E887,4,TRUE)),"--")</f>
        <v>--</v>
      </c>
      <c r="K853" s="43" t="str">
        <f>IFERROR(ABS(F853/VLOOKUP(2*$B853,$B854:F887,5,TRUE)),"--")</f>
        <v>--</v>
      </c>
      <c r="L853" s="43" t="str">
        <f>IFERROR(ABS(G853/VLOOKUP(2*$B853,$B854:G887,6,TRUE)),"--")</f>
        <v>--</v>
      </c>
      <c r="M853" s="38">
        <f>IF(AND(1+$Q$6&gt;H853,1-$Q$6&lt;H853,1+$Q$6&gt;I853,1-$Q$6&lt;I853,1+$Q$6&gt;J853,1-$Q$6&lt;J853,1+$Q$6&gt;K853,1-$Q$6&lt;K853,1+$Q$6&gt;L853,1-$Q$6&lt;L853),IF(SUM($M$2:M852)=0,1,0),0)</f>
        <v>0</v>
      </c>
      <c r="N853" s="38">
        <f>IF(AND(1+$Q$7&gt;H853,1-$Q$7&lt;H853,1+$Q$7&gt;I853,1-$Q$7&lt;I853,1+$Q$7&gt;J853,1-$Q$7&lt;J853,1+$Q$7&gt;K853,1-$Q$7&lt;K853,1+$Q$7&gt;L853,1-$Q$7&lt;L853),IF(SUM($N$2:N852)=0,1,0),0)</f>
        <v>0</v>
      </c>
      <c r="O853" s="34">
        <f t="shared" si="13"/>
        <v>0</v>
      </c>
    </row>
    <row r="854" spans="8:15" ht="20.100000000000001" customHeight="1" x14ac:dyDescent="0.25">
      <c r="H854" s="43" t="str">
        <f>IFERROR(ABS(C854/VLOOKUP(2*$B854,$B855:C888,2,TRUE)),"--")</f>
        <v>--</v>
      </c>
      <c r="I854" s="43" t="str">
        <f>IFERROR(ABS(D854/VLOOKUP(2*$B854,$B855:D888,3,TRUE)),"--")</f>
        <v>--</v>
      </c>
      <c r="J854" s="43" t="str">
        <f>IFERROR(ABS(E854/VLOOKUP(2*$B854,$B855:E888,4,TRUE)),"--")</f>
        <v>--</v>
      </c>
      <c r="K854" s="43" t="str">
        <f>IFERROR(ABS(F854/VLOOKUP(2*$B854,$B855:F888,5,TRUE)),"--")</f>
        <v>--</v>
      </c>
      <c r="L854" s="43" t="str">
        <f>IFERROR(ABS(G854/VLOOKUP(2*$B854,$B855:G888,6,TRUE)),"--")</f>
        <v>--</v>
      </c>
      <c r="M854" s="38">
        <f>IF(AND(1+$Q$6&gt;H854,1-$Q$6&lt;H854,1+$Q$6&gt;I854,1-$Q$6&lt;I854,1+$Q$6&gt;J854,1-$Q$6&lt;J854,1+$Q$6&gt;K854,1-$Q$6&lt;K854,1+$Q$6&gt;L854,1-$Q$6&lt;L854),IF(SUM($M$2:M853)=0,1,0),0)</f>
        <v>0</v>
      </c>
      <c r="N854" s="38">
        <f>IF(AND(1+$Q$7&gt;H854,1-$Q$7&lt;H854,1+$Q$7&gt;I854,1-$Q$7&lt;I854,1+$Q$7&gt;J854,1-$Q$7&lt;J854,1+$Q$7&gt;K854,1-$Q$7&lt;K854,1+$Q$7&gt;L854,1-$Q$7&lt;L854),IF(SUM($N$2:N853)=0,1,0),0)</f>
        <v>0</v>
      </c>
      <c r="O854" s="34">
        <f t="shared" si="13"/>
        <v>0</v>
      </c>
    </row>
    <row r="855" spans="8:15" ht="20.100000000000001" customHeight="1" x14ac:dyDescent="0.25">
      <c r="H855" s="43" t="str">
        <f>IFERROR(ABS(C855/VLOOKUP(2*$B855,$B856:C889,2,TRUE)),"--")</f>
        <v>--</v>
      </c>
      <c r="I855" s="43" t="str">
        <f>IFERROR(ABS(D855/VLOOKUP(2*$B855,$B856:D889,3,TRUE)),"--")</f>
        <v>--</v>
      </c>
      <c r="J855" s="43" t="str">
        <f>IFERROR(ABS(E855/VLOOKUP(2*$B855,$B856:E889,4,TRUE)),"--")</f>
        <v>--</v>
      </c>
      <c r="K855" s="43" t="str">
        <f>IFERROR(ABS(F855/VLOOKUP(2*$B855,$B856:F889,5,TRUE)),"--")</f>
        <v>--</v>
      </c>
      <c r="L855" s="43" t="str">
        <f>IFERROR(ABS(G855/VLOOKUP(2*$B855,$B856:G889,6,TRUE)),"--")</f>
        <v>--</v>
      </c>
      <c r="M855" s="38">
        <f>IF(AND(1+$Q$6&gt;H855,1-$Q$6&lt;H855,1+$Q$6&gt;I855,1-$Q$6&lt;I855,1+$Q$6&gt;J855,1-$Q$6&lt;J855,1+$Q$6&gt;K855,1-$Q$6&lt;K855,1+$Q$6&gt;L855,1-$Q$6&lt;L855),IF(SUM($M$2:M854)=0,1,0),0)</f>
        <v>0</v>
      </c>
      <c r="N855" s="38">
        <f>IF(AND(1+$Q$7&gt;H855,1-$Q$7&lt;H855,1+$Q$7&gt;I855,1-$Q$7&lt;I855,1+$Q$7&gt;J855,1-$Q$7&lt;J855,1+$Q$7&gt;K855,1-$Q$7&lt;K855,1+$Q$7&gt;L855,1-$Q$7&lt;L855),IF(SUM($N$2:N854)=0,1,0),0)</f>
        <v>0</v>
      </c>
      <c r="O855" s="34">
        <f t="shared" si="13"/>
        <v>0</v>
      </c>
    </row>
    <row r="856" spans="8:15" ht="20.100000000000001" customHeight="1" x14ac:dyDescent="0.25">
      <c r="H856" s="43" t="str">
        <f>IFERROR(ABS(C856/VLOOKUP(2*$B856,$B857:C890,2,TRUE)),"--")</f>
        <v>--</v>
      </c>
      <c r="I856" s="43" t="str">
        <f>IFERROR(ABS(D856/VLOOKUP(2*$B856,$B857:D890,3,TRUE)),"--")</f>
        <v>--</v>
      </c>
      <c r="J856" s="43" t="str">
        <f>IFERROR(ABS(E856/VLOOKUP(2*$B856,$B857:E890,4,TRUE)),"--")</f>
        <v>--</v>
      </c>
      <c r="K856" s="43" t="str">
        <f>IFERROR(ABS(F856/VLOOKUP(2*$B856,$B857:F890,5,TRUE)),"--")</f>
        <v>--</v>
      </c>
      <c r="L856" s="43" t="str">
        <f>IFERROR(ABS(G856/VLOOKUP(2*$B856,$B857:G890,6,TRUE)),"--")</f>
        <v>--</v>
      </c>
      <c r="M856" s="38">
        <f>IF(AND(1+$Q$6&gt;H856,1-$Q$6&lt;H856,1+$Q$6&gt;I856,1-$Q$6&lt;I856,1+$Q$6&gt;J856,1-$Q$6&lt;J856,1+$Q$6&gt;K856,1-$Q$6&lt;K856,1+$Q$6&gt;L856,1-$Q$6&lt;L856),IF(SUM($M$2:M855)=0,1,0),0)</f>
        <v>0</v>
      </c>
      <c r="N856" s="38">
        <f>IF(AND(1+$Q$7&gt;H856,1-$Q$7&lt;H856,1+$Q$7&gt;I856,1-$Q$7&lt;I856,1+$Q$7&gt;J856,1-$Q$7&lt;J856,1+$Q$7&gt;K856,1-$Q$7&lt;K856,1+$Q$7&gt;L856,1-$Q$7&lt;L856),IF(SUM($N$2:N855)=0,1,0),0)</f>
        <v>0</v>
      </c>
      <c r="O856" s="34">
        <f t="shared" si="13"/>
        <v>0</v>
      </c>
    </row>
    <row r="857" spans="8:15" ht="20.100000000000001" customHeight="1" x14ac:dyDescent="0.25">
      <c r="H857" s="43" t="str">
        <f>IFERROR(ABS(C857/VLOOKUP(2*$B857,$B858:C891,2,TRUE)),"--")</f>
        <v>--</v>
      </c>
      <c r="I857" s="43" t="str">
        <f>IFERROR(ABS(D857/VLOOKUP(2*$B857,$B858:D891,3,TRUE)),"--")</f>
        <v>--</v>
      </c>
      <c r="J857" s="43" t="str">
        <f>IFERROR(ABS(E857/VLOOKUP(2*$B857,$B858:E891,4,TRUE)),"--")</f>
        <v>--</v>
      </c>
      <c r="K857" s="43" t="str">
        <f>IFERROR(ABS(F857/VLOOKUP(2*$B857,$B858:F891,5,TRUE)),"--")</f>
        <v>--</v>
      </c>
      <c r="L857" s="43" t="str">
        <f>IFERROR(ABS(G857/VLOOKUP(2*$B857,$B858:G891,6,TRUE)),"--")</f>
        <v>--</v>
      </c>
      <c r="M857" s="38">
        <f>IF(AND(1+$Q$6&gt;H857,1-$Q$6&lt;H857,1+$Q$6&gt;I857,1-$Q$6&lt;I857,1+$Q$6&gt;J857,1-$Q$6&lt;J857,1+$Q$6&gt;K857,1-$Q$6&lt;K857,1+$Q$6&gt;L857,1-$Q$6&lt;L857),IF(SUM($M$2:M856)=0,1,0),0)</f>
        <v>0</v>
      </c>
      <c r="N857" s="38">
        <f>IF(AND(1+$Q$7&gt;H857,1-$Q$7&lt;H857,1+$Q$7&gt;I857,1-$Q$7&lt;I857,1+$Q$7&gt;J857,1-$Q$7&lt;J857,1+$Q$7&gt;K857,1-$Q$7&lt;K857,1+$Q$7&gt;L857,1-$Q$7&lt;L857),IF(SUM($N$2:N856)=0,1,0),0)</f>
        <v>0</v>
      </c>
      <c r="O857" s="34">
        <f t="shared" si="13"/>
        <v>0</v>
      </c>
    </row>
    <row r="858" spans="8:15" ht="20.100000000000001" customHeight="1" x14ac:dyDescent="0.25">
      <c r="H858" s="43" t="str">
        <f>IFERROR(ABS(C858/VLOOKUP(2*$B858,$B859:C892,2,TRUE)),"--")</f>
        <v>--</v>
      </c>
      <c r="I858" s="43" t="str">
        <f>IFERROR(ABS(D858/VLOOKUP(2*$B858,$B859:D892,3,TRUE)),"--")</f>
        <v>--</v>
      </c>
      <c r="J858" s="43" t="str">
        <f>IFERROR(ABS(E858/VLOOKUP(2*$B858,$B859:E892,4,TRUE)),"--")</f>
        <v>--</v>
      </c>
      <c r="K858" s="43" t="str">
        <f>IFERROR(ABS(F858/VLOOKUP(2*$B858,$B859:F892,5,TRUE)),"--")</f>
        <v>--</v>
      </c>
      <c r="L858" s="43" t="str">
        <f>IFERROR(ABS(G858/VLOOKUP(2*$B858,$B859:G892,6,TRUE)),"--")</f>
        <v>--</v>
      </c>
      <c r="M858" s="38">
        <f>IF(AND(1+$Q$6&gt;H858,1-$Q$6&lt;H858,1+$Q$6&gt;I858,1-$Q$6&lt;I858,1+$Q$6&gt;J858,1-$Q$6&lt;J858,1+$Q$6&gt;K858,1-$Q$6&lt;K858,1+$Q$6&gt;L858,1-$Q$6&lt;L858),IF(SUM($M$2:M857)=0,1,0),0)</f>
        <v>0</v>
      </c>
      <c r="N858" s="38">
        <f>IF(AND(1+$Q$7&gt;H858,1-$Q$7&lt;H858,1+$Q$7&gt;I858,1-$Q$7&lt;I858,1+$Q$7&gt;J858,1-$Q$7&lt;J858,1+$Q$7&gt;K858,1-$Q$7&lt;K858,1+$Q$7&gt;L858,1-$Q$7&lt;L858),IF(SUM($N$2:N857)=0,1,0),0)</f>
        <v>0</v>
      </c>
      <c r="O858" s="34">
        <f t="shared" si="13"/>
        <v>0</v>
      </c>
    </row>
    <row r="859" spans="8:15" ht="20.100000000000001" customHeight="1" x14ac:dyDescent="0.25">
      <c r="H859" s="43" t="str">
        <f>IFERROR(ABS(C859/VLOOKUP(2*$B859,$B860:C893,2,TRUE)),"--")</f>
        <v>--</v>
      </c>
      <c r="I859" s="43" t="str">
        <f>IFERROR(ABS(D859/VLOOKUP(2*$B859,$B860:D893,3,TRUE)),"--")</f>
        <v>--</v>
      </c>
      <c r="J859" s="43" t="str">
        <f>IFERROR(ABS(E859/VLOOKUP(2*$B859,$B860:E893,4,TRUE)),"--")</f>
        <v>--</v>
      </c>
      <c r="K859" s="43" t="str">
        <f>IFERROR(ABS(F859/VLOOKUP(2*$B859,$B860:F893,5,TRUE)),"--")</f>
        <v>--</v>
      </c>
      <c r="L859" s="43" t="str">
        <f>IFERROR(ABS(G859/VLOOKUP(2*$B859,$B860:G893,6,TRUE)),"--")</f>
        <v>--</v>
      </c>
      <c r="M859" s="38">
        <f>IF(AND(1+$Q$6&gt;H859,1-$Q$6&lt;H859,1+$Q$6&gt;I859,1-$Q$6&lt;I859,1+$Q$6&gt;J859,1-$Q$6&lt;J859,1+$Q$6&gt;K859,1-$Q$6&lt;K859,1+$Q$6&gt;L859,1-$Q$6&lt;L859),IF(SUM($M$2:M858)=0,1,0),0)</f>
        <v>0</v>
      </c>
      <c r="N859" s="38">
        <f>IF(AND(1+$Q$7&gt;H859,1-$Q$7&lt;H859,1+$Q$7&gt;I859,1-$Q$7&lt;I859,1+$Q$7&gt;J859,1-$Q$7&lt;J859,1+$Q$7&gt;K859,1-$Q$7&lt;K859,1+$Q$7&gt;L859,1-$Q$7&lt;L859),IF(SUM($N$2:N858)=0,1,0),0)</f>
        <v>0</v>
      </c>
      <c r="O859" s="34">
        <f t="shared" si="13"/>
        <v>0</v>
      </c>
    </row>
    <row r="860" spans="8:15" ht="20.100000000000001" customHeight="1" x14ac:dyDescent="0.25">
      <c r="H860" s="43" t="str">
        <f>IFERROR(ABS(C860/VLOOKUP(2*$B860,$B861:C894,2,TRUE)),"--")</f>
        <v>--</v>
      </c>
      <c r="I860" s="43" t="str">
        <f>IFERROR(ABS(D860/VLOOKUP(2*$B860,$B861:D894,3,TRUE)),"--")</f>
        <v>--</v>
      </c>
      <c r="J860" s="43" t="str">
        <f>IFERROR(ABS(E860/VLOOKUP(2*$B860,$B861:E894,4,TRUE)),"--")</f>
        <v>--</v>
      </c>
      <c r="K860" s="43" t="str">
        <f>IFERROR(ABS(F860/VLOOKUP(2*$B860,$B861:F894,5,TRUE)),"--")</f>
        <v>--</v>
      </c>
      <c r="L860" s="43" t="str">
        <f>IFERROR(ABS(G860/VLOOKUP(2*$B860,$B861:G894,6,TRUE)),"--")</f>
        <v>--</v>
      </c>
      <c r="M860" s="38">
        <f>IF(AND(1+$Q$6&gt;H860,1-$Q$6&lt;H860,1+$Q$6&gt;I860,1-$Q$6&lt;I860,1+$Q$6&gt;J860,1-$Q$6&lt;J860,1+$Q$6&gt;K860,1-$Q$6&lt;K860,1+$Q$6&gt;L860,1-$Q$6&lt;L860),IF(SUM($M$2:M859)=0,1,0),0)</f>
        <v>0</v>
      </c>
      <c r="N860" s="38">
        <f>IF(AND(1+$Q$7&gt;H860,1-$Q$7&lt;H860,1+$Q$7&gt;I860,1-$Q$7&lt;I860,1+$Q$7&gt;J860,1-$Q$7&lt;J860,1+$Q$7&gt;K860,1-$Q$7&lt;K860,1+$Q$7&gt;L860,1-$Q$7&lt;L860),IF(SUM($N$2:N859)=0,1,0),0)</f>
        <v>0</v>
      </c>
      <c r="O860" s="34">
        <f t="shared" si="13"/>
        <v>0</v>
      </c>
    </row>
    <row r="861" spans="8:15" ht="20.100000000000001" customHeight="1" x14ac:dyDescent="0.25">
      <c r="H861" s="43" t="str">
        <f>IFERROR(ABS(C861/VLOOKUP(2*$B861,$B862:C895,2,TRUE)),"--")</f>
        <v>--</v>
      </c>
      <c r="I861" s="43" t="str">
        <f>IFERROR(ABS(D861/VLOOKUP(2*$B861,$B862:D895,3,TRUE)),"--")</f>
        <v>--</v>
      </c>
      <c r="J861" s="43" t="str">
        <f>IFERROR(ABS(E861/VLOOKUP(2*$B861,$B862:E895,4,TRUE)),"--")</f>
        <v>--</v>
      </c>
      <c r="K861" s="43" t="str">
        <f>IFERROR(ABS(F861/VLOOKUP(2*$B861,$B862:F895,5,TRUE)),"--")</f>
        <v>--</v>
      </c>
      <c r="L861" s="43" t="str">
        <f>IFERROR(ABS(G861/VLOOKUP(2*$B861,$B862:G895,6,TRUE)),"--")</f>
        <v>--</v>
      </c>
      <c r="M861" s="38">
        <f>IF(AND(1+$Q$6&gt;H861,1-$Q$6&lt;H861,1+$Q$6&gt;I861,1-$Q$6&lt;I861,1+$Q$6&gt;J861,1-$Q$6&lt;J861,1+$Q$6&gt;K861,1-$Q$6&lt;K861,1+$Q$6&gt;L861,1-$Q$6&lt;L861),IF(SUM($M$2:M860)=0,1,0),0)</f>
        <v>0</v>
      </c>
      <c r="N861" s="38">
        <f>IF(AND(1+$Q$7&gt;H861,1-$Q$7&lt;H861,1+$Q$7&gt;I861,1-$Q$7&lt;I861,1+$Q$7&gt;J861,1-$Q$7&lt;J861,1+$Q$7&gt;K861,1-$Q$7&lt;K861,1+$Q$7&gt;L861,1-$Q$7&lt;L861),IF(SUM($N$2:N860)=0,1,0),0)</f>
        <v>0</v>
      </c>
      <c r="O861" s="34">
        <f t="shared" si="13"/>
        <v>0</v>
      </c>
    </row>
    <row r="862" spans="8:15" ht="20.100000000000001" customHeight="1" x14ac:dyDescent="0.25">
      <c r="H862" s="43" t="str">
        <f>IFERROR(ABS(C862/VLOOKUP(2*$B862,$B863:C896,2,TRUE)),"--")</f>
        <v>--</v>
      </c>
      <c r="I862" s="43" t="str">
        <f>IFERROR(ABS(D862/VLOOKUP(2*$B862,$B863:D896,3,TRUE)),"--")</f>
        <v>--</v>
      </c>
      <c r="J862" s="43" t="str">
        <f>IFERROR(ABS(E862/VLOOKUP(2*$B862,$B863:E896,4,TRUE)),"--")</f>
        <v>--</v>
      </c>
      <c r="K862" s="43" t="str">
        <f>IFERROR(ABS(F862/VLOOKUP(2*$B862,$B863:F896,5,TRUE)),"--")</f>
        <v>--</v>
      </c>
      <c r="L862" s="43" t="str">
        <f>IFERROR(ABS(G862/VLOOKUP(2*$B862,$B863:G896,6,TRUE)),"--")</f>
        <v>--</v>
      </c>
      <c r="M862" s="38">
        <f>IF(AND(1+$Q$6&gt;H862,1-$Q$6&lt;H862,1+$Q$6&gt;I862,1-$Q$6&lt;I862,1+$Q$6&gt;J862,1-$Q$6&lt;J862,1+$Q$6&gt;K862,1-$Q$6&lt;K862,1+$Q$6&gt;L862,1-$Q$6&lt;L862),IF(SUM($M$2:M861)=0,1,0),0)</f>
        <v>0</v>
      </c>
      <c r="N862" s="38">
        <f>IF(AND(1+$Q$7&gt;H862,1-$Q$7&lt;H862,1+$Q$7&gt;I862,1-$Q$7&lt;I862,1+$Q$7&gt;J862,1-$Q$7&lt;J862,1+$Q$7&gt;K862,1-$Q$7&lt;K862,1+$Q$7&gt;L862,1-$Q$7&lt;L862),IF(SUM($N$2:N861)=0,1,0),0)</f>
        <v>0</v>
      </c>
      <c r="O862" s="34">
        <f t="shared" si="13"/>
        <v>0</v>
      </c>
    </row>
    <row r="863" spans="8:15" ht="20.100000000000001" customHeight="1" x14ac:dyDescent="0.25">
      <c r="H863" s="43" t="str">
        <f>IFERROR(ABS(C863/VLOOKUP(2*$B863,$B864:C897,2,TRUE)),"--")</f>
        <v>--</v>
      </c>
      <c r="I863" s="43" t="str">
        <f>IFERROR(ABS(D863/VLOOKUP(2*$B863,$B864:D897,3,TRUE)),"--")</f>
        <v>--</v>
      </c>
      <c r="J863" s="43" t="str">
        <f>IFERROR(ABS(E863/VLOOKUP(2*$B863,$B864:E897,4,TRUE)),"--")</f>
        <v>--</v>
      </c>
      <c r="K863" s="43" t="str">
        <f>IFERROR(ABS(F863/VLOOKUP(2*$B863,$B864:F897,5,TRUE)),"--")</f>
        <v>--</v>
      </c>
      <c r="L863" s="43" t="str">
        <f>IFERROR(ABS(G863/VLOOKUP(2*$B863,$B864:G897,6,TRUE)),"--")</f>
        <v>--</v>
      </c>
      <c r="M863" s="38">
        <f>IF(AND(1+$Q$6&gt;H863,1-$Q$6&lt;H863,1+$Q$6&gt;I863,1-$Q$6&lt;I863,1+$Q$6&gt;J863,1-$Q$6&lt;J863,1+$Q$6&gt;K863,1-$Q$6&lt;K863,1+$Q$6&gt;L863,1-$Q$6&lt;L863),IF(SUM($M$2:M862)=0,1,0),0)</f>
        <v>0</v>
      </c>
      <c r="N863" s="38">
        <f>IF(AND(1+$Q$7&gt;H863,1-$Q$7&lt;H863,1+$Q$7&gt;I863,1-$Q$7&lt;I863,1+$Q$7&gt;J863,1-$Q$7&lt;J863,1+$Q$7&gt;K863,1-$Q$7&lt;K863,1+$Q$7&gt;L863,1-$Q$7&lt;L863),IF(SUM($N$2:N862)=0,1,0),0)</f>
        <v>0</v>
      </c>
      <c r="O863" s="34">
        <f t="shared" si="13"/>
        <v>0</v>
      </c>
    </row>
    <row r="864" spans="8:15" ht="20.100000000000001" customHeight="1" x14ac:dyDescent="0.25">
      <c r="H864" s="43" t="str">
        <f>IFERROR(ABS(C864/VLOOKUP(2*$B864,$B865:C898,2,TRUE)),"--")</f>
        <v>--</v>
      </c>
      <c r="I864" s="43" t="str">
        <f>IFERROR(ABS(D864/VLOOKUP(2*$B864,$B865:D898,3,TRUE)),"--")</f>
        <v>--</v>
      </c>
      <c r="J864" s="43" t="str">
        <f>IFERROR(ABS(E864/VLOOKUP(2*$B864,$B865:E898,4,TRUE)),"--")</f>
        <v>--</v>
      </c>
      <c r="K864" s="43" t="str">
        <f>IFERROR(ABS(F864/VLOOKUP(2*$B864,$B865:F898,5,TRUE)),"--")</f>
        <v>--</v>
      </c>
      <c r="L864" s="43" t="str">
        <f>IFERROR(ABS(G864/VLOOKUP(2*$B864,$B865:G898,6,TRUE)),"--")</f>
        <v>--</v>
      </c>
      <c r="M864" s="38">
        <f>IF(AND(1+$Q$6&gt;H864,1-$Q$6&lt;H864,1+$Q$6&gt;I864,1-$Q$6&lt;I864,1+$Q$6&gt;J864,1-$Q$6&lt;J864,1+$Q$6&gt;K864,1-$Q$6&lt;K864,1+$Q$6&gt;L864,1-$Q$6&lt;L864),IF(SUM($M$2:M863)=0,1,0),0)</f>
        <v>0</v>
      </c>
      <c r="N864" s="38">
        <f>IF(AND(1+$Q$7&gt;H864,1-$Q$7&lt;H864,1+$Q$7&gt;I864,1-$Q$7&lt;I864,1+$Q$7&gt;J864,1-$Q$7&lt;J864,1+$Q$7&gt;K864,1-$Q$7&lt;K864,1+$Q$7&gt;L864,1-$Q$7&lt;L864),IF(SUM($N$2:N863)=0,1,0),0)</f>
        <v>0</v>
      </c>
      <c r="O864" s="34">
        <f t="shared" si="13"/>
        <v>0</v>
      </c>
    </row>
    <row r="865" spans="8:15" ht="20.100000000000001" customHeight="1" x14ac:dyDescent="0.25">
      <c r="H865" s="43" t="str">
        <f>IFERROR(ABS(C865/VLOOKUP(2*$B865,$B866:C899,2,TRUE)),"--")</f>
        <v>--</v>
      </c>
      <c r="I865" s="43" t="str">
        <f>IFERROR(ABS(D865/VLOOKUP(2*$B865,$B866:D899,3,TRUE)),"--")</f>
        <v>--</v>
      </c>
      <c r="J865" s="43" t="str">
        <f>IFERROR(ABS(E865/VLOOKUP(2*$B865,$B866:E899,4,TRUE)),"--")</f>
        <v>--</v>
      </c>
      <c r="K865" s="43" t="str">
        <f>IFERROR(ABS(F865/VLOOKUP(2*$B865,$B866:F899,5,TRUE)),"--")</f>
        <v>--</v>
      </c>
      <c r="L865" s="43" t="str">
        <f>IFERROR(ABS(G865/VLOOKUP(2*$B865,$B866:G899,6,TRUE)),"--")</f>
        <v>--</v>
      </c>
      <c r="M865" s="38">
        <f>IF(AND(1+$Q$6&gt;H865,1-$Q$6&lt;H865,1+$Q$6&gt;I865,1-$Q$6&lt;I865,1+$Q$6&gt;J865,1-$Q$6&lt;J865,1+$Q$6&gt;K865,1-$Q$6&lt;K865,1+$Q$6&gt;L865,1-$Q$6&lt;L865),IF(SUM($M$2:M864)=0,1,0),0)</f>
        <v>0</v>
      </c>
      <c r="N865" s="38">
        <f>IF(AND(1+$Q$7&gt;H865,1-$Q$7&lt;H865,1+$Q$7&gt;I865,1-$Q$7&lt;I865,1+$Q$7&gt;J865,1-$Q$7&lt;J865,1+$Q$7&gt;K865,1-$Q$7&lt;K865,1+$Q$7&gt;L865,1-$Q$7&lt;L865),IF(SUM($N$2:N864)=0,1,0),0)</f>
        <v>0</v>
      </c>
      <c r="O865" s="34">
        <f t="shared" si="13"/>
        <v>0</v>
      </c>
    </row>
    <row r="866" spans="8:15" ht="20.100000000000001" customHeight="1" x14ac:dyDescent="0.25">
      <c r="H866" s="43" t="str">
        <f>IFERROR(ABS(C866/VLOOKUP(2*$B866,$B867:C900,2,TRUE)),"--")</f>
        <v>--</v>
      </c>
      <c r="I866" s="43" t="str">
        <f>IFERROR(ABS(D866/VLOOKUP(2*$B866,$B867:D900,3,TRUE)),"--")</f>
        <v>--</v>
      </c>
      <c r="J866" s="43" t="str">
        <f>IFERROR(ABS(E866/VLOOKUP(2*$B866,$B867:E900,4,TRUE)),"--")</f>
        <v>--</v>
      </c>
      <c r="K866" s="43" t="str">
        <f>IFERROR(ABS(F866/VLOOKUP(2*$B866,$B867:F900,5,TRUE)),"--")</f>
        <v>--</v>
      </c>
      <c r="L866" s="43" t="str">
        <f>IFERROR(ABS(G866/VLOOKUP(2*$B866,$B867:G900,6,TRUE)),"--")</f>
        <v>--</v>
      </c>
      <c r="M866" s="38">
        <f>IF(AND(1+$Q$6&gt;H866,1-$Q$6&lt;H866,1+$Q$6&gt;I866,1-$Q$6&lt;I866,1+$Q$6&gt;J866,1-$Q$6&lt;J866,1+$Q$6&gt;K866,1-$Q$6&lt;K866,1+$Q$6&gt;L866,1-$Q$6&lt;L866),IF(SUM($M$2:M865)=0,1,0),0)</f>
        <v>0</v>
      </c>
      <c r="N866" s="38">
        <f>IF(AND(1+$Q$7&gt;H866,1-$Q$7&lt;H866,1+$Q$7&gt;I866,1-$Q$7&lt;I866,1+$Q$7&gt;J866,1-$Q$7&lt;J866,1+$Q$7&gt;K866,1-$Q$7&lt;K866,1+$Q$7&gt;L866,1-$Q$7&lt;L866),IF(SUM($N$2:N865)=0,1,0),0)</f>
        <v>0</v>
      </c>
      <c r="O866" s="34">
        <f t="shared" si="13"/>
        <v>0</v>
      </c>
    </row>
    <row r="867" spans="8:15" ht="20.100000000000001" customHeight="1" x14ac:dyDescent="0.25">
      <c r="H867" s="43" t="str">
        <f>IFERROR(ABS(C867/VLOOKUP(2*$B867,$B868:C901,2,TRUE)),"--")</f>
        <v>--</v>
      </c>
      <c r="I867" s="43" t="str">
        <f>IFERROR(ABS(D867/VLOOKUP(2*$B867,$B868:D901,3,TRUE)),"--")</f>
        <v>--</v>
      </c>
      <c r="J867" s="43" t="str">
        <f>IFERROR(ABS(E867/VLOOKUP(2*$B867,$B868:E901,4,TRUE)),"--")</f>
        <v>--</v>
      </c>
      <c r="K867" s="43" t="str">
        <f>IFERROR(ABS(F867/VLOOKUP(2*$B867,$B868:F901,5,TRUE)),"--")</f>
        <v>--</v>
      </c>
      <c r="L867" s="43" t="str">
        <f>IFERROR(ABS(G867/VLOOKUP(2*$B867,$B868:G901,6,TRUE)),"--")</f>
        <v>--</v>
      </c>
      <c r="M867" s="38">
        <f>IF(AND(1+$Q$6&gt;H867,1-$Q$6&lt;H867,1+$Q$6&gt;I867,1-$Q$6&lt;I867,1+$Q$6&gt;J867,1-$Q$6&lt;J867,1+$Q$6&gt;K867,1-$Q$6&lt;K867,1+$Q$6&gt;L867,1-$Q$6&lt;L867),IF(SUM($M$2:M866)=0,1,0),0)</f>
        <v>0</v>
      </c>
      <c r="N867" s="38">
        <f>IF(AND(1+$Q$7&gt;H867,1-$Q$7&lt;H867,1+$Q$7&gt;I867,1-$Q$7&lt;I867,1+$Q$7&gt;J867,1-$Q$7&lt;J867,1+$Q$7&gt;K867,1-$Q$7&lt;K867,1+$Q$7&gt;L867,1-$Q$7&lt;L867),IF(SUM($N$2:N866)=0,1,0),0)</f>
        <v>0</v>
      </c>
      <c r="O867" s="34">
        <f t="shared" si="13"/>
        <v>0</v>
      </c>
    </row>
    <row r="868" spans="8:15" ht="20.100000000000001" customHeight="1" x14ac:dyDescent="0.25">
      <c r="H868" s="43" t="str">
        <f>IFERROR(ABS(C868/VLOOKUP(2*$B868,$B869:C902,2,TRUE)),"--")</f>
        <v>--</v>
      </c>
      <c r="I868" s="43" t="str">
        <f>IFERROR(ABS(D868/VLOOKUP(2*$B868,$B869:D902,3,TRUE)),"--")</f>
        <v>--</v>
      </c>
      <c r="J868" s="43" t="str">
        <f>IFERROR(ABS(E868/VLOOKUP(2*$B868,$B869:E902,4,TRUE)),"--")</f>
        <v>--</v>
      </c>
      <c r="K868" s="43" t="str">
        <f>IFERROR(ABS(F868/VLOOKUP(2*$B868,$B869:F902,5,TRUE)),"--")</f>
        <v>--</v>
      </c>
      <c r="L868" s="43" t="str">
        <f>IFERROR(ABS(G868/VLOOKUP(2*$B868,$B869:G902,6,TRUE)),"--")</f>
        <v>--</v>
      </c>
      <c r="M868" s="38">
        <f>IF(AND(1+$Q$6&gt;H868,1-$Q$6&lt;H868,1+$Q$6&gt;I868,1-$Q$6&lt;I868,1+$Q$6&gt;J868,1-$Q$6&lt;J868,1+$Q$6&gt;K868,1-$Q$6&lt;K868,1+$Q$6&gt;L868,1-$Q$6&lt;L868),IF(SUM($M$2:M867)=0,1,0),0)</f>
        <v>0</v>
      </c>
      <c r="N868" s="38">
        <f>IF(AND(1+$Q$7&gt;H868,1-$Q$7&lt;H868,1+$Q$7&gt;I868,1-$Q$7&lt;I868,1+$Q$7&gt;J868,1-$Q$7&lt;J868,1+$Q$7&gt;K868,1-$Q$7&lt;K868,1+$Q$7&gt;L868,1-$Q$7&lt;L868),IF(SUM($N$2:N867)=0,1,0),0)</f>
        <v>0</v>
      </c>
      <c r="O868" s="34">
        <f t="shared" si="13"/>
        <v>0</v>
      </c>
    </row>
    <row r="869" spans="8:15" ht="20.100000000000001" customHeight="1" x14ac:dyDescent="0.25">
      <c r="H869" s="43" t="str">
        <f>IFERROR(ABS(C869/VLOOKUP(2*$B869,$B870:C903,2,TRUE)),"--")</f>
        <v>--</v>
      </c>
      <c r="I869" s="43" t="str">
        <f>IFERROR(ABS(D869/VLOOKUP(2*$B869,$B870:D903,3,TRUE)),"--")</f>
        <v>--</v>
      </c>
      <c r="J869" s="43" t="str">
        <f>IFERROR(ABS(E869/VLOOKUP(2*$B869,$B870:E903,4,TRUE)),"--")</f>
        <v>--</v>
      </c>
      <c r="K869" s="43" t="str">
        <f>IFERROR(ABS(F869/VLOOKUP(2*$B869,$B870:F903,5,TRUE)),"--")</f>
        <v>--</v>
      </c>
      <c r="L869" s="43" t="str">
        <f>IFERROR(ABS(G869/VLOOKUP(2*$B869,$B870:G903,6,TRUE)),"--")</f>
        <v>--</v>
      </c>
      <c r="M869" s="38">
        <f>IF(AND(1+$Q$6&gt;H869,1-$Q$6&lt;H869,1+$Q$6&gt;I869,1-$Q$6&lt;I869,1+$Q$6&gt;J869,1-$Q$6&lt;J869,1+$Q$6&gt;K869,1-$Q$6&lt;K869,1+$Q$6&gt;L869,1-$Q$6&lt;L869),IF(SUM($M$2:M868)=0,1,0),0)</f>
        <v>0</v>
      </c>
      <c r="N869" s="38">
        <f>IF(AND(1+$Q$7&gt;H869,1-$Q$7&lt;H869,1+$Q$7&gt;I869,1-$Q$7&lt;I869,1+$Q$7&gt;J869,1-$Q$7&lt;J869,1+$Q$7&gt;K869,1-$Q$7&lt;K869,1+$Q$7&gt;L869,1-$Q$7&lt;L869),IF(SUM($N$2:N868)=0,1,0),0)</f>
        <v>0</v>
      </c>
      <c r="O869" s="34">
        <f t="shared" si="13"/>
        <v>0</v>
      </c>
    </row>
    <row r="870" spans="8:15" ht="20.100000000000001" customHeight="1" x14ac:dyDescent="0.25">
      <c r="H870" s="43" t="str">
        <f>IFERROR(ABS(C870/VLOOKUP(2*$B870,$B871:C904,2,TRUE)),"--")</f>
        <v>--</v>
      </c>
      <c r="I870" s="43" t="str">
        <f>IFERROR(ABS(D870/VLOOKUP(2*$B870,$B871:D904,3,TRUE)),"--")</f>
        <v>--</v>
      </c>
      <c r="J870" s="43" t="str">
        <f>IFERROR(ABS(E870/VLOOKUP(2*$B870,$B871:E904,4,TRUE)),"--")</f>
        <v>--</v>
      </c>
      <c r="K870" s="43" t="str">
        <f>IFERROR(ABS(F870/VLOOKUP(2*$B870,$B871:F904,5,TRUE)),"--")</f>
        <v>--</v>
      </c>
      <c r="L870" s="43" t="str">
        <f>IFERROR(ABS(G870/VLOOKUP(2*$B870,$B871:G904,6,TRUE)),"--")</f>
        <v>--</v>
      </c>
      <c r="M870" s="38">
        <f>IF(AND(1+$Q$6&gt;H870,1-$Q$6&lt;H870,1+$Q$6&gt;I870,1-$Q$6&lt;I870,1+$Q$6&gt;J870,1-$Q$6&lt;J870,1+$Q$6&gt;K870,1-$Q$6&lt;K870,1+$Q$6&gt;L870,1-$Q$6&lt;L870),IF(SUM($M$2:M869)=0,1,0),0)</f>
        <v>0</v>
      </c>
      <c r="N870" s="38">
        <f>IF(AND(1+$Q$7&gt;H870,1-$Q$7&lt;H870,1+$Q$7&gt;I870,1-$Q$7&lt;I870,1+$Q$7&gt;J870,1-$Q$7&lt;J870,1+$Q$7&gt;K870,1-$Q$7&lt;K870,1+$Q$7&gt;L870,1-$Q$7&lt;L870),IF(SUM($N$2:N869)=0,1,0),0)</f>
        <v>0</v>
      </c>
      <c r="O870" s="34">
        <f t="shared" si="13"/>
        <v>0</v>
      </c>
    </row>
    <row r="871" spans="8:15" ht="20.100000000000001" customHeight="1" x14ac:dyDescent="0.25">
      <c r="H871" s="43" t="str">
        <f>IFERROR(ABS(C871/VLOOKUP(2*$B871,$B872:C905,2,TRUE)),"--")</f>
        <v>--</v>
      </c>
      <c r="I871" s="43" t="str">
        <f>IFERROR(ABS(D871/VLOOKUP(2*$B871,$B872:D905,3,TRUE)),"--")</f>
        <v>--</v>
      </c>
      <c r="J871" s="43" t="str">
        <f>IFERROR(ABS(E871/VLOOKUP(2*$B871,$B872:E905,4,TRUE)),"--")</f>
        <v>--</v>
      </c>
      <c r="K871" s="43" t="str">
        <f>IFERROR(ABS(F871/VLOOKUP(2*$B871,$B872:F905,5,TRUE)),"--")</f>
        <v>--</v>
      </c>
      <c r="L871" s="43" t="str">
        <f>IFERROR(ABS(G871/VLOOKUP(2*$B871,$B872:G905,6,TRUE)),"--")</f>
        <v>--</v>
      </c>
      <c r="M871" s="38">
        <f>IF(AND(1+$Q$6&gt;H871,1-$Q$6&lt;H871,1+$Q$6&gt;I871,1-$Q$6&lt;I871,1+$Q$6&gt;J871,1-$Q$6&lt;J871,1+$Q$6&gt;K871,1-$Q$6&lt;K871,1+$Q$6&gt;L871,1-$Q$6&lt;L871),IF(SUM($M$2:M870)=0,1,0),0)</f>
        <v>0</v>
      </c>
      <c r="N871" s="38">
        <f>IF(AND(1+$Q$7&gt;H871,1-$Q$7&lt;H871,1+$Q$7&gt;I871,1-$Q$7&lt;I871,1+$Q$7&gt;J871,1-$Q$7&lt;J871,1+$Q$7&gt;K871,1-$Q$7&lt;K871,1+$Q$7&gt;L871,1-$Q$7&lt;L871),IF(SUM($N$2:N870)=0,1,0),0)</f>
        <v>0</v>
      </c>
      <c r="O871" s="34">
        <f t="shared" si="13"/>
        <v>0</v>
      </c>
    </row>
    <row r="872" spans="8:15" ht="20.100000000000001" customHeight="1" x14ac:dyDescent="0.25">
      <c r="H872" s="43" t="str">
        <f>IFERROR(ABS(C872/VLOOKUP(2*$B872,$B873:C906,2,TRUE)),"--")</f>
        <v>--</v>
      </c>
      <c r="I872" s="43" t="str">
        <f>IFERROR(ABS(D872/VLOOKUP(2*$B872,$B873:D906,3,TRUE)),"--")</f>
        <v>--</v>
      </c>
      <c r="J872" s="43" t="str">
        <f>IFERROR(ABS(E872/VLOOKUP(2*$B872,$B873:E906,4,TRUE)),"--")</f>
        <v>--</v>
      </c>
      <c r="K872" s="43" t="str">
        <f>IFERROR(ABS(F872/VLOOKUP(2*$B872,$B873:F906,5,TRUE)),"--")</f>
        <v>--</v>
      </c>
      <c r="L872" s="43" t="str">
        <f>IFERROR(ABS(G872/VLOOKUP(2*$B872,$B873:G906,6,TRUE)),"--")</f>
        <v>--</v>
      </c>
      <c r="M872" s="38">
        <f>IF(AND(1+$Q$6&gt;H872,1-$Q$6&lt;H872,1+$Q$6&gt;I872,1-$Q$6&lt;I872,1+$Q$6&gt;J872,1-$Q$6&lt;J872,1+$Q$6&gt;K872,1-$Q$6&lt;K872,1+$Q$6&gt;L872,1-$Q$6&lt;L872),IF(SUM($M$2:M871)=0,1,0),0)</f>
        <v>0</v>
      </c>
      <c r="N872" s="38">
        <f>IF(AND(1+$Q$7&gt;H872,1-$Q$7&lt;H872,1+$Q$7&gt;I872,1-$Q$7&lt;I872,1+$Q$7&gt;J872,1-$Q$7&lt;J872,1+$Q$7&gt;K872,1-$Q$7&lt;K872,1+$Q$7&gt;L872,1-$Q$7&lt;L872),IF(SUM($N$2:N871)=0,1,0),0)</f>
        <v>0</v>
      </c>
      <c r="O872" s="34">
        <f t="shared" si="13"/>
        <v>0</v>
      </c>
    </row>
    <row r="873" spans="8:15" ht="20.100000000000001" customHeight="1" x14ac:dyDescent="0.25">
      <c r="H873" s="43" t="str">
        <f>IFERROR(ABS(C873/VLOOKUP(2*$B873,$B874:C907,2,TRUE)),"--")</f>
        <v>--</v>
      </c>
      <c r="I873" s="43" t="str">
        <f>IFERROR(ABS(D873/VLOOKUP(2*$B873,$B874:D907,3,TRUE)),"--")</f>
        <v>--</v>
      </c>
      <c r="J873" s="43" t="str">
        <f>IFERROR(ABS(E873/VLOOKUP(2*$B873,$B874:E907,4,TRUE)),"--")</f>
        <v>--</v>
      </c>
      <c r="K873" s="43" t="str">
        <f>IFERROR(ABS(F873/VLOOKUP(2*$B873,$B874:F907,5,TRUE)),"--")</f>
        <v>--</v>
      </c>
      <c r="L873" s="43" t="str">
        <f>IFERROR(ABS(G873/VLOOKUP(2*$B873,$B874:G907,6,TRUE)),"--")</f>
        <v>--</v>
      </c>
      <c r="M873" s="38">
        <f>IF(AND(1+$Q$6&gt;H873,1-$Q$6&lt;H873,1+$Q$6&gt;I873,1-$Q$6&lt;I873,1+$Q$6&gt;J873,1-$Q$6&lt;J873,1+$Q$6&gt;K873,1-$Q$6&lt;K873,1+$Q$6&gt;L873,1-$Q$6&lt;L873),IF(SUM($M$2:M872)=0,1,0),0)</f>
        <v>0</v>
      </c>
      <c r="N873" s="38">
        <f>IF(AND(1+$Q$7&gt;H873,1-$Q$7&lt;H873,1+$Q$7&gt;I873,1-$Q$7&lt;I873,1+$Q$7&gt;J873,1-$Q$7&lt;J873,1+$Q$7&gt;K873,1-$Q$7&lt;K873,1+$Q$7&gt;L873,1-$Q$7&lt;L873),IF(SUM($N$2:N872)=0,1,0),0)</f>
        <v>0</v>
      </c>
      <c r="O873" s="34">
        <f t="shared" si="13"/>
        <v>0</v>
      </c>
    </row>
    <row r="874" spans="8:15" ht="20.100000000000001" customHeight="1" x14ac:dyDescent="0.25">
      <c r="H874" s="43" t="str">
        <f>IFERROR(ABS(C874/VLOOKUP(2*$B874,$B875:C908,2,TRUE)),"--")</f>
        <v>--</v>
      </c>
      <c r="I874" s="43" t="str">
        <f>IFERROR(ABS(D874/VLOOKUP(2*$B874,$B875:D908,3,TRUE)),"--")</f>
        <v>--</v>
      </c>
      <c r="J874" s="43" t="str">
        <f>IFERROR(ABS(E874/VLOOKUP(2*$B874,$B875:E908,4,TRUE)),"--")</f>
        <v>--</v>
      </c>
      <c r="K874" s="43" t="str">
        <f>IFERROR(ABS(F874/VLOOKUP(2*$B874,$B875:F908,5,TRUE)),"--")</f>
        <v>--</v>
      </c>
      <c r="L874" s="43" t="str">
        <f>IFERROR(ABS(G874/VLOOKUP(2*$B874,$B875:G908,6,TRUE)),"--")</f>
        <v>--</v>
      </c>
      <c r="M874" s="38">
        <f>IF(AND(1+$Q$6&gt;H874,1-$Q$6&lt;H874,1+$Q$6&gt;I874,1-$Q$6&lt;I874,1+$Q$6&gt;J874,1-$Q$6&lt;J874,1+$Q$6&gt;K874,1-$Q$6&lt;K874,1+$Q$6&gt;L874,1-$Q$6&lt;L874),IF(SUM($M$2:M873)=0,1,0),0)</f>
        <v>0</v>
      </c>
      <c r="N874" s="38">
        <f>IF(AND(1+$Q$7&gt;H874,1-$Q$7&lt;H874,1+$Q$7&gt;I874,1-$Q$7&lt;I874,1+$Q$7&gt;J874,1-$Q$7&lt;J874,1+$Q$7&gt;K874,1-$Q$7&lt;K874,1+$Q$7&gt;L874,1-$Q$7&lt;L874),IF(SUM($N$2:N873)=0,1,0),0)</f>
        <v>0</v>
      </c>
      <c r="O874" s="34">
        <f t="shared" si="13"/>
        <v>0</v>
      </c>
    </row>
    <row r="875" spans="8:15" ht="20.100000000000001" customHeight="1" x14ac:dyDescent="0.25">
      <c r="H875" s="43" t="str">
        <f>IFERROR(ABS(C875/VLOOKUP(2*$B875,$B876:C909,2,TRUE)),"--")</f>
        <v>--</v>
      </c>
      <c r="I875" s="43" t="str">
        <f>IFERROR(ABS(D875/VLOOKUP(2*$B875,$B876:D909,3,TRUE)),"--")</f>
        <v>--</v>
      </c>
      <c r="J875" s="43" t="str">
        <f>IFERROR(ABS(E875/VLOOKUP(2*$B875,$B876:E909,4,TRUE)),"--")</f>
        <v>--</v>
      </c>
      <c r="K875" s="43" t="str">
        <f>IFERROR(ABS(F875/VLOOKUP(2*$B875,$B876:F909,5,TRUE)),"--")</f>
        <v>--</v>
      </c>
      <c r="L875" s="43" t="str">
        <f>IFERROR(ABS(G875/VLOOKUP(2*$B875,$B876:G909,6,TRUE)),"--")</f>
        <v>--</v>
      </c>
      <c r="M875" s="38">
        <f>IF(AND(1+$Q$6&gt;H875,1-$Q$6&lt;H875,1+$Q$6&gt;I875,1-$Q$6&lt;I875,1+$Q$6&gt;J875,1-$Q$6&lt;J875,1+$Q$6&gt;K875,1-$Q$6&lt;K875,1+$Q$6&gt;L875,1-$Q$6&lt;L875),IF(SUM($M$2:M874)=0,1,0),0)</f>
        <v>0</v>
      </c>
      <c r="N875" s="38">
        <f>IF(AND(1+$Q$7&gt;H875,1-$Q$7&lt;H875,1+$Q$7&gt;I875,1-$Q$7&lt;I875,1+$Q$7&gt;J875,1-$Q$7&lt;J875,1+$Q$7&gt;K875,1-$Q$7&lt;K875,1+$Q$7&gt;L875,1-$Q$7&lt;L875),IF(SUM($N$2:N874)=0,1,0),0)</f>
        <v>0</v>
      </c>
      <c r="O875" s="34">
        <f t="shared" si="13"/>
        <v>0</v>
      </c>
    </row>
    <row r="876" spans="8:15" ht="20.100000000000001" customHeight="1" x14ac:dyDescent="0.25">
      <c r="H876" s="43" t="str">
        <f>IFERROR(ABS(C876/VLOOKUP(2*$B876,$B877:C910,2,TRUE)),"--")</f>
        <v>--</v>
      </c>
      <c r="I876" s="43" t="str">
        <f>IFERROR(ABS(D876/VLOOKUP(2*$B876,$B877:D910,3,TRUE)),"--")</f>
        <v>--</v>
      </c>
      <c r="J876" s="43" t="str">
        <f>IFERROR(ABS(E876/VLOOKUP(2*$B876,$B877:E910,4,TRUE)),"--")</f>
        <v>--</v>
      </c>
      <c r="K876" s="43" t="str">
        <f>IFERROR(ABS(F876/VLOOKUP(2*$B876,$B877:F910,5,TRUE)),"--")</f>
        <v>--</v>
      </c>
      <c r="L876" s="43" t="str">
        <f>IFERROR(ABS(G876/VLOOKUP(2*$B876,$B877:G910,6,TRUE)),"--")</f>
        <v>--</v>
      </c>
      <c r="M876" s="38">
        <f>IF(AND(1+$Q$6&gt;H876,1-$Q$6&lt;H876,1+$Q$6&gt;I876,1-$Q$6&lt;I876,1+$Q$6&gt;J876,1-$Q$6&lt;J876,1+$Q$6&gt;K876,1-$Q$6&lt;K876,1+$Q$6&gt;L876,1-$Q$6&lt;L876),IF(SUM($M$2:M875)=0,1,0),0)</f>
        <v>0</v>
      </c>
      <c r="N876" s="38">
        <f>IF(AND(1+$Q$7&gt;H876,1-$Q$7&lt;H876,1+$Q$7&gt;I876,1-$Q$7&lt;I876,1+$Q$7&gt;J876,1-$Q$7&lt;J876,1+$Q$7&gt;K876,1-$Q$7&lt;K876,1+$Q$7&gt;L876,1-$Q$7&lt;L876),IF(SUM($N$2:N875)=0,1,0),0)</f>
        <v>0</v>
      </c>
      <c r="O876" s="34">
        <f t="shared" si="13"/>
        <v>0</v>
      </c>
    </row>
    <row r="877" spans="8:15" ht="20.100000000000001" customHeight="1" x14ac:dyDescent="0.25">
      <c r="H877" s="43" t="str">
        <f>IFERROR(ABS(C877/VLOOKUP(2*$B877,$B878:C911,2,TRUE)),"--")</f>
        <v>--</v>
      </c>
      <c r="I877" s="43" t="str">
        <f>IFERROR(ABS(D877/VLOOKUP(2*$B877,$B878:D911,3,TRUE)),"--")</f>
        <v>--</v>
      </c>
      <c r="J877" s="43" t="str">
        <f>IFERROR(ABS(E877/VLOOKUP(2*$B877,$B878:E911,4,TRUE)),"--")</f>
        <v>--</v>
      </c>
      <c r="K877" s="43" t="str">
        <f>IFERROR(ABS(F877/VLOOKUP(2*$B877,$B878:F911,5,TRUE)),"--")</f>
        <v>--</v>
      </c>
      <c r="L877" s="43" t="str">
        <f>IFERROR(ABS(G877/VLOOKUP(2*$B877,$B878:G911,6,TRUE)),"--")</f>
        <v>--</v>
      </c>
      <c r="M877" s="38">
        <f>IF(AND(1+$Q$6&gt;H877,1-$Q$6&lt;H877,1+$Q$6&gt;I877,1-$Q$6&lt;I877,1+$Q$6&gt;J877,1-$Q$6&lt;J877,1+$Q$6&gt;K877,1-$Q$6&lt;K877,1+$Q$6&gt;L877,1-$Q$6&lt;L877),IF(SUM($M$2:M876)=0,1,0),0)</f>
        <v>0</v>
      </c>
      <c r="N877" s="38">
        <f>IF(AND(1+$Q$7&gt;H877,1-$Q$7&lt;H877,1+$Q$7&gt;I877,1-$Q$7&lt;I877,1+$Q$7&gt;J877,1-$Q$7&lt;J877,1+$Q$7&gt;K877,1-$Q$7&lt;K877,1+$Q$7&gt;L877,1-$Q$7&lt;L877),IF(SUM($N$2:N876)=0,1,0),0)</f>
        <v>0</v>
      </c>
      <c r="O877" s="34">
        <f t="shared" si="13"/>
        <v>0</v>
      </c>
    </row>
    <row r="878" spans="8:15" ht="20.100000000000001" customHeight="1" x14ac:dyDescent="0.25">
      <c r="H878" s="43" t="str">
        <f>IFERROR(ABS(C878/VLOOKUP(2*$B878,$B879:C912,2,TRUE)),"--")</f>
        <v>--</v>
      </c>
      <c r="I878" s="43" t="str">
        <f>IFERROR(ABS(D878/VLOOKUP(2*$B878,$B879:D912,3,TRUE)),"--")</f>
        <v>--</v>
      </c>
      <c r="J878" s="43" t="str">
        <f>IFERROR(ABS(E878/VLOOKUP(2*$B878,$B879:E912,4,TRUE)),"--")</f>
        <v>--</v>
      </c>
      <c r="K878" s="43" t="str">
        <f>IFERROR(ABS(F878/VLOOKUP(2*$B878,$B879:F912,5,TRUE)),"--")</f>
        <v>--</v>
      </c>
      <c r="L878" s="43" t="str">
        <f>IFERROR(ABS(G878/VLOOKUP(2*$B878,$B879:G912,6,TRUE)),"--")</f>
        <v>--</v>
      </c>
      <c r="M878" s="38">
        <f>IF(AND(1+$Q$6&gt;H878,1-$Q$6&lt;H878,1+$Q$6&gt;I878,1-$Q$6&lt;I878,1+$Q$6&gt;J878,1-$Q$6&lt;J878,1+$Q$6&gt;K878,1-$Q$6&lt;K878,1+$Q$6&gt;L878,1-$Q$6&lt;L878),IF(SUM($M$2:M877)=0,1,0),0)</f>
        <v>0</v>
      </c>
      <c r="N878" s="38">
        <f>IF(AND(1+$Q$7&gt;H878,1-$Q$7&lt;H878,1+$Q$7&gt;I878,1-$Q$7&lt;I878,1+$Q$7&gt;J878,1-$Q$7&lt;J878,1+$Q$7&gt;K878,1-$Q$7&lt;K878,1+$Q$7&gt;L878,1-$Q$7&lt;L878),IF(SUM($N$2:N877)=0,1,0),0)</f>
        <v>0</v>
      </c>
      <c r="O878" s="34">
        <f t="shared" si="13"/>
        <v>0</v>
      </c>
    </row>
    <row r="879" spans="8:15" ht="20.100000000000001" customHeight="1" x14ac:dyDescent="0.25">
      <c r="H879" s="43" t="str">
        <f>IFERROR(ABS(C879/VLOOKUP(2*$B879,$B880:C913,2,TRUE)),"--")</f>
        <v>--</v>
      </c>
      <c r="I879" s="43" t="str">
        <f>IFERROR(ABS(D879/VLOOKUP(2*$B879,$B880:D913,3,TRUE)),"--")</f>
        <v>--</v>
      </c>
      <c r="J879" s="43" t="str">
        <f>IFERROR(ABS(E879/VLOOKUP(2*$B879,$B880:E913,4,TRUE)),"--")</f>
        <v>--</v>
      </c>
      <c r="K879" s="43" t="str">
        <f>IFERROR(ABS(F879/VLOOKUP(2*$B879,$B880:F913,5,TRUE)),"--")</f>
        <v>--</v>
      </c>
      <c r="L879" s="43" t="str">
        <f>IFERROR(ABS(G879/VLOOKUP(2*$B879,$B880:G913,6,TRUE)),"--")</f>
        <v>--</v>
      </c>
      <c r="M879" s="38">
        <f>IF(AND(1+$Q$6&gt;H879,1-$Q$6&lt;H879,1+$Q$6&gt;I879,1-$Q$6&lt;I879,1+$Q$6&gt;J879,1-$Q$6&lt;J879,1+$Q$6&gt;K879,1-$Q$6&lt;K879,1+$Q$6&gt;L879,1-$Q$6&lt;L879),IF(SUM($M$2:M878)=0,1,0),0)</f>
        <v>0</v>
      </c>
      <c r="N879" s="38">
        <f>IF(AND(1+$Q$7&gt;H879,1-$Q$7&lt;H879,1+$Q$7&gt;I879,1-$Q$7&lt;I879,1+$Q$7&gt;J879,1-$Q$7&lt;J879,1+$Q$7&gt;K879,1-$Q$7&lt;K879,1+$Q$7&gt;L879,1-$Q$7&lt;L879),IF(SUM($N$2:N878)=0,1,0),0)</f>
        <v>0</v>
      </c>
      <c r="O879" s="34">
        <f t="shared" si="13"/>
        <v>0</v>
      </c>
    </row>
    <row r="880" spans="8:15" ht="20.100000000000001" customHeight="1" x14ac:dyDescent="0.25">
      <c r="H880" s="43" t="str">
        <f>IFERROR(ABS(C880/VLOOKUP(2*$B880,$B881:C914,2,TRUE)),"--")</f>
        <v>--</v>
      </c>
      <c r="I880" s="43" t="str">
        <f>IFERROR(ABS(D880/VLOOKUP(2*$B880,$B881:D914,3,TRUE)),"--")</f>
        <v>--</v>
      </c>
      <c r="J880" s="43" t="str">
        <f>IFERROR(ABS(E880/VLOOKUP(2*$B880,$B881:E914,4,TRUE)),"--")</f>
        <v>--</v>
      </c>
      <c r="K880" s="43" t="str">
        <f>IFERROR(ABS(F880/VLOOKUP(2*$B880,$B881:F914,5,TRUE)),"--")</f>
        <v>--</v>
      </c>
      <c r="L880" s="43" t="str">
        <f>IFERROR(ABS(G880/VLOOKUP(2*$B880,$B881:G914,6,TRUE)),"--")</f>
        <v>--</v>
      </c>
      <c r="M880" s="38">
        <f>IF(AND(1+$Q$6&gt;H880,1-$Q$6&lt;H880,1+$Q$6&gt;I880,1-$Q$6&lt;I880,1+$Q$6&gt;J880,1-$Q$6&lt;J880,1+$Q$6&gt;K880,1-$Q$6&lt;K880,1+$Q$6&gt;L880,1-$Q$6&lt;L880),IF(SUM($M$2:M879)=0,1,0),0)</f>
        <v>0</v>
      </c>
      <c r="N880" s="38">
        <f>IF(AND(1+$Q$7&gt;H880,1-$Q$7&lt;H880,1+$Q$7&gt;I880,1-$Q$7&lt;I880,1+$Q$7&gt;J880,1-$Q$7&lt;J880,1+$Q$7&gt;K880,1-$Q$7&lt;K880,1+$Q$7&gt;L880,1-$Q$7&lt;L880),IF(SUM($N$2:N879)=0,1,0),0)</f>
        <v>0</v>
      </c>
      <c r="O880" s="34">
        <f t="shared" si="13"/>
        <v>0</v>
      </c>
    </row>
    <row r="881" spans="8:15" ht="20.100000000000001" customHeight="1" x14ac:dyDescent="0.25">
      <c r="H881" s="43" t="str">
        <f>IFERROR(ABS(C881/VLOOKUP(2*$B881,$B882:C915,2,TRUE)),"--")</f>
        <v>--</v>
      </c>
      <c r="I881" s="43" t="str">
        <f>IFERROR(ABS(D881/VLOOKUP(2*$B881,$B882:D915,3,TRUE)),"--")</f>
        <v>--</v>
      </c>
      <c r="J881" s="43" t="str">
        <f>IFERROR(ABS(E881/VLOOKUP(2*$B881,$B882:E915,4,TRUE)),"--")</f>
        <v>--</v>
      </c>
      <c r="K881" s="43" t="str">
        <f>IFERROR(ABS(F881/VLOOKUP(2*$B881,$B882:F915,5,TRUE)),"--")</f>
        <v>--</v>
      </c>
      <c r="L881" s="43" t="str">
        <f>IFERROR(ABS(G881/VLOOKUP(2*$B881,$B882:G915,6,TRUE)),"--")</f>
        <v>--</v>
      </c>
      <c r="M881" s="38">
        <f>IF(AND(1+$Q$6&gt;H881,1-$Q$6&lt;H881,1+$Q$6&gt;I881,1-$Q$6&lt;I881,1+$Q$6&gt;J881,1-$Q$6&lt;J881,1+$Q$6&gt;K881,1-$Q$6&lt;K881,1+$Q$6&gt;L881,1-$Q$6&lt;L881),IF(SUM($M$2:M880)=0,1,0),0)</f>
        <v>0</v>
      </c>
      <c r="N881" s="38">
        <f>IF(AND(1+$Q$7&gt;H881,1-$Q$7&lt;H881,1+$Q$7&gt;I881,1-$Q$7&lt;I881,1+$Q$7&gt;J881,1-$Q$7&lt;J881,1+$Q$7&gt;K881,1-$Q$7&lt;K881,1+$Q$7&gt;L881,1-$Q$7&lt;L881),IF(SUM($N$2:N880)=0,1,0),0)</f>
        <v>0</v>
      </c>
      <c r="O881" s="34">
        <f t="shared" si="13"/>
        <v>0</v>
      </c>
    </row>
    <row r="882" spans="8:15" ht="20.100000000000001" customHeight="1" x14ac:dyDescent="0.25">
      <c r="H882" s="43" t="str">
        <f>IFERROR(ABS(C882/VLOOKUP(2*$B882,$B883:C916,2,TRUE)),"--")</f>
        <v>--</v>
      </c>
      <c r="I882" s="43" t="str">
        <f>IFERROR(ABS(D882/VLOOKUP(2*$B882,$B883:D916,3,TRUE)),"--")</f>
        <v>--</v>
      </c>
      <c r="J882" s="43" t="str">
        <f>IFERROR(ABS(E882/VLOOKUP(2*$B882,$B883:E916,4,TRUE)),"--")</f>
        <v>--</v>
      </c>
      <c r="K882" s="43" t="str">
        <f>IFERROR(ABS(F882/VLOOKUP(2*$B882,$B883:F916,5,TRUE)),"--")</f>
        <v>--</v>
      </c>
      <c r="L882" s="43" t="str">
        <f>IFERROR(ABS(G882/VLOOKUP(2*$B882,$B883:G916,6,TRUE)),"--")</f>
        <v>--</v>
      </c>
      <c r="M882" s="38">
        <f>IF(AND(1+$Q$6&gt;H882,1-$Q$6&lt;H882,1+$Q$6&gt;I882,1-$Q$6&lt;I882,1+$Q$6&gt;J882,1-$Q$6&lt;J882,1+$Q$6&gt;K882,1-$Q$6&lt;K882,1+$Q$6&gt;L882,1-$Q$6&lt;L882),IF(SUM($M$2:M881)=0,1,0),0)</f>
        <v>0</v>
      </c>
      <c r="N882" s="38">
        <f>IF(AND(1+$Q$7&gt;H882,1-$Q$7&lt;H882,1+$Q$7&gt;I882,1-$Q$7&lt;I882,1+$Q$7&gt;J882,1-$Q$7&lt;J882,1+$Q$7&gt;K882,1-$Q$7&lt;K882,1+$Q$7&gt;L882,1-$Q$7&lt;L882),IF(SUM($N$2:N881)=0,1,0),0)</f>
        <v>0</v>
      </c>
      <c r="O882" s="34">
        <f t="shared" si="13"/>
        <v>0</v>
      </c>
    </row>
    <row r="883" spans="8:15" ht="20.100000000000001" customHeight="1" x14ac:dyDescent="0.25">
      <c r="H883" s="43" t="str">
        <f>IFERROR(ABS(C883/VLOOKUP(2*$B883,$B884:C917,2,TRUE)),"--")</f>
        <v>--</v>
      </c>
      <c r="I883" s="43" t="str">
        <f>IFERROR(ABS(D883/VLOOKUP(2*$B883,$B884:D917,3,TRUE)),"--")</f>
        <v>--</v>
      </c>
      <c r="J883" s="43" t="str">
        <f>IFERROR(ABS(E883/VLOOKUP(2*$B883,$B884:E917,4,TRUE)),"--")</f>
        <v>--</v>
      </c>
      <c r="K883" s="43" t="str">
        <f>IFERROR(ABS(F883/VLOOKUP(2*$B883,$B884:F917,5,TRUE)),"--")</f>
        <v>--</v>
      </c>
      <c r="L883" s="43" t="str">
        <f>IFERROR(ABS(G883/VLOOKUP(2*$B883,$B884:G917,6,TRUE)),"--")</f>
        <v>--</v>
      </c>
      <c r="M883" s="38">
        <f>IF(AND(1+$Q$6&gt;H883,1-$Q$6&lt;H883,1+$Q$6&gt;I883,1-$Q$6&lt;I883,1+$Q$6&gt;J883,1-$Q$6&lt;J883,1+$Q$6&gt;K883,1-$Q$6&lt;K883,1+$Q$6&gt;L883,1-$Q$6&lt;L883),IF(SUM($M$2:M882)=0,1,0),0)</f>
        <v>0</v>
      </c>
      <c r="N883" s="38">
        <f>IF(AND(1+$Q$7&gt;H883,1-$Q$7&lt;H883,1+$Q$7&gt;I883,1-$Q$7&lt;I883,1+$Q$7&gt;J883,1-$Q$7&lt;J883,1+$Q$7&gt;K883,1-$Q$7&lt;K883,1+$Q$7&gt;L883,1-$Q$7&lt;L883),IF(SUM($N$2:N882)=0,1,0),0)</f>
        <v>0</v>
      </c>
      <c r="O883" s="34">
        <f t="shared" si="13"/>
        <v>0</v>
      </c>
    </row>
    <row r="884" spans="8:15" ht="20.100000000000001" customHeight="1" x14ac:dyDescent="0.25">
      <c r="H884" s="43" t="str">
        <f>IFERROR(ABS(C884/VLOOKUP(2*$B884,$B885:C918,2,TRUE)),"--")</f>
        <v>--</v>
      </c>
      <c r="I884" s="43" t="str">
        <f>IFERROR(ABS(D884/VLOOKUP(2*$B884,$B885:D918,3,TRUE)),"--")</f>
        <v>--</v>
      </c>
      <c r="J884" s="43" t="str">
        <f>IFERROR(ABS(E884/VLOOKUP(2*$B884,$B885:E918,4,TRUE)),"--")</f>
        <v>--</v>
      </c>
      <c r="K884" s="43" t="str">
        <f>IFERROR(ABS(F884/VLOOKUP(2*$B884,$B885:F918,5,TRUE)),"--")</f>
        <v>--</v>
      </c>
      <c r="L884" s="43" t="str">
        <f>IFERROR(ABS(G884/VLOOKUP(2*$B884,$B885:G918,6,TRUE)),"--")</f>
        <v>--</v>
      </c>
      <c r="M884" s="38">
        <f>IF(AND(1+$Q$6&gt;H884,1-$Q$6&lt;H884,1+$Q$6&gt;I884,1-$Q$6&lt;I884,1+$Q$6&gt;J884,1-$Q$6&lt;J884,1+$Q$6&gt;K884,1-$Q$6&lt;K884,1+$Q$6&gt;L884,1-$Q$6&lt;L884),IF(SUM($M$2:M883)=0,1,0),0)</f>
        <v>0</v>
      </c>
      <c r="N884" s="38">
        <f>IF(AND(1+$Q$7&gt;H884,1-$Q$7&lt;H884,1+$Q$7&gt;I884,1-$Q$7&lt;I884,1+$Q$7&gt;J884,1-$Q$7&lt;J884,1+$Q$7&gt;K884,1-$Q$7&lt;K884,1+$Q$7&gt;L884,1-$Q$7&lt;L884),IF(SUM($N$2:N883)=0,1,0),0)</f>
        <v>0</v>
      </c>
      <c r="O884" s="34">
        <f t="shared" si="13"/>
        <v>0</v>
      </c>
    </row>
    <row r="885" spans="8:15" ht="20.100000000000001" customHeight="1" x14ac:dyDescent="0.25">
      <c r="H885" s="43" t="str">
        <f>IFERROR(ABS(C885/VLOOKUP(2*$B885,$B886:C919,2,TRUE)),"--")</f>
        <v>--</v>
      </c>
      <c r="I885" s="43" t="str">
        <f>IFERROR(ABS(D885/VLOOKUP(2*$B885,$B886:D919,3,TRUE)),"--")</f>
        <v>--</v>
      </c>
      <c r="J885" s="43" t="str">
        <f>IFERROR(ABS(E885/VLOOKUP(2*$B885,$B886:E919,4,TRUE)),"--")</f>
        <v>--</v>
      </c>
      <c r="K885" s="43" t="str">
        <f>IFERROR(ABS(F885/VLOOKUP(2*$B885,$B886:F919,5,TRUE)),"--")</f>
        <v>--</v>
      </c>
      <c r="L885" s="43" t="str">
        <f>IFERROR(ABS(G885/VLOOKUP(2*$B885,$B886:G919,6,TRUE)),"--")</f>
        <v>--</v>
      </c>
      <c r="M885" s="38">
        <f>IF(AND(1+$Q$6&gt;H885,1-$Q$6&lt;H885,1+$Q$6&gt;I885,1-$Q$6&lt;I885,1+$Q$6&gt;J885,1-$Q$6&lt;J885,1+$Q$6&gt;K885,1-$Q$6&lt;K885,1+$Q$6&gt;L885,1-$Q$6&lt;L885),IF(SUM($M$2:M884)=0,1,0),0)</f>
        <v>0</v>
      </c>
      <c r="N885" s="38">
        <f>IF(AND(1+$Q$7&gt;H885,1-$Q$7&lt;H885,1+$Q$7&gt;I885,1-$Q$7&lt;I885,1+$Q$7&gt;J885,1-$Q$7&lt;J885,1+$Q$7&gt;K885,1-$Q$7&lt;K885,1+$Q$7&gt;L885,1-$Q$7&lt;L885),IF(SUM($N$2:N884)=0,1,0),0)</f>
        <v>0</v>
      </c>
      <c r="O885" s="34">
        <f t="shared" si="13"/>
        <v>0</v>
      </c>
    </row>
    <row r="886" spans="8:15" x14ac:dyDescent="0.25">
      <c r="H886" s="43" t="str">
        <f>IFERROR(ABS(C886/VLOOKUP(2*$B886,$B887:C920,2,TRUE)),"--")</f>
        <v>--</v>
      </c>
      <c r="I886" s="43" t="str">
        <f>IFERROR(ABS(D886/VLOOKUP(2*$B886,$B887:D920,3,TRUE)),"--")</f>
        <v>--</v>
      </c>
      <c r="J886" s="43" t="str">
        <f>IFERROR(ABS(E886/VLOOKUP(2*$B886,$B887:E920,4,TRUE)),"--")</f>
        <v>--</v>
      </c>
      <c r="K886" s="43" t="str">
        <f>IFERROR(ABS(F886/VLOOKUP(2*$B886,$B887:F920,5,TRUE)),"--")</f>
        <v>--</v>
      </c>
      <c r="L886" s="43" t="str">
        <f>IFERROR(ABS(G886/VLOOKUP(2*$B886,$B887:G920,6,TRUE)),"--")</f>
        <v>--</v>
      </c>
      <c r="M886" s="38">
        <f>IF(AND(1+$Q$6&gt;H886,1-$Q$6&lt;H886,1+$Q$6&gt;I886,1-$Q$6&lt;I886,1+$Q$6&gt;J886,1-$Q$6&lt;J886,1+$Q$6&gt;K886,1-$Q$6&lt;K886,1+$Q$6&gt;L886,1-$Q$6&lt;L886),IF(SUM($M$2:M885)=0,1,0),0)</f>
        <v>0</v>
      </c>
      <c r="N886" s="38">
        <f>IF(AND(1+$Q$7&gt;H886,1-$Q$7&lt;H886,1+$Q$7&gt;I886,1-$Q$7&lt;I886,1+$Q$7&gt;J886,1-$Q$7&lt;J886,1+$Q$7&gt;K886,1-$Q$7&lt;K886,1+$Q$7&gt;L886,1-$Q$7&lt;L886),IF(SUM($N$2:N885)=0,1,0),0)</f>
        <v>0</v>
      </c>
      <c r="O886" s="34">
        <f t="shared" si="13"/>
        <v>0</v>
      </c>
    </row>
    <row r="887" spans="8:15" x14ac:dyDescent="0.25">
      <c r="H887" s="43" t="str">
        <f>IFERROR(ABS(C887/VLOOKUP(2*$B887,$B888:C921,2,TRUE)),"--")</f>
        <v>--</v>
      </c>
      <c r="I887" s="43" t="str">
        <f>IFERROR(ABS(D887/VLOOKUP(2*$B887,$B888:D921,3,TRUE)),"--")</f>
        <v>--</v>
      </c>
      <c r="J887" s="43" t="str">
        <f>IFERROR(ABS(E887/VLOOKUP(2*$B887,$B888:E921,4,TRUE)),"--")</f>
        <v>--</v>
      </c>
      <c r="K887" s="43" t="str">
        <f>IFERROR(ABS(F887/VLOOKUP(2*$B887,$B888:F921,5,TRUE)),"--")</f>
        <v>--</v>
      </c>
      <c r="L887" s="43" t="str">
        <f>IFERROR(ABS(G887/VLOOKUP(2*$B887,$B888:G921,6,TRUE)),"--")</f>
        <v>--</v>
      </c>
      <c r="M887" s="38">
        <f>IF(AND(1+$Q$6&gt;H887,1-$Q$6&lt;H887,1+$Q$6&gt;I887,1-$Q$6&lt;I887,1+$Q$6&gt;J887,1-$Q$6&lt;J887,1+$Q$6&gt;K887,1-$Q$6&lt;K887,1+$Q$6&gt;L887,1-$Q$6&lt;L887),IF(SUM($M$2:M886)=0,1,0),0)</f>
        <v>0</v>
      </c>
      <c r="N887" s="38">
        <f>IF(AND(1+$Q$7&gt;H887,1-$Q$7&lt;H887,1+$Q$7&gt;I887,1-$Q$7&lt;I887,1+$Q$7&gt;J887,1-$Q$7&lt;J887,1+$Q$7&gt;K887,1-$Q$7&lt;K887,1+$Q$7&gt;L887,1-$Q$7&lt;L887),IF(SUM($N$2:N886)=0,1,0),0)</f>
        <v>0</v>
      </c>
      <c r="O887" s="34">
        <f t="shared" si="13"/>
        <v>0</v>
      </c>
    </row>
    <row r="888" spans="8:15" x14ac:dyDescent="0.25">
      <c r="H888" s="43" t="str">
        <f>IFERROR(ABS(C888/VLOOKUP(2*$B888,$B889:C922,2,TRUE)),"--")</f>
        <v>--</v>
      </c>
      <c r="I888" s="43" t="str">
        <f>IFERROR(ABS(D888/VLOOKUP(2*$B888,$B889:D922,3,TRUE)),"--")</f>
        <v>--</v>
      </c>
      <c r="J888" s="43" t="str">
        <f>IFERROR(ABS(E888/VLOOKUP(2*$B888,$B889:E922,4,TRUE)),"--")</f>
        <v>--</v>
      </c>
      <c r="K888" s="43" t="str">
        <f>IFERROR(ABS(F888/VLOOKUP(2*$B888,$B889:F922,5,TRUE)),"--")</f>
        <v>--</v>
      </c>
      <c r="L888" s="43" t="str">
        <f>IFERROR(ABS(G888/VLOOKUP(2*$B888,$B889:G922,6,TRUE)),"--")</f>
        <v>--</v>
      </c>
      <c r="M888" s="38">
        <f>IF(AND(1+$Q$6&gt;H888,1-$Q$6&lt;H888,1+$Q$6&gt;I888,1-$Q$6&lt;I888,1+$Q$6&gt;J888,1-$Q$6&lt;J888,1+$Q$6&gt;K888,1-$Q$6&lt;K888,1+$Q$6&gt;L888,1-$Q$6&lt;L888),IF(SUM($M$2:M887)=0,1,0),0)</f>
        <v>0</v>
      </c>
      <c r="N888" s="38">
        <f>IF(AND(1+$Q$7&gt;H888,1-$Q$7&lt;H888,1+$Q$7&gt;I888,1-$Q$7&lt;I888,1+$Q$7&gt;J888,1-$Q$7&lt;J888,1+$Q$7&gt;K888,1-$Q$7&lt;K888,1+$Q$7&gt;L888,1-$Q$7&lt;L888),IF(SUM($N$2:N887)=0,1,0),0)</f>
        <v>0</v>
      </c>
      <c r="O888" s="34">
        <f t="shared" si="13"/>
        <v>0</v>
      </c>
    </row>
    <row r="889" spans="8:15" x14ac:dyDescent="0.25">
      <c r="H889" s="43" t="str">
        <f>IFERROR(ABS(C889/VLOOKUP(2*$B889,$B890:C923,2,TRUE)),"--")</f>
        <v>--</v>
      </c>
      <c r="I889" s="43" t="str">
        <f>IFERROR(ABS(D889/VLOOKUP(2*$B889,$B890:D923,3,TRUE)),"--")</f>
        <v>--</v>
      </c>
      <c r="J889" s="43" t="str">
        <f>IFERROR(ABS(E889/VLOOKUP(2*$B889,$B890:E923,4,TRUE)),"--")</f>
        <v>--</v>
      </c>
      <c r="K889" s="43" t="str">
        <f>IFERROR(ABS(F889/VLOOKUP(2*$B889,$B890:F923,5,TRUE)),"--")</f>
        <v>--</v>
      </c>
      <c r="L889" s="43" t="str">
        <f>IFERROR(ABS(G889/VLOOKUP(2*$B889,$B890:G923,6,TRUE)),"--")</f>
        <v>--</v>
      </c>
      <c r="M889" s="38">
        <f>IF(AND(1+$Q$6&gt;H889,1-$Q$6&lt;H889,1+$Q$6&gt;I889,1-$Q$6&lt;I889,1+$Q$6&gt;J889,1-$Q$6&lt;J889,1+$Q$6&gt;K889,1-$Q$6&lt;K889,1+$Q$6&gt;L889,1-$Q$6&lt;L889),IF(SUM($M$2:M888)=0,1,0),0)</f>
        <v>0</v>
      </c>
      <c r="N889" s="38">
        <f>IF(AND(1+$Q$7&gt;H889,1-$Q$7&lt;H889,1+$Q$7&gt;I889,1-$Q$7&lt;I889,1+$Q$7&gt;J889,1-$Q$7&lt;J889,1+$Q$7&gt;K889,1-$Q$7&lt;K889,1+$Q$7&gt;L889,1-$Q$7&lt;L889),IF(SUM($N$2:N888)=0,1,0),0)</f>
        <v>0</v>
      </c>
      <c r="O889" s="34">
        <f t="shared" si="13"/>
        <v>0</v>
      </c>
    </row>
    <row r="890" spans="8:15" x14ac:dyDescent="0.25">
      <c r="H890" s="43" t="str">
        <f>IFERROR(ABS(C890/VLOOKUP(2*$B890,$B891:C924,2,TRUE)),"--")</f>
        <v>--</v>
      </c>
      <c r="I890" s="43" t="str">
        <f>IFERROR(ABS(D890/VLOOKUP(2*$B890,$B891:D924,3,TRUE)),"--")</f>
        <v>--</v>
      </c>
      <c r="J890" s="43" t="str">
        <f>IFERROR(ABS(E890/VLOOKUP(2*$B890,$B891:E924,4,TRUE)),"--")</f>
        <v>--</v>
      </c>
      <c r="K890" s="43" t="str">
        <f>IFERROR(ABS(F890/VLOOKUP(2*$B890,$B891:F924,5,TRUE)),"--")</f>
        <v>--</v>
      </c>
      <c r="L890" s="43" t="str">
        <f>IFERROR(ABS(G890/VLOOKUP(2*$B890,$B891:G924,6,TRUE)),"--")</f>
        <v>--</v>
      </c>
      <c r="M890" s="38">
        <f>IF(AND(1+$Q$6&gt;H890,1-$Q$6&lt;H890,1+$Q$6&gt;I890,1-$Q$6&lt;I890,1+$Q$6&gt;J890,1-$Q$6&lt;J890,1+$Q$6&gt;K890,1-$Q$6&lt;K890,1+$Q$6&gt;L890,1-$Q$6&lt;L890),IF(SUM($M$2:M889)=0,1,0),0)</f>
        <v>0</v>
      </c>
      <c r="N890" s="38">
        <f>IF(AND(1+$Q$7&gt;H890,1-$Q$7&lt;H890,1+$Q$7&gt;I890,1-$Q$7&lt;I890,1+$Q$7&gt;J890,1-$Q$7&lt;J890,1+$Q$7&gt;K890,1-$Q$7&lt;K890,1+$Q$7&gt;L890,1-$Q$7&lt;L890),IF(SUM($N$2:N889)=0,1,0),0)</f>
        <v>0</v>
      </c>
      <c r="O890" s="34">
        <f t="shared" si="13"/>
        <v>0</v>
      </c>
    </row>
    <row r="891" spans="8:15" x14ac:dyDescent="0.25">
      <c r="H891" s="43" t="str">
        <f>IFERROR(ABS(C891/VLOOKUP(2*$B891,$B892:C925,2,TRUE)),"--")</f>
        <v>--</v>
      </c>
      <c r="I891" s="43" t="str">
        <f>IFERROR(ABS(D891/VLOOKUP(2*$B891,$B892:D925,3,TRUE)),"--")</f>
        <v>--</v>
      </c>
      <c r="J891" s="43" t="str">
        <f>IFERROR(ABS(E891/VLOOKUP(2*$B891,$B892:E925,4,TRUE)),"--")</f>
        <v>--</v>
      </c>
      <c r="K891" s="43" t="str">
        <f>IFERROR(ABS(F891/VLOOKUP(2*$B891,$B892:F925,5,TRUE)),"--")</f>
        <v>--</v>
      </c>
      <c r="L891" s="43" t="str">
        <f>IFERROR(ABS(G891/VLOOKUP(2*$B891,$B892:G925,6,TRUE)),"--")</f>
        <v>--</v>
      </c>
      <c r="M891" s="38">
        <f>IF(AND(1+$Q$6&gt;H891,1-$Q$6&lt;H891,1+$Q$6&gt;I891,1-$Q$6&lt;I891,1+$Q$6&gt;J891,1-$Q$6&lt;J891,1+$Q$6&gt;K891,1-$Q$6&lt;K891,1+$Q$6&gt;L891,1-$Q$6&lt;L891),IF(SUM($M$2:M890)=0,1,0),0)</f>
        <v>0</v>
      </c>
      <c r="N891" s="38">
        <f>IF(AND(1+$Q$7&gt;H891,1-$Q$7&lt;H891,1+$Q$7&gt;I891,1-$Q$7&lt;I891,1+$Q$7&gt;J891,1-$Q$7&lt;J891,1+$Q$7&gt;K891,1-$Q$7&lt;K891,1+$Q$7&gt;L891,1-$Q$7&lt;L891),IF(SUM($N$2:N890)=0,1,0),0)</f>
        <v>0</v>
      </c>
      <c r="O891" s="34">
        <f t="shared" si="13"/>
        <v>0</v>
      </c>
    </row>
    <row r="892" spans="8:15" x14ac:dyDescent="0.25">
      <c r="H892" s="43" t="str">
        <f>IFERROR(ABS(C892/VLOOKUP(2*$B892,$B893:C926,2,TRUE)),"--")</f>
        <v>--</v>
      </c>
      <c r="I892" s="43" t="str">
        <f>IFERROR(ABS(D892/VLOOKUP(2*$B892,$B893:D926,3,TRUE)),"--")</f>
        <v>--</v>
      </c>
      <c r="J892" s="43" t="str">
        <f>IFERROR(ABS(E892/VLOOKUP(2*$B892,$B893:E926,4,TRUE)),"--")</f>
        <v>--</v>
      </c>
      <c r="K892" s="43" t="str">
        <f>IFERROR(ABS(F892/VLOOKUP(2*$B892,$B893:F926,5,TRUE)),"--")</f>
        <v>--</v>
      </c>
      <c r="L892" s="43" t="str">
        <f>IFERROR(ABS(G892/VLOOKUP(2*$B892,$B893:G926,6,TRUE)),"--")</f>
        <v>--</v>
      </c>
      <c r="M892" s="38">
        <f>IF(AND(1+$Q$6&gt;H892,1-$Q$6&lt;H892,1+$Q$6&gt;I892,1-$Q$6&lt;I892,1+$Q$6&gt;J892,1-$Q$6&lt;J892,1+$Q$6&gt;K892,1-$Q$6&lt;K892,1+$Q$6&gt;L892,1-$Q$6&lt;L892),IF(SUM($M$2:M891)=0,1,0),0)</f>
        <v>0</v>
      </c>
      <c r="N892" s="38">
        <f>IF(AND(1+$Q$7&gt;H892,1-$Q$7&lt;H892,1+$Q$7&gt;I892,1-$Q$7&lt;I892,1+$Q$7&gt;J892,1-$Q$7&lt;J892,1+$Q$7&gt;K892,1-$Q$7&lt;K892,1+$Q$7&gt;L892,1-$Q$7&lt;L892),IF(SUM($N$2:N891)=0,1,0),0)</f>
        <v>0</v>
      </c>
      <c r="O892" s="34">
        <f t="shared" si="13"/>
        <v>0</v>
      </c>
    </row>
    <row r="893" spans="8:15" x14ac:dyDescent="0.25">
      <c r="H893" s="43" t="str">
        <f>IFERROR(ABS(C893/VLOOKUP(2*$B893,$B894:C927,2,TRUE)),"--")</f>
        <v>--</v>
      </c>
      <c r="I893" s="43" t="str">
        <f>IFERROR(ABS(D893/VLOOKUP(2*$B893,$B894:D927,3,TRUE)),"--")</f>
        <v>--</v>
      </c>
      <c r="J893" s="43" t="str">
        <f>IFERROR(ABS(E893/VLOOKUP(2*$B893,$B894:E927,4,TRUE)),"--")</f>
        <v>--</v>
      </c>
      <c r="K893" s="43" t="str">
        <f>IFERROR(ABS(F893/VLOOKUP(2*$B893,$B894:F927,5,TRUE)),"--")</f>
        <v>--</v>
      </c>
      <c r="L893" s="43" t="str">
        <f>IFERROR(ABS(G893/VLOOKUP(2*$B893,$B894:G927,6,TRUE)),"--")</f>
        <v>--</v>
      </c>
      <c r="M893" s="38">
        <f>IF(AND(1+$Q$6&gt;H893,1-$Q$6&lt;H893,1+$Q$6&gt;I893,1-$Q$6&lt;I893,1+$Q$6&gt;J893,1-$Q$6&lt;J893,1+$Q$6&gt;K893,1-$Q$6&lt;K893,1+$Q$6&gt;L893,1-$Q$6&lt;L893),IF(SUM($M$2:M892)=0,1,0),0)</f>
        <v>0</v>
      </c>
      <c r="N893" s="38">
        <f>IF(AND(1+$Q$7&gt;H893,1-$Q$7&lt;H893,1+$Q$7&gt;I893,1-$Q$7&lt;I893,1+$Q$7&gt;J893,1-$Q$7&lt;J893,1+$Q$7&gt;K893,1-$Q$7&lt;K893,1+$Q$7&gt;L893,1-$Q$7&lt;L893),IF(SUM($N$2:N892)=0,1,0),0)</f>
        <v>0</v>
      </c>
      <c r="O893" s="34">
        <f t="shared" si="13"/>
        <v>0</v>
      </c>
    </row>
    <row r="894" spans="8:15" x14ac:dyDescent="0.25">
      <c r="H894" s="43" t="str">
        <f>IFERROR(ABS(C894/VLOOKUP(2*$B894,$B895:C928,2,TRUE)),"--")</f>
        <v>--</v>
      </c>
      <c r="I894" s="43" t="str">
        <f>IFERROR(ABS(D894/VLOOKUP(2*$B894,$B895:D928,3,TRUE)),"--")</f>
        <v>--</v>
      </c>
      <c r="J894" s="43" t="str">
        <f>IFERROR(ABS(E894/VLOOKUP(2*$B894,$B895:E928,4,TRUE)),"--")</f>
        <v>--</v>
      </c>
      <c r="K894" s="43" t="str">
        <f>IFERROR(ABS(F894/VLOOKUP(2*$B894,$B895:F928,5,TRUE)),"--")</f>
        <v>--</v>
      </c>
      <c r="L894" s="43" t="str">
        <f>IFERROR(ABS(G894/VLOOKUP(2*$B894,$B895:G928,6,TRUE)),"--")</f>
        <v>--</v>
      </c>
      <c r="M894" s="38">
        <f>IF(AND(1+$Q$6&gt;H894,1-$Q$6&lt;H894,1+$Q$6&gt;I894,1-$Q$6&lt;I894,1+$Q$6&gt;J894,1-$Q$6&lt;J894,1+$Q$6&gt;K894,1-$Q$6&lt;K894,1+$Q$6&gt;L894,1-$Q$6&lt;L894),IF(SUM($M$2:M893)=0,1,0),0)</f>
        <v>0</v>
      </c>
      <c r="N894" s="38">
        <f>IF(AND(1+$Q$7&gt;H894,1-$Q$7&lt;H894,1+$Q$7&gt;I894,1-$Q$7&lt;I894,1+$Q$7&gt;J894,1-$Q$7&lt;J894,1+$Q$7&gt;K894,1-$Q$7&lt;K894,1+$Q$7&gt;L894,1-$Q$7&lt;L894),IF(SUM($N$2:N893)=0,1,0),0)</f>
        <v>0</v>
      </c>
      <c r="O894" s="34">
        <f t="shared" si="13"/>
        <v>0</v>
      </c>
    </row>
    <row r="895" spans="8:15" x14ac:dyDescent="0.25">
      <c r="H895" s="43" t="str">
        <f>IFERROR(ABS(C895/VLOOKUP(2*$B895,$B896:C929,2,TRUE)),"--")</f>
        <v>--</v>
      </c>
      <c r="I895" s="43" t="str">
        <f>IFERROR(ABS(D895/VLOOKUP(2*$B895,$B896:D929,3,TRUE)),"--")</f>
        <v>--</v>
      </c>
      <c r="J895" s="43" t="str">
        <f>IFERROR(ABS(E895/VLOOKUP(2*$B895,$B896:E929,4,TRUE)),"--")</f>
        <v>--</v>
      </c>
      <c r="K895" s="43" t="str">
        <f>IFERROR(ABS(F895/VLOOKUP(2*$B895,$B896:F929,5,TRUE)),"--")</f>
        <v>--</v>
      </c>
      <c r="L895" s="43" t="str">
        <f>IFERROR(ABS(G895/VLOOKUP(2*$B895,$B896:G929,6,TRUE)),"--")</f>
        <v>--</v>
      </c>
      <c r="M895" s="38">
        <f>IF(AND(1+$Q$6&gt;H895,1-$Q$6&lt;H895,1+$Q$6&gt;I895,1-$Q$6&lt;I895,1+$Q$6&gt;J895,1-$Q$6&lt;J895,1+$Q$6&gt;K895,1-$Q$6&lt;K895,1+$Q$6&gt;L895,1-$Q$6&lt;L895),IF(SUM($M$2:M894)=0,1,0),0)</f>
        <v>0</v>
      </c>
      <c r="N895" s="38">
        <f>IF(AND(1+$Q$7&gt;H895,1-$Q$7&lt;H895,1+$Q$7&gt;I895,1-$Q$7&lt;I895,1+$Q$7&gt;J895,1-$Q$7&lt;J895,1+$Q$7&gt;K895,1-$Q$7&lt;K895,1+$Q$7&gt;L895,1-$Q$7&lt;L895),IF(SUM($N$2:N894)=0,1,0),0)</f>
        <v>0</v>
      </c>
      <c r="O895" s="34">
        <f t="shared" si="13"/>
        <v>0</v>
      </c>
    </row>
    <row r="896" spans="8:15" x14ac:dyDescent="0.25">
      <c r="H896" s="43" t="str">
        <f>IFERROR(ABS(C896/VLOOKUP(2*$B896,$B897:C930,2,TRUE)),"--")</f>
        <v>--</v>
      </c>
      <c r="I896" s="43" t="str">
        <f>IFERROR(ABS(D896/VLOOKUP(2*$B896,$B897:D930,3,TRUE)),"--")</f>
        <v>--</v>
      </c>
      <c r="J896" s="43" t="str">
        <f>IFERROR(ABS(E896/VLOOKUP(2*$B896,$B897:E930,4,TRUE)),"--")</f>
        <v>--</v>
      </c>
      <c r="K896" s="43" t="str">
        <f>IFERROR(ABS(F896/VLOOKUP(2*$B896,$B897:F930,5,TRUE)),"--")</f>
        <v>--</v>
      </c>
      <c r="L896" s="43" t="str">
        <f>IFERROR(ABS(G896/VLOOKUP(2*$B896,$B897:G930,6,TRUE)),"--")</f>
        <v>--</v>
      </c>
      <c r="M896" s="38">
        <f>IF(AND(1+$Q$6&gt;H896,1-$Q$6&lt;H896,1+$Q$6&gt;I896,1-$Q$6&lt;I896,1+$Q$6&gt;J896,1-$Q$6&lt;J896,1+$Q$6&gt;K896,1-$Q$6&lt;K896,1+$Q$6&gt;L896,1-$Q$6&lt;L896),IF(SUM($M$2:M895)=0,1,0),0)</f>
        <v>0</v>
      </c>
      <c r="N896" s="38">
        <f>IF(AND(1+$Q$7&gt;H896,1-$Q$7&lt;H896,1+$Q$7&gt;I896,1-$Q$7&lt;I896,1+$Q$7&gt;J896,1-$Q$7&lt;J896,1+$Q$7&gt;K896,1-$Q$7&lt;K896,1+$Q$7&gt;L896,1-$Q$7&lt;L896),IF(SUM($N$2:N895)=0,1,0),0)</f>
        <v>0</v>
      </c>
      <c r="O896" s="34">
        <f t="shared" si="13"/>
        <v>0</v>
      </c>
    </row>
    <row r="897" spans="8:15" x14ac:dyDescent="0.25">
      <c r="H897" s="43" t="str">
        <f>IFERROR(ABS(C897/VLOOKUP(2*$B897,$B898:C931,2,TRUE)),"--")</f>
        <v>--</v>
      </c>
      <c r="I897" s="43" t="str">
        <f>IFERROR(ABS(D897/VLOOKUP(2*$B897,$B898:D931,3,TRUE)),"--")</f>
        <v>--</v>
      </c>
      <c r="J897" s="43" t="str">
        <f>IFERROR(ABS(E897/VLOOKUP(2*$B897,$B898:E931,4,TRUE)),"--")</f>
        <v>--</v>
      </c>
      <c r="K897" s="43" t="str">
        <f>IFERROR(ABS(F897/VLOOKUP(2*$B897,$B898:F931,5,TRUE)),"--")</f>
        <v>--</v>
      </c>
      <c r="L897" s="43" t="str">
        <f>IFERROR(ABS(G897/VLOOKUP(2*$B897,$B898:G931,6,TRUE)),"--")</f>
        <v>--</v>
      </c>
      <c r="M897" s="38">
        <f>IF(AND(1+$Q$6&gt;H897,1-$Q$6&lt;H897,1+$Q$6&gt;I897,1-$Q$6&lt;I897,1+$Q$6&gt;J897,1-$Q$6&lt;J897,1+$Q$6&gt;K897,1-$Q$6&lt;K897,1+$Q$6&gt;L897,1-$Q$6&lt;L897),IF(SUM($M$2:M896)=0,1,0),0)</f>
        <v>0</v>
      </c>
      <c r="N897" s="38">
        <f>IF(AND(1+$Q$7&gt;H897,1-$Q$7&lt;H897,1+$Q$7&gt;I897,1-$Q$7&lt;I897,1+$Q$7&gt;J897,1-$Q$7&lt;J897,1+$Q$7&gt;K897,1-$Q$7&lt;K897,1+$Q$7&gt;L897,1-$Q$7&lt;L897),IF(SUM($N$2:N896)=0,1,0),0)</f>
        <v>0</v>
      </c>
      <c r="O897" s="34">
        <f t="shared" si="13"/>
        <v>0</v>
      </c>
    </row>
    <row r="898" spans="8:15" x14ac:dyDescent="0.25">
      <c r="H898" s="43" t="str">
        <f>IFERROR(ABS(C898/VLOOKUP(2*$B898,$B899:C932,2,TRUE)),"--")</f>
        <v>--</v>
      </c>
      <c r="I898" s="43" t="str">
        <f>IFERROR(ABS(D898/VLOOKUP(2*$B898,$B899:D932,3,TRUE)),"--")</f>
        <v>--</v>
      </c>
      <c r="J898" s="43" t="str">
        <f>IFERROR(ABS(E898/VLOOKUP(2*$B898,$B899:E932,4,TRUE)),"--")</f>
        <v>--</v>
      </c>
      <c r="K898" s="43" t="str">
        <f>IFERROR(ABS(F898/VLOOKUP(2*$B898,$B899:F932,5,TRUE)),"--")</f>
        <v>--</v>
      </c>
      <c r="L898" s="43" t="str">
        <f>IFERROR(ABS(G898/VLOOKUP(2*$B898,$B899:G932,6,TRUE)),"--")</f>
        <v>--</v>
      </c>
      <c r="M898" s="38">
        <f>IF(AND(1+$Q$6&gt;H898,1-$Q$6&lt;H898,1+$Q$6&gt;I898,1-$Q$6&lt;I898,1+$Q$6&gt;J898,1-$Q$6&lt;J898,1+$Q$6&gt;K898,1-$Q$6&lt;K898,1+$Q$6&gt;L898,1-$Q$6&lt;L898),IF(SUM($M$2:M897)=0,1,0),0)</f>
        <v>0</v>
      </c>
      <c r="N898" s="38">
        <f>IF(AND(1+$Q$7&gt;H898,1-$Q$7&lt;H898,1+$Q$7&gt;I898,1-$Q$7&lt;I898,1+$Q$7&gt;J898,1-$Q$7&lt;J898,1+$Q$7&gt;K898,1-$Q$7&lt;K898,1+$Q$7&gt;L898,1-$Q$7&lt;L898),IF(SUM($N$2:N897)=0,1,0),0)</f>
        <v>0</v>
      </c>
      <c r="O898" s="34">
        <f t="shared" si="13"/>
        <v>0</v>
      </c>
    </row>
    <row r="899" spans="8:15" x14ac:dyDescent="0.25">
      <c r="H899" s="43" t="str">
        <f>IFERROR(ABS(C899/VLOOKUP(2*$B899,$B900:C933,2,TRUE)),"--")</f>
        <v>--</v>
      </c>
      <c r="I899" s="43" t="str">
        <f>IFERROR(ABS(D899/VLOOKUP(2*$B899,$B900:D933,3,TRUE)),"--")</f>
        <v>--</v>
      </c>
      <c r="J899" s="43" t="str">
        <f>IFERROR(ABS(E899/VLOOKUP(2*$B899,$B900:E933,4,TRUE)),"--")</f>
        <v>--</v>
      </c>
      <c r="K899" s="43" t="str">
        <f>IFERROR(ABS(F899/VLOOKUP(2*$B899,$B900:F933,5,TRUE)),"--")</f>
        <v>--</v>
      </c>
      <c r="L899" s="43" t="str">
        <f>IFERROR(ABS(G899/VLOOKUP(2*$B899,$B900:G933,6,TRUE)),"--")</f>
        <v>--</v>
      </c>
      <c r="M899" s="38">
        <f>IF(AND(1+$Q$6&gt;H899,1-$Q$6&lt;H899,1+$Q$6&gt;I899,1-$Q$6&lt;I899,1+$Q$6&gt;J899,1-$Q$6&lt;J899,1+$Q$6&gt;K899,1-$Q$6&lt;K899,1+$Q$6&gt;L899,1-$Q$6&lt;L899),IF(SUM($M$2:M898)=0,1,0),0)</f>
        <v>0</v>
      </c>
      <c r="N899" s="38">
        <f>IF(AND(1+$Q$7&gt;H899,1-$Q$7&lt;H899,1+$Q$7&gt;I899,1-$Q$7&lt;I899,1+$Q$7&gt;J899,1-$Q$7&lt;J899,1+$Q$7&gt;K899,1-$Q$7&lt;K899,1+$Q$7&gt;L899,1-$Q$7&lt;L899),IF(SUM($N$2:N898)=0,1,0),0)</f>
        <v>0</v>
      </c>
      <c r="O899" s="34">
        <f t="shared" ref="O899:O962" si="14">A899</f>
        <v>0</v>
      </c>
    </row>
    <row r="900" spans="8:15" x14ac:dyDescent="0.25">
      <c r="H900" s="43" t="str">
        <f>IFERROR(ABS(C900/VLOOKUP(2*$B900,$B901:C934,2,TRUE)),"--")</f>
        <v>--</v>
      </c>
      <c r="I900" s="43" t="str">
        <f>IFERROR(ABS(D900/VLOOKUP(2*$B900,$B901:D934,3,TRUE)),"--")</f>
        <v>--</v>
      </c>
      <c r="J900" s="43" t="str">
        <f>IFERROR(ABS(E900/VLOOKUP(2*$B900,$B901:E934,4,TRUE)),"--")</f>
        <v>--</v>
      </c>
      <c r="K900" s="43" t="str">
        <f>IFERROR(ABS(F900/VLOOKUP(2*$B900,$B901:F934,5,TRUE)),"--")</f>
        <v>--</v>
      </c>
      <c r="L900" s="43" t="str">
        <f>IFERROR(ABS(G900/VLOOKUP(2*$B900,$B901:G934,6,TRUE)),"--")</f>
        <v>--</v>
      </c>
      <c r="M900" s="38">
        <f>IF(AND(1+$Q$6&gt;H900,1-$Q$6&lt;H900,1+$Q$6&gt;I900,1-$Q$6&lt;I900,1+$Q$6&gt;J900,1-$Q$6&lt;J900,1+$Q$6&gt;K900,1-$Q$6&lt;K900,1+$Q$6&gt;L900,1-$Q$6&lt;L900),IF(SUM($M$2:M899)=0,1,0),0)</f>
        <v>0</v>
      </c>
      <c r="N900" s="38">
        <f>IF(AND(1+$Q$7&gt;H900,1-$Q$7&lt;H900,1+$Q$7&gt;I900,1-$Q$7&lt;I900,1+$Q$7&gt;J900,1-$Q$7&lt;J900,1+$Q$7&gt;K900,1-$Q$7&lt;K900,1+$Q$7&gt;L900,1-$Q$7&lt;L900),IF(SUM($N$2:N899)=0,1,0),0)</f>
        <v>0</v>
      </c>
      <c r="O900" s="34">
        <f t="shared" si="14"/>
        <v>0</v>
      </c>
    </row>
    <row r="901" spans="8:15" x14ac:dyDescent="0.25">
      <c r="H901" s="43" t="str">
        <f>IFERROR(ABS(C901/VLOOKUP(2*$B901,$B902:C935,2,TRUE)),"--")</f>
        <v>--</v>
      </c>
      <c r="I901" s="43" t="str">
        <f>IFERROR(ABS(D901/VLOOKUP(2*$B901,$B902:D935,3,TRUE)),"--")</f>
        <v>--</v>
      </c>
      <c r="J901" s="43" t="str">
        <f>IFERROR(ABS(E901/VLOOKUP(2*$B901,$B902:E935,4,TRUE)),"--")</f>
        <v>--</v>
      </c>
      <c r="K901" s="43" t="str">
        <f>IFERROR(ABS(F901/VLOOKUP(2*$B901,$B902:F935,5,TRUE)),"--")</f>
        <v>--</v>
      </c>
      <c r="L901" s="43" t="str">
        <f>IFERROR(ABS(G901/VLOOKUP(2*$B901,$B902:G935,6,TRUE)),"--")</f>
        <v>--</v>
      </c>
      <c r="M901" s="38">
        <f>IF(AND(1+$Q$6&gt;H901,1-$Q$6&lt;H901,1+$Q$6&gt;I901,1-$Q$6&lt;I901,1+$Q$6&gt;J901,1-$Q$6&lt;J901,1+$Q$6&gt;K901,1-$Q$6&lt;K901,1+$Q$6&gt;L901,1-$Q$6&lt;L901),IF(SUM($M$2:M900)=0,1,0),0)</f>
        <v>0</v>
      </c>
      <c r="N901" s="38">
        <f>IF(AND(1+$Q$7&gt;H901,1-$Q$7&lt;H901,1+$Q$7&gt;I901,1-$Q$7&lt;I901,1+$Q$7&gt;J901,1-$Q$7&lt;J901,1+$Q$7&gt;K901,1-$Q$7&lt;K901,1+$Q$7&gt;L901,1-$Q$7&lt;L901),IF(SUM($N$2:N900)=0,1,0),0)</f>
        <v>0</v>
      </c>
      <c r="O901" s="34">
        <f t="shared" si="14"/>
        <v>0</v>
      </c>
    </row>
    <row r="902" spans="8:15" x14ac:dyDescent="0.25">
      <c r="H902" s="43" t="str">
        <f>IFERROR(ABS(C902/VLOOKUP(2*$B902,$B903:C936,2,TRUE)),"--")</f>
        <v>--</v>
      </c>
      <c r="I902" s="43" t="str">
        <f>IFERROR(ABS(D902/VLOOKUP(2*$B902,$B903:D936,3,TRUE)),"--")</f>
        <v>--</v>
      </c>
      <c r="J902" s="43" t="str">
        <f>IFERROR(ABS(E902/VLOOKUP(2*$B902,$B903:E936,4,TRUE)),"--")</f>
        <v>--</v>
      </c>
      <c r="K902" s="43" t="str">
        <f>IFERROR(ABS(F902/VLOOKUP(2*$B902,$B903:F936,5,TRUE)),"--")</f>
        <v>--</v>
      </c>
      <c r="L902" s="43" t="str">
        <f>IFERROR(ABS(G902/VLOOKUP(2*$B902,$B903:G936,6,TRUE)),"--")</f>
        <v>--</v>
      </c>
      <c r="M902" s="38">
        <f>IF(AND(1+$Q$6&gt;H902,1-$Q$6&lt;H902,1+$Q$6&gt;I902,1-$Q$6&lt;I902,1+$Q$6&gt;J902,1-$Q$6&lt;J902,1+$Q$6&gt;K902,1-$Q$6&lt;K902,1+$Q$6&gt;L902,1-$Q$6&lt;L902),IF(SUM($M$2:M901)=0,1,0),0)</f>
        <v>0</v>
      </c>
      <c r="N902" s="38">
        <f>IF(AND(1+$Q$7&gt;H902,1-$Q$7&lt;H902,1+$Q$7&gt;I902,1-$Q$7&lt;I902,1+$Q$7&gt;J902,1-$Q$7&lt;J902,1+$Q$7&gt;K902,1-$Q$7&lt;K902,1+$Q$7&gt;L902,1-$Q$7&lt;L902),IF(SUM($N$2:N901)=0,1,0),0)</f>
        <v>0</v>
      </c>
      <c r="O902" s="34">
        <f t="shared" si="14"/>
        <v>0</v>
      </c>
    </row>
    <row r="903" spans="8:15" x14ac:dyDescent="0.25">
      <c r="H903" s="43" t="str">
        <f>IFERROR(ABS(C903/VLOOKUP(2*$B903,$B904:C937,2,TRUE)),"--")</f>
        <v>--</v>
      </c>
      <c r="I903" s="43" t="str">
        <f>IFERROR(ABS(D903/VLOOKUP(2*$B903,$B904:D937,3,TRUE)),"--")</f>
        <v>--</v>
      </c>
      <c r="J903" s="43" t="str">
        <f>IFERROR(ABS(E903/VLOOKUP(2*$B903,$B904:E937,4,TRUE)),"--")</f>
        <v>--</v>
      </c>
      <c r="K903" s="43" t="str">
        <f>IFERROR(ABS(F903/VLOOKUP(2*$B903,$B904:F937,5,TRUE)),"--")</f>
        <v>--</v>
      </c>
      <c r="L903" s="43" t="str">
        <f>IFERROR(ABS(G903/VLOOKUP(2*$B903,$B904:G937,6,TRUE)),"--")</f>
        <v>--</v>
      </c>
      <c r="M903" s="38">
        <f>IF(AND(1+$Q$6&gt;H903,1-$Q$6&lt;H903,1+$Q$6&gt;I903,1-$Q$6&lt;I903,1+$Q$6&gt;J903,1-$Q$6&lt;J903,1+$Q$6&gt;K903,1-$Q$6&lt;K903,1+$Q$6&gt;L903,1-$Q$6&lt;L903),IF(SUM($M$2:M902)=0,1,0),0)</f>
        <v>0</v>
      </c>
      <c r="N903" s="38">
        <f>IF(AND(1+$Q$7&gt;H903,1-$Q$7&lt;H903,1+$Q$7&gt;I903,1-$Q$7&lt;I903,1+$Q$7&gt;J903,1-$Q$7&lt;J903,1+$Q$7&gt;K903,1-$Q$7&lt;K903,1+$Q$7&gt;L903,1-$Q$7&lt;L903),IF(SUM($N$2:N902)=0,1,0),0)</f>
        <v>0</v>
      </c>
      <c r="O903" s="34">
        <f t="shared" si="14"/>
        <v>0</v>
      </c>
    </row>
    <row r="904" spans="8:15" x14ac:dyDescent="0.25">
      <c r="H904" s="43" t="str">
        <f>IFERROR(ABS(C904/VLOOKUP(2*$B904,$B905:C938,2,TRUE)),"--")</f>
        <v>--</v>
      </c>
      <c r="I904" s="43" t="str">
        <f>IFERROR(ABS(D904/VLOOKUP(2*$B904,$B905:D938,3,TRUE)),"--")</f>
        <v>--</v>
      </c>
      <c r="J904" s="43" t="str">
        <f>IFERROR(ABS(E904/VLOOKUP(2*$B904,$B905:E938,4,TRUE)),"--")</f>
        <v>--</v>
      </c>
      <c r="K904" s="43" t="str">
        <f>IFERROR(ABS(F904/VLOOKUP(2*$B904,$B905:F938,5,TRUE)),"--")</f>
        <v>--</v>
      </c>
      <c r="L904" s="43" t="str">
        <f>IFERROR(ABS(G904/VLOOKUP(2*$B904,$B905:G938,6,TRUE)),"--")</f>
        <v>--</v>
      </c>
      <c r="M904" s="38">
        <f>IF(AND(1+$Q$6&gt;H904,1-$Q$6&lt;H904,1+$Q$6&gt;I904,1-$Q$6&lt;I904,1+$Q$6&gt;J904,1-$Q$6&lt;J904,1+$Q$6&gt;K904,1-$Q$6&lt;K904,1+$Q$6&gt;L904,1-$Q$6&lt;L904),IF(SUM($M$2:M903)=0,1,0),0)</f>
        <v>0</v>
      </c>
      <c r="N904" s="38">
        <f>IF(AND(1+$Q$7&gt;H904,1-$Q$7&lt;H904,1+$Q$7&gt;I904,1-$Q$7&lt;I904,1+$Q$7&gt;J904,1-$Q$7&lt;J904,1+$Q$7&gt;K904,1-$Q$7&lt;K904,1+$Q$7&gt;L904,1-$Q$7&lt;L904),IF(SUM($N$2:N903)=0,1,0),0)</f>
        <v>0</v>
      </c>
      <c r="O904" s="34">
        <f t="shared" si="14"/>
        <v>0</v>
      </c>
    </row>
    <row r="905" spans="8:15" x14ac:dyDescent="0.25">
      <c r="H905" s="43" t="str">
        <f>IFERROR(ABS(C905/VLOOKUP(2*$B905,$B906:C939,2,TRUE)),"--")</f>
        <v>--</v>
      </c>
      <c r="I905" s="43" t="str">
        <f>IFERROR(ABS(D905/VLOOKUP(2*$B905,$B906:D939,3,TRUE)),"--")</f>
        <v>--</v>
      </c>
      <c r="J905" s="43" t="str">
        <f>IFERROR(ABS(E905/VLOOKUP(2*$B905,$B906:E939,4,TRUE)),"--")</f>
        <v>--</v>
      </c>
      <c r="K905" s="43" t="str">
        <f>IFERROR(ABS(F905/VLOOKUP(2*$B905,$B906:F939,5,TRUE)),"--")</f>
        <v>--</v>
      </c>
      <c r="L905" s="43" t="str">
        <f>IFERROR(ABS(G905/VLOOKUP(2*$B905,$B906:G939,6,TRUE)),"--")</f>
        <v>--</v>
      </c>
      <c r="M905" s="38">
        <f>IF(AND(1+$Q$6&gt;H905,1-$Q$6&lt;H905,1+$Q$6&gt;I905,1-$Q$6&lt;I905,1+$Q$6&gt;J905,1-$Q$6&lt;J905,1+$Q$6&gt;K905,1-$Q$6&lt;K905,1+$Q$6&gt;L905,1-$Q$6&lt;L905),IF(SUM($M$2:M904)=0,1,0),0)</f>
        <v>0</v>
      </c>
      <c r="N905" s="38">
        <f>IF(AND(1+$Q$7&gt;H905,1-$Q$7&lt;H905,1+$Q$7&gt;I905,1-$Q$7&lt;I905,1+$Q$7&gt;J905,1-$Q$7&lt;J905,1+$Q$7&gt;K905,1-$Q$7&lt;K905,1+$Q$7&gt;L905,1-$Q$7&lt;L905),IF(SUM($N$2:N904)=0,1,0),0)</f>
        <v>0</v>
      </c>
      <c r="O905" s="34">
        <f t="shared" si="14"/>
        <v>0</v>
      </c>
    </row>
    <row r="906" spans="8:15" x14ac:dyDescent="0.25">
      <c r="H906" s="43" t="str">
        <f>IFERROR(ABS(C906/VLOOKUP(2*$B906,$B907:C940,2,TRUE)),"--")</f>
        <v>--</v>
      </c>
      <c r="I906" s="43" t="str">
        <f>IFERROR(ABS(D906/VLOOKUP(2*$B906,$B907:D940,3,TRUE)),"--")</f>
        <v>--</v>
      </c>
      <c r="J906" s="43" t="str">
        <f>IFERROR(ABS(E906/VLOOKUP(2*$B906,$B907:E940,4,TRUE)),"--")</f>
        <v>--</v>
      </c>
      <c r="K906" s="43" t="str">
        <f>IFERROR(ABS(F906/VLOOKUP(2*$B906,$B907:F940,5,TRUE)),"--")</f>
        <v>--</v>
      </c>
      <c r="L906" s="43" t="str">
        <f>IFERROR(ABS(G906/VLOOKUP(2*$B906,$B907:G940,6,TRUE)),"--")</f>
        <v>--</v>
      </c>
      <c r="M906" s="38">
        <f>IF(AND(1+$Q$6&gt;H906,1-$Q$6&lt;H906,1+$Q$6&gt;I906,1-$Q$6&lt;I906,1+$Q$6&gt;J906,1-$Q$6&lt;J906,1+$Q$6&gt;K906,1-$Q$6&lt;K906,1+$Q$6&gt;L906,1-$Q$6&lt;L906),IF(SUM($M$2:M905)=0,1,0),0)</f>
        <v>0</v>
      </c>
      <c r="N906" s="38">
        <f>IF(AND(1+$Q$7&gt;H906,1-$Q$7&lt;H906,1+$Q$7&gt;I906,1-$Q$7&lt;I906,1+$Q$7&gt;J906,1-$Q$7&lt;J906,1+$Q$7&gt;K906,1-$Q$7&lt;K906,1+$Q$7&gt;L906,1-$Q$7&lt;L906),IF(SUM($N$2:N905)=0,1,0),0)</f>
        <v>0</v>
      </c>
      <c r="O906" s="34">
        <f t="shared" si="14"/>
        <v>0</v>
      </c>
    </row>
    <row r="907" spans="8:15" x14ac:dyDescent="0.25">
      <c r="H907" s="43" t="str">
        <f>IFERROR(ABS(C907/VLOOKUP(2*$B907,$B908:C941,2,TRUE)),"--")</f>
        <v>--</v>
      </c>
      <c r="I907" s="43" t="str">
        <f>IFERROR(ABS(D907/VLOOKUP(2*$B907,$B908:D941,3,TRUE)),"--")</f>
        <v>--</v>
      </c>
      <c r="J907" s="43" t="str">
        <f>IFERROR(ABS(E907/VLOOKUP(2*$B907,$B908:E941,4,TRUE)),"--")</f>
        <v>--</v>
      </c>
      <c r="K907" s="43" t="str">
        <f>IFERROR(ABS(F907/VLOOKUP(2*$B907,$B908:F941,5,TRUE)),"--")</f>
        <v>--</v>
      </c>
      <c r="L907" s="43" t="str">
        <f>IFERROR(ABS(G907/VLOOKUP(2*$B907,$B908:G941,6,TRUE)),"--")</f>
        <v>--</v>
      </c>
      <c r="M907" s="38">
        <f>IF(AND(1+$Q$6&gt;H907,1-$Q$6&lt;H907,1+$Q$6&gt;I907,1-$Q$6&lt;I907,1+$Q$6&gt;J907,1-$Q$6&lt;J907,1+$Q$6&gt;K907,1-$Q$6&lt;K907,1+$Q$6&gt;L907,1-$Q$6&lt;L907),IF(SUM($M$2:M906)=0,1,0),0)</f>
        <v>0</v>
      </c>
      <c r="N907" s="38">
        <f>IF(AND(1+$Q$7&gt;H907,1-$Q$7&lt;H907,1+$Q$7&gt;I907,1-$Q$7&lt;I907,1+$Q$7&gt;J907,1-$Q$7&lt;J907,1+$Q$7&gt;K907,1-$Q$7&lt;K907,1+$Q$7&gt;L907,1-$Q$7&lt;L907),IF(SUM($N$2:N906)=0,1,0),0)</f>
        <v>0</v>
      </c>
      <c r="O907" s="34">
        <f t="shared" si="14"/>
        <v>0</v>
      </c>
    </row>
    <row r="908" spans="8:15" x14ac:dyDescent="0.25">
      <c r="H908" s="43" t="str">
        <f>IFERROR(ABS(C908/VLOOKUP(2*$B908,$B909:C942,2,TRUE)),"--")</f>
        <v>--</v>
      </c>
      <c r="I908" s="43" t="str">
        <f>IFERROR(ABS(D908/VLOOKUP(2*$B908,$B909:D942,3,TRUE)),"--")</f>
        <v>--</v>
      </c>
      <c r="J908" s="43" t="str">
        <f>IFERROR(ABS(E908/VLOOKUP(2*$B908,$B909:E942,4,TRUE)),"--")</f>
        <v>--</v>
      </c>
      <c r="K908" s="43" t="str">
        <f>IFERROR(ABS(F908/VLOOKUP(2*$B908,$B909:F942,5,TRUE)),"--")</f>
        <v>--</v>
      </c>
      <c r="L908" s="43" t="str">
        <f>IFERROR(ABS(G908/VLOOKUP(2*$B908,$B909:G942,6,TRUE)),"--")</f>
        <v>--</v>
      </c>
      <c r="M908" s="38">
        <f>IF(AND(1+$Q$6&gt;H908,1-$Q$6&lt;H908,1+$Q$6&gt;I908,1-$Q$6&lt;I908,1+$Q$6&gt;J908,1-$Q$6&lt;J908,1+$Q$6&gt;K908,1-$Q$6&lt;K908,1+$Q$6&gt;L908,1-$Q$6&lt;L908),IF(SUM($M$2:M907)=0,1,0),0)</f>
        <v>0</v>
      </c>
      <c r="N908" s="38">
        <f>IF(AND(1+$Q$7&gt;H908,1-$Q$7&lt;H908,1+$Q$7&gt;I908,1-$Q$7&lt;I908,1+$Q$7&gt;J908,1-$Q$7&lt;J908,1+$Q$7&gt;K908,1-$Q$7&lt;K908,1+$Q$7&gt;L908,1-$Q$7&lt;L908),IF(SUM($N$2:N907)=0,1,0),0)</f>
        <v>0</v>
      </c>
      <c r="O908" s="34">
        <f t="shared" si="14"/>
        <v>0</v>
      </c>
    </row>
    <row r="909" spans="8:15" x14ac:dyDescent="0.25">
      <c r="H909" s="43" t="str">
        <f>IFERROR(ABS(C909/VLOOKUP(2*$B909,$B910:C943,2,TRUE)),"--")</f>
        <v>--</v>
      </c>
      <c r="I909" s="43" t="str">
        <f>IFERROR(ABS(D909/VLOOKUP(2*$B909,$B910:D943,3,TRUE)),"--")</f>
        <v>--</v>
      </c>
      <c r="J909" s="43" t="str">
        <f>IFERROR(ABS(E909/VLOOKUP(2*$B909,$B910:E943,4,TRUE)),"--")</f>
        <v>--</v>
      </c>
      <c r="K909" s="43" t="str">
        <f>IFERROR(ABS(F909/VLOOKUP(2*$B909,$B910:F943,5,TRUE)),"--")</f>
        <v>--</v>
      </c>
      <c r="L909" s="43" t="str">
        <f>IFERROR(ABS(G909/VLOOKUP(2*$B909,$B910:G943,6,TRUE)),"--")</f>
        <v>--</v>
      </c>
      <c r="M909" s="38">
        <f>IF(AND(1+$Q$6&gt;H909,1-$Q$6&lt;H909,1+$Q$6&gt;I909,1-$Q$6&lt;I909,1+$Q$6&gt;J909,1-$Q$6&lt;J909,1+$Q$6&gt;K909,1-$Q$6&lt;K909,1+$Q$6&gt;L909,1-$Q$6&lt;L909),IF(SUM($M$2:M908)=0,1,0),0)</f>
        <v>0</v>
      </c>
      <c r="N909" s="38">
        <f>IF(AND(1+$Q$7&gt;H909,1-$Q$7&lt;H909,1+$Q$7&gt;I909,1-$Q$7&lt;I909,1+$Q$7&gt;J909,1-$Q$7&lt;J909,1+$Q$7&gt;K909,1-$Q$7&lt;K909,1+$Q$7&gt;L909,1-$Q$7&lt;L909),IF(SUM($N$2:N908)=0,1,0),0)</f>
        <v>0</v>
      </c>
      <c r="O909" s="34">
        <f t="shared" si="14"/>
        <v>0</v>
      </c>
    </row>
    <row r="910" spans="8:15" x14ac:dyDescent="0.25">
      <c r="H910" s="43" t="str">
        <f>IFERROR(ABS(C910/VLOOKUP(2*$B910,$B911:C944,2,TRUE)),"--")</f>
        <v>--</v>
      </c>
      <c r="I910" s="43" t="str">
        <f>IFERROR(ABS(D910/VLOOKUP(2*$B910,$B911:D944,3,TRUE)),"--")</f>
        <v>--</v>
      </c>
      <c r="J910" s="43" t="str">
        <f>IFERROR(ABS(E910/VLOOKUP(2*$B910,$B911:E944,4,TRUE)),"--")</f>
        <v>--</v>
      </c>
      <c r="K910" s="43" t="str">
        <f>IFERROR(ABS(F910/VLOOKUP(2*$B910,$B911:F944,5,TRUE)),"--")</f>
        <v>--</v>
      </c>
      <c r="L910" s="43" t="str">
        <f>IFERROR(ABS(G910/VLOOKUP(2*$B910,$B911:G944,6,TRUE)),"--")</f>
        <v>--</v>
      </c>
      <c r="M910" s="38">
        <f>IF(AND(1+$Q$6&gt;H910,1-$Q$6&lt;H910,1+$Q$6&gt;I910,1-$Q$6&lt;I910,1+$Q$6&gt;J910,1-$Q$6&lt;J910,1+$Q$6&gt;K910,1-$Q$6&lt;K910,1+$Q$6&gt;L910,1-$Q$6&lt;L910),IF(SUM($M$2:M909)=0,1,0),0)</f>
        <v>0</v>
      </c>
      <c r="N910" s="38">
        <f>IF(AND(1+$Q$7&gt;H910,1-$Q$7&lt;H910,1+$Q$7&gt;I910,1-$Q$7&lt;I910,1+$Q$7&gt;J910,1-$Q$7&lt;J910,1+$Q$7&gt;K910,1-$Q$7&lt;K910,1+$Q$7&gt;L910,1-$Q$7&lt;L910),IF(SUM($N$2:N909)=0,1,0),0)</f>
        <v>0</v>
      </c>
      <c r="O910" s="34">
        <f t="shared" si="14"/>
        <v>0</v>
      </c>
    </row>
    <row r="911" spans="8:15" x14ac:dyDescent="0.25">
      <c r="H911" s="43" t="str">
        <f>IFERROR(ABS(C911/VLOOKUP(2*$B911,$B912:C945,2,TRUE)),"--")</f>
        <v>--</v>
      </c>
      <c r="I911" s="43" t="str">
        <f>IFERROR(ABS(D911/VLOOKUP(2*$B911,$B912:D945,3,TRUE)),"--")</f>
        <v>--</v>
      </c>
      <c r="J911" s="43" t="str">
        <f>IFERROR(ABS(E911/VLOOKUP(2*$B911,$B912:E945,4,TRUE)),"--")</f>
        <v>--</v>
      </c>
      <c r="K911" s="43" t="str">
        <f>IFERROR(ABS(F911/VLOOKUP(2*$B911,$B912:F945,5,TRUE)),"--")</f>
        <v>--</v>
      </c>
      <c r="L911" s="43" t="str">
        <f>IFERROR(ABS(G911/VLOOKUP(2*$B911,$B912:G945,6,TRUE)),"--")</f>
        <v>--</v>
      </c>
      <c r="M911" s="38">
        <f>IF(AND(1+$Q$6&gt;H911,1-$Q$6&lt;H911,1+$Q$6&gt;I911,1-$Q$6&lt;I911,1+$Q$6&gt;J911,1-$Q$6&lt;J911,1+$Q$6&gt;K911,1-$Q$6&lt;K911,1+$Q$6&gt;L911,1-$Q$6&lt;L911),IF(SUM($M$2:M910)=0,1,0),0)</f>
        <v>0</v>
      </c>
      <c r="N911" s="38">
        <f>IF(AND(1+$Q$7&gt;H911,1-$Q$7&lt;H911,1+$Q$7&gt;I911,1-$Q$7&lt;I911,1+$Q$7&gt;J911,1-$Q$7&lt;J911,1+$Q$7&gt;K911,1-$Q$7&lt;K911,1+$Q$7&gt;L911,1-$Q$7&lt;L911),IF(SUM($N$2:N910)=0,1,0),0)</f>
        <v>0</v>
      </c>
      <c r="O911" s="34">
        <f t="shared" si="14"/>
        <v>0</v>
      </c>
    </row>
    <row r="912" spans="8:15" x14ac:dyDescent="0.25">
      <c r="H912" s="43" t="str">
        <f>IFERROR(ABS(C912/VLOOKUP(2*$B912,$B913:C946,2,TRUE)),"--")</f>
        <v>--</v>
      </c>
      <c r="I912" s="43" t="str">
        <f>IFERROR(ABS(D912/VLOOKUP(2*$B912,$B913:D946,3,TRUE)),"--")</f>
        <v>--</v>
      </c>
      <c r="J912" s="43" t="str">
        <f>IFERROR(ABS(E912/VLOOKUP(2*$B912,$B913:E946,4,TRUE)),"--")</f>
        <v>--</v>
      </c>
      <c r="K912" s="43" t="str">
        <f>IFERROR(ABS(F912/VLOOKUP(2*$B912,$B913:F946,5,TRUE)),"--")</f>
        <v>--</v>
      </c>
      <c r="L912" s="43" t="str">
        <f>IFERROR(ABS(G912/VLOOKUP(2*$B912,$B913:G946,6,TRUE)),"--")</f>
        <v>--</v>
      </c>
      <c r="M912" s="38">
        <f>IF(AND(1+$Q$6&gt;H912,1-$Q$6&lt;H912,1+$Q$6&gt;I912,1-$Q$6&lt;I912,1+$Q$6&gt;J912,1-$Q$6&lt;J912,1+$Q$6&gt;K912,1-$Q$6&lt;K912,1+$Q$6&gt;L912,1-$Q$6&lt;L912),IF(SUM($M$2:M911)=0,1,0),0)</f>
        <v>0</v>
      </c>
      <c r="N912" s="38">
        <f>IF(AND(1+$Q$7&gt;H912,1-$Q$7&lt;H912,1+$Q$7&gt;I912,1-$Q$7&lt;I912,1+$Q$7&gt;J912,1-$Q$7&lt;J912,1+$Q$7&gt;K912,1-$Q$7&lt;K912,1+$Q$7&gt;L912,1-$Q$7&lt;L912),IF(SUM($N$2:N911)=0,1,0),0)</f>
        <v>0</v>
      </c>
      <c r="O912" s="34">
        <f t="shared" si="14"/>
        <v>0</v>
      </c>
    </row>
    <row r="913" spans="8:15" x14ac:dyDescent="0.25">
      <c r="H913" s="43" t="str">
        <f>IFERROR(ABS(C913/VLOOKUP(2*$B913,$B914:C947,2,TRUE)),"--")</f>
        <v>--</v>
      </c>
      <c r="I913" s="43" t="str">
        <f>IFERROR(ABS(D913/VLOOKUP(2*$B913,$B914:D947,3,TRUE)),"--")</f>
        <v>--</v>
      </c>
      <c r="J913" s="43" t="str">
        <f>IFERROR(ABS(E913/VLOOKUP(2*$B913,$B914:E947,4,TRUE)),"--")</f>
        <v>--</v>
      </c>
      <c r="K913" s="43" t="str">
        <f>IFERROR(ABS(F913/VLOOKUP(2*$B913,$B914:F947,5,TRUE)),"--")</f>
        <v>--</v>
      </c>
      <c r="L913" s="43" t="str">
        <f>IFERROR(ABS(G913/VLOOKUP(2*$B913,$B914:G947,6,TRUE)),"--")</f>
        <v>--</v>
      </c>
      <c r="M913" s="38">
        <f>IF(AND(1+$Q$6&gt;H913,1-$Q$6&lt;H913,1+$Q$6&gt;I913,1-$Q$6&lt;I913,1+$Q$6&gt;J913,1-$Q$6&lt;J913,1+$Q$6&gt;K913,1-$Q$6&lt;K913,1+$Q$6&gt;L913,1-$Q$6&lt;L913),IF(SUM($M$2:M912)=0,1,0),0)</f>
        <v>0</v>
      </c>
      <c r="N913" s="38">
        <f>IF(AND(1+$Q$7&gt;H913,1-$Q$7&lt;H913,1+$Q$7&gt;I913,1-$Q$7&lt;I913,1+$Q$7&gt;J913,1-$Q$7&lt;J913,1+$Q$7&gt;K913,1-$Q$7&lt;K913,1+$Q$7&gt;L913,1-$Q$7&lt;L913),IF(SUM($N$2:N912)=0,1,0),0)</f>
        <v>0</v>
      </c>
      <c r="O913" s="34">
        <f t="shared" si="14"/>
        <v>0</v>
      </c>
    </row>
    <row r="914" spans="8:15" x14ac:dyDescent="0.25">
      <c r="H914" s="43" t="str">
        <f>IFERROR(ABS(C914/VLOOKUP(2*$B914,$B915:C948,2,TRUE)),"--")</f>
        <v>--</v>
      </c>
      <c r="I914" s="43" t="str">
        <f>IFERROR(ABS(D914/VLOOKUP(2*$B914,$B915:D948,3,TRUE)),"--")</f>
        <v>--</v>
      </c>
      <c r="J914" s="43" t="str">
        <f>IFERROR(ABS(E914/VLOOKUP(2*$B914,$B915:E948,4,TRUE)),"--")</f>
        <v>--</v>
      </c>
      <c r="K914" s="43" t="str">
        <f>IFERROR(ABS(F914/VLOOKUP(2*$B914,$B915:F948,5,TRUE)),"--")</f>
        <v>--</v>
      </c>
      <c r="L914" s="43" t="str">
        <f>IFERROR(ABS(G914/VLOOKUP(2*$B914,$B915:G948,6,TRUE)),"--")</f>
        <v>--</v>
      </c>
      <c r="M914" s="38">
        <f>IF(AND(1+$Q$6&gt;H914,1-$Q$6&lt;H914,1+$Q$6&gt;I914,1-$Q$6&lt;I914,1+$Q$6&gt;J914,1-$Q$6&lt;J914,1+$Q$6&gt;K914,1-$Q$6&lt;K914,1+$Q$6&gt;L914,1-$Q$6&lt;L914),IF(SUM($M$2:M913)=0,1,0),0)</f>
        <v>0</v>
      </c>
      <c r="N914" s="38">
        <f>IF(AND(1+$Q$7&gt;H914,1-$Q$7&lt;H914,1+$Q$7&gt;I914,1-$Q$7&lt;I914,1+$Q$7&gt;J914,1-$Q$7&lt;J914,1+$Q$7&gt;K914,1-$Q$7&lt;K914,1+$Q$7&gt;L914,1-$Q$7&lt;L914),IF(SUM($N$2:N913)=0,1,0),0)</f>
        <v>0</v>
      </c>
      <c r="O914" s="34">
        <f t="shared" si="14"/>
        <v>0</v>
      </c>
    </row>
    <row r="915" spans="8:15" x14ac:dyDescent="0.25">
      <c r="H915" s="43" t="str">
        <f>IFERROR(ABS(C915/VLOOKUP(2*$B915,$B916:C949,2,TRUE)),"--")</f>
        <v>--</v>
      </c>
      <c r="I915" s="43" t="str">
        <f>IFERROR(ABS(D915/VLOOKUP(2*$B915,$B916:D949,3,TRUE)),"--")</f>
        <v>--</v>
      </c>
      <c r="J915" s="43" t="str">
        <f>IFERROR(ABS(E915/VLOOKUP(2*$B915,$B916:E949,4,TRUE)),"--")</f>
        <v>--</v>
      </c>
      <c r="K915" s="43" t="str">
        <f>IFERROR(ABS(F915/VLOOKUP(2*$B915,$B916:F949,5,TRUE)),"--")</f>
        <v>--</v>
      </c>
      <c r="L915" s="43" t="str">
        <f>IFERROR(ABS(G915/VLOOKUP(2*$B915,$B916:G949,6,TRUE)),"--")</f>
        <v>--</v>
      </c>
      <c r="M915" s="38">
        <f>IF(AND(1+$Q$6&gt;H915,1-$Q$6&lt;H915,1+$Q$6&gt;I915,1-$Q$6&lt;I915,1+$Q$6&gt;J915,1-$Q$6&lt;J915,1+$Q$6&gt;K915,1-$Q$6&lt;K915,1+$Q$6&gt;L915,1-$Q$6&lt;L915),IF(SUM($M$2:M914)=0,1,0),0)</f>
        <v>0</v>
      </c>
      <c r="N915" s="38">
        <f>IF(AND(1+$Q$7&gt;H915,1-$Q$7&lt;H915,1+$Q$7&gt;I915,1-$Q$7&lt;I915,1+$Q$7&gt;J915,1-$Q$7&lt;J915,1+$Q$7&gt;K915,1-$Q$7&lt;K915,1+$Q$7&gt;L915,1-$Q$7&lt;L915),IF(SUM($N$2:N914)=0,1,0),0)</f>
        <v>0</v>
      </c>
      <c r="O915" s="34">
        <f t="shared" si="14"/>
        <v>0</v>
      </c>
    </row>
    <row r="916" spans="8:15" x14ac:dyDescent="0.25">
      <c r="H916" s="43" t="str">
        <f>IFERROR(ABS(C916/VLOOKUP(2*$B916,$B917:C950,2,TRUE)),"--")</f>
        <v>--</v>
      </c>
      <c r="I916" s="43" t="str">
        <f>IFERROR(ABS(D916/VLOOKUP(2*$B916,$B917:D950,3,TRUE)),"--")</f>
        <v>--</v>
      </c>
      <c r="J916" s="43" t="str">
        <f>IFERROR(ABS(E916/VLOOKUP(2*$B916,$B917:E950,4,TRUE)),"--")</f>
        <v>--</v>
      </c>
      <c r="K916" s="43" t="str">
        <f>IFERROR(ABS(F916/VLOOKUP(2*$B916,$B917:F950,5,TRUE)),"--")</f>
        <v>--</v>
      </c>
      <c r="L916" s="43" t="str">
        <f>IFERROR(ABS(G916/VLOOKUP(2*$B916,$B917:G950,6,TRUE)),"--")</f>
        <v>--</v>
      </c>
      <c r="M916" s="38">
        <f>IF(AND(1+$Q$6&gt;H916,1-$Q$6&lt;H916,1+$Q$6&gt;I916,1-$Q$6&lt;I916,1+$Q$6&gt;J916,1-$Q$6&lt;J916,1+$Q$6&gt;K916,1-$Q$6&lt;K916,1+$Q$6&gt;L916,1-$Q$6&lt;L916),IF(SUM($M$2:M915)=0,1,0),0)</f>
        <v>0</v>
      </c>
      <c r="N916" s="38">
        <f>IF(AND(1+$Q$7&gt;H916,1-$Q$7&lt;H916,1+$Q$7&gt;I916,1-$Q$7&lt;I916,1+$Q$7&gt;J916,1-$Q$7&lt;J916,1+$Q$7&gt;K916,1-$Q$7&lt;K916,1+$Q$7&gt;L916,1-$Q$7&lt;L916),IF(SUM($N$2:N915)=0,1,0),0)</f>
        <v>0</v>
      </c>
      <c r="O916" s="34">
        <f t="shared" si="14"/>
        <v>0</v>
      </c>
    </row>
    <row r="917" spans="8:15" x14ac:dyDescent="0.25">
      <c r="H917" s="43" t="str">
        <f>IFERROR(ABS(C917/VLOOKUP(2*$B917,$B918:C951,2,TRUE)),"--")</f>
        <v>--</v>
      </c>
      <c r="I917" s="43" t="str">
        <f>IFERROR(ABS(D917/VLOOKUP(2*$B917,$B918:D951,3,TRUE)),"--")</f>
        <v>--</v>
      </c>
      <c r="J917" s="43" t="str">
        <f>IFERROR(ABS(E917/VLOOKUP(2*$B917,$B918:E951,4,TRUE)),"--")</f>
        <v>--</v>
      </c>
      <c r="K917" s="43" t="str">
        <f>IFERROR(ABS(F917/VLOOKUP(2*$B917,$B918:F951,5,TRUE)),"--")</f>
        <v>--</v>
      </c>
      <c r="L917" s="43" t="str">
        <f>IFERROR(ABS(G917/VLOOKUP(2*$B917,$B918:G951,6,TRUE)),"--")</f>
        <v>--</v>
      </c>
      <c r="M917" s="38">
        <f>IF(AND(1+$Q$6&gt;H917,1-$Q$6&lt;H917,1+$Q$6&gt;I917,1-$Q$6&lt;I917,1+$Q$6&gt;J917,1-$Q$6&lt;J917,1+$Q$6&gt;K917,1-$Q$6&lt;K917,1+$Q$6&gt;L917,1-$Q$6&lt;L917),IF(SUM($M$2:M916)=0,1,0),0)</f>
        <v>0</v>
      </c>
      <c r="N917" s="38">
        <f>IF(AND(1+$Q$7&gt;H917,1-$Q$7&lt;H917,1+$Q$7&gt;I917,1-$Q$7&lt;I917,1+$Q$7&gt;J917,1-$Q$7&lt;J917,1+$Q$7&gt;K917,1-$Q$7&lt;K917,1+$Q$7&gt;L917,1-$Q$7&lt;L917),IF(SUM($N$2:N916)=0,1,0),0)</f>
        <v>0</v>
      </c>
      <c r="O917" s="34">
        <f t="shared" si="14"/>
        <v>0</v>
      </c>
    </row>
    <row r="918" spans="8:15" x14ac:dyDescent="0.25">
      <c r="H918" s="43" t="str">
        <f>IFERROR(ABS(C918/VLOOKUP(2*$B918,$B919:C952,2,TRUE)),"--")</f>
        <v>--</v>
      </c>
      <c r="I918" s="43" t="str">
        <f>IFERROR(ABS(D918/VLOOKUP(2*$B918,$B919:D952,3,TRUE)),"--")</f>
        <v>--</v>
      </c>
      <c r="J918" s="43" t="str">
        <f>IFERROR(ABS(E918/VLOOKUP(2*$B918,$B919:E952,4,TRUE)),"--")</f>
        <v>--</v>
      </c>
      <c r="K918" s="43" t="str">
        <f>IFERROR(ABS(F918/VLOOKUP(2*$B918,$B919:F952,5,TRUE)),"--")</f>
        <v>--</v>
      </c>
      <c r="L918" s="43" t="str">
        <f>IFERROR(ABS(G918/VLOOKUP(2*$B918,$B919:G952,6,TRUE)),"--")</f>
        <v>--</v>
      </c>
      <c r="M918" s="38">
        <f>IF(AND(1+$Q$6&gt;H918,1-$Q$6&lt;H918,1+$Q$6&gt;I918,1-$Q$6&lt;I918,1+$Q$6&gt;J918,1-$Q$6&lt;J918,1+$Q$6&gt;K918,1-$Q$6&lt;K918,1+$Q$6&gt;L918,1-$Q$6&lt;L918),IF(SUM($M$2:M917)=0,1,0),0)</f>
        <v>0</v>
      </c>
      <c r="N918" s="38">
        <f>IF(AND(1+$Q$7&gt;H918,1-$Q$7&lt;H918,1+$Q$7&gt;I918,1-$Q$7&lt;I918,1+$Q$7&gt;J918,1-$Q$7&lt;J918,1+$Q$7&gt;K918,1-$Q$7&lt;K918,1+$Q$7&gt;L918,1-$Q$7&lt;L918),IF(SUM($N$2:N917)=0,1,0),0)</f>
        <v>0</v>
      </c>
      <c r="O918" s="34">
        <f t="shared" si="14"/>
        <v>0</v>
      </c>
    </row>
    <row r="919" spans="8:15" x14ac:dyDescent="0.25">
      <c r="H919" s="43" t="str">
        <f>IFERROR(ABS(C919/VLOOKUP(2*$B919,$B920:C953,2,TRUE)),"--")</f>
        <v>--</v>
      </c>
      <c r="I919" s="43" t="str">
        <f>IFERROR(ABS(D919/VLOOKUP(2*$B919,$B920:D953,3,TRUE)),"--")</f>
        <v>--</v>
      </c>
      <c r="J919" s="43" t="str">
        <f>IFERROR(ABS(E919/VLOOKUP(2*$B919,$B920:E953,4,TRUE)),"--")</f>
        <v>--</v>
      </c>
      <c r="K919" s="43" t="str">
        <f>IFERROR(ABS(F919/VLOOKUP(2*$B919,$B920:F953,5,TRUE)),"--")</f>
        <v>--</v>
      </c>
      <c r="L919" s="43" t="str">
        <f>IFERROR(ABS(G919/VLOOKUP(2*$B919,$B920:G953,6,TRUE)),"--")</f>
        <v>--</v>
      </c>
      <c r="M919" s="38">
        <f>IF(AND(1+$Q$6&gt;H919,1-$Q$6&lt;H919,1+$Q$6&gt;I919,1-$Q$6&lt;I919,1+$Q$6&gt;J919,1-$Q$6&lt;J919,1+$Q$6&gt;K919,1-$Q$6&lt;K919,1+$Q$6&gt;L919,1-$Q$6&lt;L919),IF(SUM($M$2:M918)=0,1,0),0)</f>
        <v>0</v>
      </c>
      <c r="N919" s="38">
        <f>IF(AND(1+$Q$7&gt;H919,1-$Q$7&lt;H919,1+$Q$7&gt;I919,1-$Q$7&lt;I919,1+$Q$7&gt;J919,1-$Q$7&lt;J919,1+$Q$7&gt;K919,1-$Q$7&lt;K919,1+$Q$7&gt;L919,1-$Q$7&lt;L919),IF(SUM($N$2:N918)=0,1,0),0)</f>
        <v>0</v>
      </c>
      <c r="O919" s="34">
        <f t="shared" si="14"/>
        <v>0</v>
      </c>
    </row>
    <row r="920" spans="8:15" x14ac:dyDescent="0.25">
      <c r="H920" s="43" t="str">
        <f>IFERROR(ABS(C920/VLOOKUP(2*$B920,$B921:C954,2,TRUE)),"--")</f>
        <v>--</v>
      </c>
      <c r="I920" s="43" t="str">
        <f>IFERROR(ABS(D920/VLOOKUP(2*$B920,$B921:D954,3,TRUE)),"--")</f>
        <v>--</v>
      </c>
      <c r="J920" s="43" t="str">
        <f>IFERROR(ABS(E920/VLOOKUP(2*$B920,$B921:E954,4,TRUE)),"--")</f>
        <v>--</v>
      </c>
      <c r="K920" s="43" t="str">
        <f>IFERROR(ABS(F920/VLOOKUP(2*$B920,$B921:F954,5,TRUE)),"--")</f>
        <v>--</v>
      </c>
      <c r="L920" s="43" t="str">
        <f>IFERROR(ABS(G920/VLOOKUP(2*$B920,$B921:G954,6,TRUE)),"--")</f>
        <v>--</v>
      </c>
      <c r="M920" s="38">
        <f>IF(AND(1+$Q$6&gt;H920,1-$Q$6&lt;H920,1+$Q$6&gt;I920,1-$Q$6&lt;I920,1+$Q$6&gt;J920,1-$Q$6&lt;J920,1+$Q$6&gt;K920,1-$Q$6&lt;K920,1+$Q$6&gt;L920,1-$Q$6&lt;L920),IF(SUM($M$2:M919)=0,1,0),0)</f>
        <v>0</v>
      </c>
      <c r="N920" s="38">
        <f>IF(AND(1+$Q$7&gt;H920,1-$Q$7&lt;H920,1+$Q$7&gt;I920,1-$Q$7&lt;I920,1+$Q$7&gt;J920,1-$Q$7&lt;J920,1+$Q$7&gt;K920,1-$Q$7&lt;K920,1+$Q$7&gt;L920,1-$Q$7&lt;L920),IF(SUM($N$2:N919)=0,1,0),0)</f>
        <v>0</v>
      </c>
      <c r="O920" s="34">
        <f t="shared" si="14"/>
        <v>0</v>
      </c>
    </row>
    <row r="921" spans="8:15" x14ac:dyDescent="0.25">
      <c r="H921" s="43" t="str">
        <f>IFERROR(ABS(C921/VLOOKUP(2*$B921,$B922:C955,2,TRUE)),"--")</f>
        <v>--</v>
      </c>
      <c r="I921" s="43" t="str">
        <f>IFERROR(ABS(D921/VLOOKUP(2*$B921,$B922:D955,3,TRUE)),"--")</f>
        <v>--</v>
      </c>
      <c r="J921" s="43" t="str">
        <f>IFERROR(ABS(E921/VLOOKUP(2*$B921,$B922:E955,4,TRUE)),"--")</f>
        <v>--</v>
      </c>
      <c r="K921" s="43" t="str">
        <f>IFERROR(ABS(F921/VLOOKUP(2*$B921,$B922:F955,5,TRUE)),"--")</f>
        <v>--</v>
      </c>
      <c r="L921" s="43" t="str">
        <f>IFERROR(ABS(G921/VLOOKUP(2*$B921,$B922:G955,6,TRUE)),"--")</f>
        <v>--</v>
      </c>
      <c r="M921" s="38">
        <f>IF(AND(1+$Q$6&gt;H921,1-$Q$6&lt;H921,1+$Q$6&gt;I921,1-$Q$6&lt;I921,1+$Q$6&gt;J921,1-$Q$6&lt;J921,1+$Q$6&gt;K921,1-$Q$6&lt;K921,1+$Q$6&gt;L921,1-$Q$6&lt;L921),IF(SUM($M$2:M920)=0,1,0),0)</f>
        <v>0</v>
      </c>
      <c r="N921" s="38">
        <f>IF(AND(1+$Q$7&gt;H921,1-$Q$7&lt;H921,1+$Q$7&gt;I921,1-$Q$7&lt;I921,1+$Q$7&gt;J921,1-$Q$7&lt;J921,1+$Q$7&gt;K921,1-$Q$7&lt;K921,1+$Q$7&gt;L921,1-$Q$7&lt;L921),IF(SUM($N$2:N920)=0,1,0),0)</f>
        <v>0</v>
      </c>
      <c r="O921" s="34">
        <f t="shared" si="14"/>
        <v>0</v>
      </c>
    </row>
    <row r="922" spans="8:15" x14ac:dyDescent="0.25">
      <c r="H922" s="43" t="str">
        <f>IFERROR(ABS(C922/VLOOKUP(2*$B922,$B923:C956,2,TRUE)),"--")</f>
        <v>--</v>
      </c>
      <c r="I922" s="43" t="str">
        <f>IFERROR(ABS(D922/VLOOKUP(2*$B922,$B923:D956,3,TRUE)),"--")</f>
        <v>--</v>
      </c>
      <c r="J922" s="43" t="str">
        <f>IFERROR(ABS(E922/VLOOKUP(2*$B922,$B923:E956,4,TRUE)),"--")</f>
        <v>--</v>
      </c>
      <c r="K922" s="43" t="str">
        <f>IFERROR(ABS(F922/VLOOKUP(2*$B922,$B923:F956,5,TRUE)),"--")</f>
        <v>--</v>
      </c>
      <c r="L922" s="43" t="str">
        <f>IFERROR(ABS(G922/VLOOKUP(2*$B922,$B923:G956,6,TRUE)),"--")</f>
        <v>--</v>
      </c>
      <c r="M922" s="38">
        <f>IF(AND(1+$Q$6&gt;H922,1-$Q$6&lt;H922,1+$Q$6&gt;I922,1-$Q$6&lt;I922,1+$Q$6&gt;J922,1-$Q$6&lt;J922,1+$Q$6&gt;K922,1-$Q$6&lt;K922,1+$Q$6&gt;L922,1-$Q$6&lt;L922),IF(SUM($M$2:M921)=0,1,0),0)</f>
        <v>0</v>
      </c>
      <c r="N922" s="38">
        <f>IF(AND(1+$Q$7&gt;H922,1-$Q$7&lt;H922,1+$Q$7&gt;I922,1-$Q$7&lt;I922,1+$Q$7&gt;J922,1-$Q$7&lt;J922,1+$Q$7&gt;K922,1-$Q$7&lt;K922,1+$Q$7&gt;L922,1-$Q$7&lt;L922),IF(SUM($N$2:N921)=0,1,0),0)</f>
        <v>0</v>
      </c>
      <c r="O922" s="34">
        <f t="shared" si="14"/>
        <v>0</v>
      </c>
    </row>
    <row r="923" spans="8:15" x14ac:dyDescent="0.25">
      <c r="H923" s="43" t="str">
        <f>IFERROR(ABS(C923/VLOOKUP(2*$B923,$B924:C957,2,TRUE)),"--")</f>
        <v>--</v>
      </c>
      <c r="I923" s="43" t="str">
        <f>IFERROR(ABS(D923/VLOOKUP(2*$B923,$B924:D957,3,TRUE)),"--")</f>
        <v>--</v>
      </c>
      <c r="J923" s="43" t="str">
        <f>IFERROR(ABS(E923/VLOOKUP(2*$B923,$B924:E957,4,TRUE)),"--")</f>
        <v>--</v>
      </c>
      <c r="K923" s="43" t="str">
        <f>IFERROR(ABS(F923/VLOOKUP(2*$B923,$B924:F957,5,TRUE)),"--")</f>
        <v>--</v>
      </c>
      <c r="L923" s="43" t="str">
        <f>IFERROR(ABS(G923/VLOOKUP(2*$B923,$B924:G957,6,TRUE)),"--")</f>
        <v>--</v>
      </c>
      <c r="M923" s="38">
        <f>IF(AND(1+$Q$6&gt;H923,1-$Q$6&lt;H923,1+$Q$6&gt;I923,1-$Q$6&lt;I923,1+$Q$6&gt;J923,1-$Q$6&lt;J923,1+$Q$6&gt;K923,1-$Q$6&lt;K923,1+$Q$6&gt;L923,1-$Q$6&lt;L923),IF(SUM($M$2:M922)=0,1,0),0)</f>
        <v>0</v>
      </c>
      <c r="N923" s="38">
        <f>IF(AND(1+$Q$7&gt;H923,1-$Q$7&lt;H923,1+$Q$7&gt;I923,1-$Q$7&lt;I923,1+$Q$7&gt;J923,1-$Q$7&lt;J923,1+$Q$7&gt;K923,1-$Q$7&lt;K923,1+$Q$7&gt;L923,1-$Q$7&lt;L923),IF(SUM($N$2:N922)=0,1,0),0)</f>
        <v>0</v>
      </c>
      <c r="O923" s="34">
        <f t="shared" si="14"/>
        <v>0</v>
      </c>
    </row>
    <row r="924" spans="8:15" x14ac:dyDescent="0.25">
      <c r="H924" s="43" t="str">
        <f>IFERROR(ABS(C924/VLOOKUP(2*$B924,$B925:C958,2,TRUE)),"--")</f>
        <v>--</v>
      </c>
      <c r="I924" s="43" t="str">
        <f>IFERROR(ABS(D924/VLOOKUP(2*$B924,$B925:D958,3,TRUE)),"--")</f>
        <v>--</v>
      </c>
      <c r="J924" s="43" t="str">
        <f>IFERROR(ABS(E924/VLOOKUP(2*$B924,$B925:E958,4,TRUE)),"--")</f>
        <v>--</v>
      </c>
      <c r="K924" s="43" t="str">
        <f>IFERROR(ABS(F924/VLOOKUP(2*$B924,$B925:F958,5,TRUE)),"--")</f>
        <v>--</v>
      </c>
      <c r="L924" s="43" t="str">
        <f>IFERROR(ABS(G924/VLOOKUP(2*$B924,$B925:G958,6,TRUE)),"--")</f>
        <v>--</v>
      </c>
      <c r="M924" s="38">
        <f>IF(AND(1+$Q$6&gt;H924,1-$Q$6&lt;H924,1+$Q$6&gt;I924,1-$Q$6&lt;I924,1+$Q$6&gt;J924,1-$Q$6&lt;J924,1+$Q$6&gt;K924,1-$Q$6&lt;K924,1+$Q$6&gt;L924,1-$Q$6&lt;L924),IF(SUM($M$2:M923)=0,1,0),0)</f>
        <v>0</v>
      </c>
      <c r="N924" s="38">
        <f>IF(AND(1+$Q$7&gt;H924,1-$Q$7&lt;H924,1+$Q$7&gt;I924,1-$Q$7&lt;I924,1+$Q$7&gt;J924,1-$Q$7&lt;J924,1+$Q$7&gt;K924,1-$Q$7&lt;K924,1+$Q$7&gt;L924,1-$Q$7&lt;L924),IF(SUM($N$2:N923)=0,1,0),0)</f>
        <v>0</v>
      </c>
      <c r="O924" s="34">
        <f t="shared" si="14"/>
        <v>0</v>
      </c>
    </row>
    <row r="925" spans="8:15" x14ac:dyDescent="0.25">
      <c r="H925" s="43" t="str">
        <f>IFERROR(ABS(C925/VLOOKUP(2*$B925,$B926:C959,2,TRUE)),"--")</f>
        <v>--</v>
      </c>
      <c r="I925" s="43" t="str">
        <f>IFERROR(ABS(D925/VLOOKUP(2*$B925,$B926:D959,3,TRUE)),"--")</f>
        <v>--</v>
      </c>
      <c r="J925" s="43" t="str">
        <f>IFERROR(ABS(E925/VLOOKUP(2*$B925,$B926:E959,4,TRUE)),"--")</f>
        <v>--</v>
      </c>
      <c r="K925" s="43" t="str">
        <f>IFERROR(ABS(F925/VLOOKUP(2*$B925,$B926:F959,5,TRUE)),"--")</f>
        <v>--</v>
      </c>
      <c r="L925" s="43" t="str">
        <f>IFERROR(ABS(G925/VLOOKUP(2*$B925,$B926:G959,6,TRUE)),"--")</f>
        <v>--</v>
      </c>
      <c r="M925" s="38">
        <f>IF(AND(1+$Q$6&gt;H925,1-$Q$6&lt;H925,1+$Q$6&gt;I925,1-$Q$6&lt;I925,1+$Q$6&gt;J925,1-$Q$6&lt;J925,1+$Q$6&gt;K925,1-$Q$6&lt;K925,1+$Q$6&gt;L925,1-$Q$6&lt;L925),IF(SUM($M$2:M924)=0,1,0),0)</f>
        <v>0</v>
      </c>
      <c r="N925" s="38">
        <f>IF(AND(1+$Q$7&gt;H925,1-$Q$7&lt;H925,1+$Q$7&gt;I925,1-$Q$7&lt;I925,1+$Q$7&gt;J925,1-$Q$7&lt;J925,1+$Q$7&gt;K925,1-$Q$7&lt;K925,1+$Q$7&gt;L925,1-$Q$7&lt;L925),IF(SUM($N$2:N924)=0,1,0),0)</f>
        <v>0</v>
      </c>
      <c r="O925" s="34">
        <f t="shared" si="14"/>
        <v>0</v>
      </c>
    </row>
    <row r="926" spans="8:15" x14ac:dyDescent="0.25">
      <c r="H926" s="43" t="str">
        <f>IFERROR(ABS(C926/VLOOKUP(2*$B926,$B927:C960,2,TRUE)),"--")</f>
        <v>--</v>
      </c>
      <c r="I926" s="43" t="str">
        <f>IFERROR(ABS(D926/VLOOKUP(2*$B926,$B927:D960,3,TRUE)),"--")</f>
        <v>--</v>
      </c>
      <c r="J926" s="43" t="str">
        <f>IFERROR(ABS(E926/VLOOKUP(2*$B926,$B927:E960,4,TRUE)),"--")</f>
        <v>--</v>
      </c>
      <c r="K926" s="43" t="str">
        <f>IFERROR(ABS(F926/VLOOKUP(2*$B926,$B927:F960,5,TRUE)),"--")</f>
        <v>--</v>
      </c>
      <c r="L926" s="43" t="str">
        <f>IFERROR(ABS(G926/VLOOKUP(2*$B926,$B927:G960,6,TRUE)),"--")</f>
        <v>--</v>
      </c>
      <c r="M926" s="38">
        <f>IF(AND(1+$Q$6&gt;H926,1-$Q$6&lt;H926,1+$Q$6&gt;I926,1-$Q$6&lt;I926,1+$Q$6&gt;J926,1-$Q$6&lt;J926,1+$Q$6&gt;K926,1-$Q$6&lt;K926,1+$Q$6&gt;L926,1-$Q$6&lt;L926),IF(SUM($M$2:M925)=0,1,0),0)</f>
        <v>0</v>
      </c>
      <c r="N926" s="38">
        <f>IF(AND(1+$Q$7&gt;H926,1-$Q$7&lt;H926,1+$Q$7&gt;I926,1-$Q$7&lt;I926,1+$Q$7&gt;J926,1-$Q$7&lt;J926,1+$Q$7&gt;K926,1-$Q$7&lt;K926,1+$Q$7&gt;L926,1-$Q$7&lt;L926),IF(SUM($N$2:N925)=0,1,0),0)</f>
        <v>0</v>
      </c>
      <c r="O926" s="34">
        <f t="shared" si="14"/>
        <v>0</v>
      </c>
    </row>
    <row r="927" spans="8:15" x14ac:dyDescent="0.25">
      <c r="H927" s="43" t="str">
        <f>IFERROR(ABS(C927/VLOOKUP(2*$B927,$B928:C961,2,TRUE)),"--")</f>
        <v>--</v>
      </c>
      <c r="I927" s="43" t="str">
        <f>IFERROR(ABS(D927/VLOOKUP(2*$B927,$B928:D961,3,TRUE)),"--")</f>
        <v>--</v>
      </c>
      <c r="J927" s="43" t="str">
        <f>IFERROR(ABS(E927/VLOOKUP(2*$B927,$B928:E961,4,TRUE)),"--")</f>
        <v>--</v>
      </c>
      <c r="K927" s="43" t="str">
        <f>IFERROR(ABS(F927/VLOOKUP(2*$B927,$B928:F961,5,TRUE)),"--")</f>
        <v>--</v>
      </c>
      <c r="L927" s="43" t="str">
        <f>IFERROR(ABS(G927/VLOOKUP(2*$B927,$B928:G961,6,TRUE)),"--")</f>
        <v>--</v>
      </c>
      <c r="M927" s="38">
        <f>IF(AND(1+$Q$6&gt;H927,1-$Q$6&lt;H927,1+$Q$6&gt;I927,1-$Q$6&lt;I927,1+$Q$6&gt;J927,1-$Q$6&lt;J927,1+$Q$6&gt;K927,1-$Q$6&lt;K927,1+$Q$6&gt;L927,1-$Q$6&lt;L927),IF(SUM($M$2:M926)=0,1,0),0)</f>
        <v>0</v>
      </c>
      <c r="N927" s="38">
        <f>IF(AND(1+$Q$7&gt;H927,1-$Q$7&lt;H927,1+$Q$7&gt;I927,1-$Q$7&lt;I927,1+$Q$7&gt;J927,1-$Q$7&lt;J927,1+$Q$7&gt;K927,1-$Q$7&lt;K927,1+$Q$7&gt;L927,1-$Q$7&lt;L927),IF(SUM($N$2:N926)=0,1,0),0)</f>
        <v>0</v>
      </c>
      <c r="O927" s="34">
        <f t="shared" si="14"/>
        <v>0</v>
      </c>
    </row>
    <row r="928" spans="8:15" x14ac:dyDescent="0.25">
      <c r="H928" s="43" t="str">
        <f>IFERROR(ABS(C928/VLOOKUP(2*$B928,$B929:C962,2,TRUE)),"--")</f>
        <v>--</v>
      </c>
      <c r="I928" s="43" t="str">
        <f>IFERROR(ABS(D928/VLOOKUP(2*$B928,$B929:D962,3,TRUE)),"--")</f>
        <v>--</v>
      </c>
      <c r="J928" s="43" t="str">
        <f>IFERROR(ABS(E928/VLOOKUP(2*$B928,$B929:E962,4,TRUE)),"--")</f>
        <v>--</v>
      </c>
      <c r="K928" s="43" t="str">
        <f>IFERROR(ABS(F928/VLOOKUP(2*$B928,$B929:F962,5,TRUE)),"--")</f>
        <v>--</v>
      </c>
      <c r="L928" s="43" t="str">
        <f>IFERROR(ABS(G928/VLOOKUP(2*$B928,$B929:G962,6,TRUE)),"--")</f>
        <v>--</v>
      </c>
      <c r="M928" s="38">
        <f>IF(AND(1+$Q$6&gt;H928,1-$Q$6&lt;H928,1+$Q$6&gt;I928,1-$Q$6&lt;I928,1+$Q$6&gt;J928,1-$Q$6&lt;J928,1+$Q$6&gt;K928,1-$Q$6&lt;K928,1+$Q$6&gt;L928,1-$Q$6&lt;L928),IF(SUM($M$2:M927)=0,1,0),0)</f>
        <v>0</v>
      </c>
      <c r="N928" s="38">
        <f>IF(AND(1+$Q$7&gt;H928,1-$Q$7&lt;H928,1+$Q$7&gt;I928,1-$Q$7&lt;I928,1+$Q$7&gt;J928,1-$Q$7&lt;J928,1+$Q$7&gt;K928,1-$Q$7&lt;K928,1+$Q$7&gt;L928,1-$Q$7&lt;L928),IF(SUM($N$2:N927)=0,1,0),0)</f>
        <v>0</v>
      </c>
      <c r="O928" s="34">
        <f t="shared" si="14"/>
        <v>0</v>
      </c>
    </row>
    <row r="929" spans="8:15" x14ac:dyDescent="0.25">
      <c r="H929" s="43" t="str">
        <f>IFERROR(ABS(C929/VLOOKUP(2*$B929,$B930:C963,2,TRUE)),"--")</f>
        <v>--</v>
      </c>
      <c r="I929" s="43" t="str">
        <f>IFERROR(ABS(D929/VLOOKUP(2*$B929,$B930:D963,3,TRUE)),"--")</f>
        <v>--</v>
      </c>
      <c r="J929" s="43" t="str">
        <f>IFERROR(ABS(E929/VLOOKUP(2*$B929,$B930:E963,4,TRUE)),"--")</f>
        <v>--</v>
      </c>
      <c r="K929" s="43" t="str">
        <f>IFERROR(ABS(F929/VLOOKUP(2*$B929,$B930:F963,5,TRUE)),"--")</f>
        <v>--</v>
      </c>
      <c r="L929" s="43" t="str">
        <f>IFERROR(ABS(G929/VLOOKUP(2*$B929,$B930:G963,6,TRUE)),"--")</f>
        <v>--</v>
      </c>
      <c r="M929" s="38">
        <f>IF(AND(1+$Q$6&gt;H929,1-$Q$6&lt;H929,1+$Q$6&gt;I929,1-$Q$6&lt;I929,1+$Q$6&gt;J929,1-$Q$6&lt;J929,1+$Q$6&gt;K929,1-$Q$6&lt;K929,1+$Q$6&gt;L929,1-$Q$6&lt;L929),IF(SUM($M$2:M928)=0,1,0),0)</f>
        <v>0</v>
      </c>
      <c r="N929" s="38">
        <f>IF(AND(1+$Q$7&gt;H929,1-$Q$7&lt;H929,1+$Q$7&gt;I929,1-$Q$7&lt;I929,1+$Q$7&gt;J929,1-$Q$7&lt;J929,1+$Q$7&gt;K929,1-$Q$7&lt;K929,1+$Q$7&gt;L929,1-$Q$7&lt;L929),IF(SUM($N$2:N928)=0,1,0),0)</f>
        <v>0</v>
      </c>
      <c r="O929" s="34">
        <f t="shared" si="14"/>
        <v>0</v>
      </c>
    </row>
    <row r="930" spans="8:15" x14ac:dyDescent="0.25">
      <c r="H930" s="43" t="str">
        <f>IFERROR(ABS(C930/VLOOKUP(2*$B930,$B931:C964,2,TRUE)),"--")</f>
        <v>--</v>
      </c>
      <c r="I930" s="43" t="str">
        <f>IFERROR(ABS(D930/VLOOKUP(2*$B930,$B931:D964,3,TRUE)),"--")</f>
        <v>--</v>
      </c>
      <c r="J930" s="43" t="str">
        <f>IFERROR(ABS(E930/VLOOKUP(2*$B930,$B931:E964,4,TRUE)),"--")</f>
        <v>--</v>
      </c>
      <c r="K930" s="43" t="str">
        <f>IFERROR(ABS(F930/VLOOKUP(2*$B930,$B931:F964,5,TRUE)),"--")</f>
        <v>--</v>
      </c>
      <c r="L930" s="43" t="str">
        <f>IFERROR(ABS(G930/VLOOKUP(2*$B930,$B931:G964,6,TRUE)),"--")</f>
        <v>--</v>
      </c>
      <c r="M930" s="38">
        <f>IF(AND(1+$Q$6&gt;H930,1-$Q$6&lt;H930,1+$Q$6&gt;I930,1-$Q$6&lt;I930,1+$Q$6&gt;J930,1-$Q$6&lt;J930,1+$Q$6&gt;K930,1-$Q$6&lt;K930,1+$Q$6&gt;L930,1-$Q$6&lt;L930),IF(SUM($M$2:M929)=0,1,0),0)</f>
        <v>0</v>
      </c>
      <c r="N930" s="38">
        <f>IF(AND(1+$Q$7&gt;H930,1-$Q$7&lt;H930,1+$Q$7&gt;I930,1-$Q$7&lt;I930,1+$Q$7&gt;J930,1-$Q$7&lt;J930,1+$Q$7&gt;K930,1-$Q$7&lt;K930,1+$Q$7&gt;L930,1-$Q$7&lt;L930),IF(SUM($N$2:N929)=0,1,0),0)</f>
        <v>0</v>
      </c>
      <c r="O930" s="34">
        <f t="shared" si="14"/>
        <v>0</v>
      </c>
    </row>
    <row r="931" spans="8:15" x14ac:dyDescent="0.25">
      <c r="H931" s="43" t="str">
        <f>IFERROR(ABS(C931/VLOOKUP(2*$B931,$B932:C965,2,TRUE)),"--")</f>
        <v>--</v>
      </c>
      <c r="I931" s="43" t="str">
        <f>IFERROR(ABS(D931/VLOOKUP(2*$B931,$B932:D965,3,TRUE)),"--")</f>
        <v>--</v>
      </c>
      <c r="J931" s="43" t="str">
        <f>IFERROR(ABS(E931/VLOOKUP(2*$B931,$B932:E965,4,TRUE)),"--")</f>
        <v>--</v>
      </c>
      <c r="K931" s="43" t="str">
        <f>IFERROR(ABS(F931/VLOOKUP(2*$B931,$B932:F965,5,TRUE)),"--")</f>
        <v>--</v>
      </c>
      <c r="L931" s="43" t="str">
        <f>IFERROR(ABS(G931/VLOOKUP(2*$B931,$B932:G965,6,TRUE)),"--")</f>
        <v>--</v>
      </c>
      <c r="M931" s="38">
        <f>IF(AND(1+$Q$6&gt;H931,1-$Q$6&lt;H931,1+$Q$6&gt;I931,1-$Q$6&lt;I931,1+$Q$6&gt;J931,1-$Q$6&lt;J931,1+$Q$6&gt;K931,1-$Q$6&lt;K931,1+$Q$6&gt;L931,1-$Q$6&lt;L931),IF(SUM($M$2:M930)=0,1,0),0)</f>
        <v>0</v>
      </c>
      <c r="N931" s="38">
        <f>IF(AND(1+$Q$7&gt;H931,1-$Q$7&lt;H931,1+$Q$7&gt;I931,1-$Q$7&lt;I931,1+$Q$7&gt;J931,1-$Q$7&lt;J931,1+$Q$7&gt;K931,1-$Q$7&lt;K931,1+$Q$7&gt;L931,1-$Q$7&lt;L931),IF(SUM($N$2:N930)=0,1,0),0)</f>
        <v>0</v>
      </c>
      <c r="O931" s="34">
        <f t="shared" si="14"/>
        <v>0</v>
      </c>
    </row>
    <row r="932" spans="8:15" x14ac:dyDescent="0.25">
      <c r="H932" s="43" t="str">
        <f>IFERROR(ABS(C932/VLOOKUP(2*$B932,$B933:C966,2,TRUE)),"--")</f>
        <v>--</v>
      </c>
      <c r="I932" s="43" t="str">
        <f>IFERROR(ABS(D932/VLOOKUP(2*$B932,$B933:D966,3,TRUE)),"--")</f>
        <v>--</v>
      </c>
      <c r="J932" s="43" t="str">
        <f>IFERROR(ABS(E932/VLOOKUP(2*$B932,$B933:E966,4,TRUE)),"--")</f>
        <v>--</v>
      </c>
      <c r="K932" s="43" t="str">
        <f>IFERROR(ABS(F932/VLOOKUP(2*$B932,$B933:F966,5,TRUE)),"--")</f>
        <v>--</v>
      </c>
      <c r="L932" s="43" t="str">
        <f>IFERROR(ABS(G932/VLOOKUP(2*$B932,$B933:G966,6,TRUE)),"--")</f>
        <v>--</v>
      </c>
      <c r="M932" s="38">
        <f>IF(AND(1+$Q$6&gt;H932,1-$Q$6&lt;H932,1+$Q$6&gt;I932,1-$Q$6&lt;I932,1+$Q$6&gt;J932,1-$Q$6&lt;J932,1+$Q$6&gt;K932,1-$Q$6&lt;K932,1+$Q$6&gt;L932,1-$Q$6&lt;L932),IF(SUM($M$2:M931)=0,1,0),0)</f>
        <v>0</v>
      </c>
      <c r="N932" s="38">
        <f>IF(AND(1+$Q$7&gt;H932,1-$Q$7&lt;H932,1+$Q$7&gt;I932,1-$Q$7&lt;I932,1+$Q$7&gt;J932,1-$Q$7&lt;J932,1+$Q$7&gt;K932,1-$Q$7&lt;K932,1+$Q$7&gt;L932,1-$Q$7&lt;L932),IF(SUM($N$2:N931)=0,1,0),0)</f>
        <v>0</v>
      </c>
      <c r="O932" s="34">
        <f t="shared" si="14"/>
        <v>0</v>
      </c>
    </row>
    <row r="933" spans="8:15" x14ac:dyDescent="0.25">
      <c r="H933" s="43" t="str">
        <f>IFERROR(ABS(C933/VLOOKUP(2*$B933,$B934:C967,2,TRUE)),"--")</f>
        <v>--</v>
      </c>
      <c r="I933" s="43" t="str">
        <f>IFERROR(ABS(D933/VLOOKUP(2*$B933,$B934:D967,3,TRUE)),"--")</f>
        <v>--</v>
      </c>
      <c r="J933" s="43" t="str">
        <f>IFERROR(ABS(E933/VLOOKUP(2*$B933,$B934:E967,4,TRUE)),"--")</f>
        <v>--</v>
      </c>
      <c r="K933" s="43" t="str">
        <f>IFERROR(ABS(F933/VLOOKUP(2*$B933,$B934:F967,5,TRUE)),"--")</f>
        <v>--</v>
      </c>
      <c r="L933" s="43" t="str">
        <f>IFERROR(ABS(G933/VLOOKUP(2*$B933,$B934:G967,6,TRUE)),"--")</f>
        <v>--</v>
      </c>
      <c r="M933" s="38">
        <f>IF(AND(1+$Q$6&gt;H933,1-$Q$6&lt;H933,1+$Q$6&gt;I933,1-$Q$6&lt;I933,1+$Q$6&gt;J933,1-$Q$6&lt;J933,1+$Q$6&gt;K933,1-$Q$6&lt;K933,1+$Q$6&gt;L933,1-$Q$6&lt;L933),IF(SUM($M$2:M932)=0,1,0),0)</f>
        <v>0</v>
      </c>
      <c r="N933" s="38">
        <f>IF(AND(1+$Q$7&gt;H933,1-$Q$7&lt;H933,1+$Q$7&gt;I933,1-$Q$7&lt;I933,1+$Q$7&gt;J933,1-$Q$7&lt;J933,1+$Q$7&gt;K933,1-$Q$7&lt;K933,1+$Q$7&gt;L933,1-$Q$7&lt;L933),IF(SUM($N$2:N932)=0,1,0),0)</f>
        <v>0</v>
      </c>
      <c r="O933" s="34">
        <f t="shared" si="14"/>
        <v>0</v>
      </c>
    </row>
    <row r="934" spans="8:15" x14ac:dyDescent="0.25">
      <c r="H934" s="43" t="str">
        <f>IFERROR(ABS(C934/VLOOKUP(2*$B934,$B935:C968,2,TRUE)),"--")</f>
        <v>--</v>
      </c>
      <c r="I934" s="43" t="str">
        <f>IFERROR(ABS(D934/VLOOKUP(2*$B934,$B935:D968,3,TRUE)),"--")</f>
        <v>--</v>
      </c>
      <c r="J934" s="43" t="str">
        <f>IFERROR(ABS(E934/VLOOKUP(2*$B934,$B935:E968,4,TRUE)),"--")</f>
        <v>--</v>
      </c>
      <c r="K934" s="43" t="str">
        <f>IFERROR(ABS(F934/VLOOKUP(2*$B934,$B935:F968,5,TRUE)),"--")</f>
        <v>--</v>
      </c>
      <c r="L934" s="43" t="str">
        <f>IFERROR(ABS(G934/VLOOKUP(2*$B934,$B935:G968,6,TRUE)),"--")</f>
        <v>--</v>
      </c>
      <c r="M934" s="38">
        <f>IF(AND(1+$Q$6&gt;H934,1-$Q$6&lt;H934,1+$Q$6&gt;I934,1-$Q$6&lt;I934,1+$Q$6&gt;J934,1-$Q$6&lt;J934,1+$Q$6&gt;K934,1-$Q$6&lt;K934,1+$Q$6&gt;L934,1-$Q$6&lt;L934),IF(SUM($M$2:M933)=0,1,0),0)</f>
        <v>0</v>
      </c>
      <c r="N934" s="38">
        <f>IF(AND(1+$Q$7&gt;H934,1-$Q$7&lt;H934,1+$Q$7&gt;I934,1-$Q$7&lt;I934,1+$Q$7&gt;J934,1-$Q$7&lt;J934,1+$Q$7&gt;K934,1-$Q$7&lt;K934,1+$Q$7&gt;L934,1-$Q$7&lt;L934),IF(SUM($N$2:N933)=0,1,0),0)</f>
        <v>0</v>
      </c>
      <c r="O934" s="34">
        <f t="shared" si="14"/>
        <v>0</v>
      </c>
    </row>
    <row r="935" spans="8:15" x14ac:dyDescent="0.25">
      <c r="H935" s="43" t="str">
        <f>IFERROR(ABS(C935/VLOOKUP(2*$B935,$B936:C969,2,TRUE)),"--")</f>
        <v>--</v>
      </c>
      <c r="I935" s="43" t="str">
        <f>IFERROR(ABS(D935/VLOOKUP(2*$B935,$B936:D969,3,TRUE)),"--")</f>
        <v>--</v>
      </c>
      <c r="J935" s="43" t="str">
        <f>IFERROR(ABS(E935/VLOOKUP(2*$B935,$B936:E969,4,TRUE)),"--")</f>
        <v>--</v>
      </c>
      <c r="K935" s="43" t="str">
        <f>IFERROR(ABS(F935/VLOOKUP(2*$B935,$B936:F969,5,TRUE)),"--")</f>
        <v>--</v>
      </c>
      <c r="L935" s="43" t="str">
        <f>IFERROR(ABS(G935/VLOOKUP(2*$B935,$B936:G969,6,TRUE)),"--")</f>
        <v>--</v>
      </c>
      <c r="M935" s="38">
        <f>IF(AND(1+$Q$6&gt;H935,1-$Q$6&lt;H935,1+$Q$6&gt;I935,1-$Q$6&lt;I935,1+$Q$6&gt;J935,1-$Q$6&lt;J935,1+$Q$6&gt;K935,1-$Q$6&lt;K935,1+$Q$6&gt;L935,1-$Q$6&lt;L935),IF(SUM($M$2:M934)=0,1,0),0)</f>
        <v>0</v>
      </c>
      <c r="N935" s="38">
        <f>IF(AND(1+$Q$7&gt;H935,1-$Q$7&lt;H935,1+$Q$7&gt;I935,1-$Q$7&lt;I935,1+$Q$7&gt;J935,1-$Q$7&lt;J935,1+$Q$7&gt;K935,1-$Q$7&lt;K935,1+$Q$7&gt;L935,1-$Q$7&lt;L935),IF(SUM($N$2:N934)=0,1,0),0)</f>
        <v>0</v>
      </c>
      <c r="O935" s="34">
        <f t="shared" si="14"/>
        <v>0</v>
      </c>
    </row>
    <row r="936" spans="8:15" x14ac:dyDescent="0.25">
      <c r="H936" s="43" t="str">
        <f>IFERROR(ABS(C936/VLOOKUP(2*$B936,$B937:C970,2,TRUE)),"--")</f>
        <v>--</v>
      </c>
      <c r="I936" s="43" t="str">
        <f>IFERROR(ABS(D936/VLOOKUP(2*$B936,$B937:D970,3,TRUE)),"--")</f>
        <v>--</v>
      </c>
      <c r="J936" s="43" t="str">
        <f>IFERROR(ABS(E936/VLOOKUP(2*$B936,$B937:E970,4,TRUE)),"--")</f>
        <v>--</v>
      </c>
      <c r="K936" s="43" t="str">
        <f>IFERROR(ABS(F936/VLOOKUP(2*$B936,$B937:F970,5,TRUE)),"--")</f>
        <v>--</v>
      </c>
      <c r="L936" s="43" t="str">
        <f>IFERROR(ABS(G936/VLOOKUP(2*$B936,$B937:G970,6,TRUE)),"--")</f>
        <v>--</v>
      </c>
      <c r="M936" s="38">
        <f>IF(AND(1+$Q$6&gt;H936,1-$Q$6&lt;H936,1+$Q$6&gt;I936,1-$Q$6&lt;I936,1+$Q$6&gt;J936,1-$Q$6&lt;J936,1+$Q$6&gt;K936,1-$Q$6&lt;K936,1+$Q$6&gt;L936,1-$Q$6&lt;L936),IF(SUM($M$2:M935)=0,1,0),0)</f>
        <v>0</v>
      </c>
      <c r="N936" s="38">
        <f>IF(AND(1+$Q$7&gt;H936,1-$Q$7&lt;H936,1+$Q$7&gt;I936,1-$Q$7&lt;I936,1+$Q$7&gt;J936,1-$Q$7&lt;J936,1+$Q$7&gt;K936,1-$Q$7&lt;K936,1+$Q$7&gt;L936,1-$Q$7&lt;L936),IF(SUM($N$2:N935)=0,1,0),0)</f>
        <v>0</v>
      </c>
      <c r="O936" s="34">
        <f t="shared" si="14"/>
        <v>0</v>
      </c>
    </row>
    <row r="937" spans="8:15" x14ac:dyDescent="0.25">
      <c r="H937" s="43" t="str">
        <f>IFERROR(ABS(C937/VLOOKUP(2*$B937,$B938:C971,2,TRUE)),"--")</f>
        <v>--</v>
      </c>
      <c r="I937" s="43" t="str">
        <f>IFERROR(ABS(D937/VLOOKUP(2*$B937,$B938:D971,3,TRUE)),"--")</f>
        <v>--</v>
      </c>
      <c r="J937" s="43" t="str">
        <f>IFERROR(ABS(E937/VLOOKUP(2*$B937,$B938:E971,4,TRUE)),"--")</f>
        <v>--</v>
      </c>
      <c r="K937" s="43" t="str">
        <f>IFERROR(ABS(F937/VLOOKUP(2*$B937,$B938:F971,5,TRUE)),"--")</f>
        <v>--</v>
      </c>
      <c r="L937" s="43" t="str">
        <f>IFERROR(ABS(G937/VLOOKUP(2*$B937,$B938:G971,6,TRUE)),"--")</f>
        <v>--</v>
      </c>
      <c r="M937" s="38">
        <f>IF(AND(1+$Q$6&gt;H937,1-$Q$6&lt;H937,1+$Q$6&gt;I937,1-$Q$6&lt;I937,1+$Q$6&gt;J937,1-$Q$6&lt;J937,1+$Q$6&gt;K937,1-$Q$6&lt;K937,1+$Q$6&gt;L937,1-$Q$6&lt;L937),IF(SUM($M$2:M936)=0,1,0),0)</f>
        <v>0</v>
      </c>
      <c r="N937" s="38">
        <f>IF(AND(1+$Q$7&gt;H937,1-$Q$7&lt;H937,1+$Q$7&gt;I937,1-$Q$7&lt;I937,1+$Q$7&gt;J937,1-$Q$7&lt;J937,1+$Q$7&gt;K937,1-$Q$7&lt;K937,1+$Q$7&gt;L937,1-$Q$7&lt;L937),IF(SUM($N$2:N936)=0,1,0),0)</f>
        <v>0</v>
      </c>
      <c r="O937" s="34">
        <f t="shared" si="14"/>
        <v>0</v>
      </c>
    </row>
    <row r="938" spans="8:15" x14ac:dyDescent="0.25">
      <c r="H938" s="43" t="str">
        <f>IFERROR(ABS(C938/VLOOKUP(2*$B938,$B939:C972,2,TRUE)),"--")</f>
        <v>--</v>
      </c>
      <c r="I938" s="43" t="str">
        <f>IFERROR(ABS(D938/VLOOKUP(2*$B938,$B939:D972,3,TRUE)),"--")</f>
        <v>--</v>
      </c>
      <c r="J938" s="43" t="str">
        <f>IFERROR(ABS(E938/VLOOKUP(2*$B938,$B939:E972,4,TRUE)),"--")</f>
        <v>--</v>
      </c>
      <c r="K938" s="43" t="str">
        <f>IFERROR(ABS(F938/VLOOKUP(2*$B938,$B939:F972,5,TRUE)),"--")</f>
        <v>--</v>
      </c>
      <c r="L938" s="43" t="str">
        <f>IFERROR(ABS(G938/VLOOKUP(2*$B938,$B939:G972,6,TRUE)),"--")</f>
        <v>--</v>
      </c>
      <c r="M938" s="38">
        <f>IF(AND(1+$Q$6&gt;H938,1-$Q$6&lt;H938,1+$Q$6&gt;I938,1-$Q$6&lt;I938,1+$Q$6&gt;J938,1-$Q$6&lt;J938,1+$Q$6&gt;K938,1-$Q$6&lt;K938,1+$Q$6&gt;L938,1-$Q$6&lt;L938),IF(SUM($M$2:M937)=0,1,0),0)</f>
        <v>0</v>
      </c>
      <c r="N938" s="38">
        <f>IF(AND(1+$Q$7&gt;H938,1-$Q$7&lt;H938,1+$Q$7&gt;I938,1-$Q$7&lt;I938,1+$Q$7&gt;J938,1-$Q$7&lt;J938,1+$Q$7&gt;K938,1-$Q$7&lt;K938,1+$Q$7&gt;L938,1-$Q$7&lt;L938),IF(SUM($N$2:N937)=0,1,0),0)</f>
        <v>0</v>
      </c>
      <c r="O938" s="34">
        <f t="shared" si="14"/>
        <v>0</v>
      </c>
    </row>
    <row r="939" spans="8:15" x14ac:dyDescent="0.25">
      <c r="H939" s="43" t="str">
        <f>IFERROR(ABS(C939/VLOOKUP(2*$B939,$B940:C973,2,TRUE)),"--")</f>
        <v>--</v>
      </c>
      <c r="I939" s="43" t="str">
        <f>IFERROR(ABS(D939/VLOOKUP(2*$B939,$B940:D973,3,TRUE)),"--")</f>
        <v>--</v>
      </c>
      <c r="J939" s="43" t="str">
        <f>IFERROR(ABS(E939/VLOOKUP(2*$B939,$B940:E973,4,TRUE)),"--")</f>
        <v>--</v>
      </c>
      <c r="K939" s="43" t="str">
        <f>IFERROR(ABS(F939/VLOOKUP(2*$B939,$B940:F973,5,TRUE)),"--")</f>
        <v>--</v>
      </c>
      <c r="L939" s="43" t="str">
        <f>IFERROR(ABS(G939/VLOOKUP(2*$B939,$B940:G973,6,TRUE)),"--")</f>
        <v>--</v>
      </c>
      <c r="M939" s="38">
        <f>IF(AND(1+$Q$6&gt;H939,1-$Q$6&lt;H939,1+$Q$6&gt;I939,1-$Q$6&lt;I939,1+$Q$6&gt;J939,1-$Q$6&lt;J939,1+$Q$6&gt;K939,1-$Q$6&lt;K939,1+$Q$6&gt;L939,1-$Q$6&lt;L939),IF(SUM($M$2:M938)=0,1,0),0)</f>
        <v>0</v>
      </c>
      <c r="N939" s="38">
        <f>IF(AND(1+$Q$7&gt;H939,1-$Q$7&lt;H939,1+$Q$7&gt;I939,1-$Q$7&lt;I939,1+$Q$7&gt;J939,1-$Q$7&lt;J939,1+$Q$7&gt;K939,1-$Q$7&lt;K939,1+$Q$7&gt;L939,1-$Q$7&lt;L939),IF(SUM($N$2:N938)=0,1,0),0)</f>
        <v>0</v>
      </c>
      <c r="O939" s="34">
        <f t="shared" si="14"/>
        <v>0</v>
      </c>
    </row>
    <row r="940" spans="8:15" x14ac:dyDescent="0.25">
      <c r="H940" s="43" t="str">
        <f>IFERROR(ABS(C940/VLOOKUP(2*$B940,$B941:C974,2,TRUE)),"--")</f>
        <v>--</v>
      </c>
      <c r="I940" s="43" t="str">
        <f>IFERROR(ABS(D940/VLOOKUP(2*$B940,$B941:D974,3,TRUE)),"--")</f>
        <v>--</v>
      </c>
      <c r="J940" s="43" t="str">
        <f>IFERROR(ABS(E940/VLOOKUP(2*$B940,$B941:E974,4,TRUE)),"--")</f>
        <v>--</v>
      </c>
      <c r="K940" s="43" t="str">
        <f>IFERROR(ABS(F940/VLOOKUP(2*$B940,$B941:F974,5,TRUE)),"--")</f>
        <v>--</v>
      </c>
      <c r="L940" s="43" t="str">
        <f>IFERROR(ABS(G940/VLOOKUP(2*$B940,$B941:G974,6,TRUE)),"--")</f>
        <v>--</v>
      </c>
      <c r="M940" s="38">
        <f>IF(AND(1+$Q$6&gt;H940,1-$Q$6&lt;H940,1+$Q$6&gt;I940,1-$Q$6&lt;I940,1+$Q$6&gt;J940,1-$Q$6&lt;J940,1+$Q$6&gt;K940,1-$Q$6&lt;K940,1+$Q$6&gt;L940,1-$Q$6&lt;L940),IF(SUM($M$2:M939)=0,1,0),0)</f>
        <v>0</v>
      </c>
      <c r="N940" s="38">
        <f>IF(AND(1+$Q$7&gt;H940,1-$Q$7&lt;H940,1+$Q$7&gt;I940,1-$Q$7&lt;I940,1+$Q$7&gt;J940,1-$Q$7&lt;J940,1+$Q$7&gt;K940,1-$Q$7&lt;K940,1+$Q$7&gt;L940,1-$Q$7&lt;L940),IF(SUM($N$2:N939)=0,1,0),0)</f>
        <v>0</v>
      </c>
      <c r="O940" s="34">
        <f t="shared" si="14"/>
        <v>0</v>
      </c>
    </row>
    <row r="941" spans="8:15" x14ac:dyDescent="0.25">
      <c r="H941" s="43" t="str">
        <f>IFERROR(ABS(C941/VLOOKUP(2*$B941,$B942:C975,2,TRUE)),"--")</f>
        <v>--</v>
      </c>
      <c r="I941" s="43" t="str">
        <f>IFERROR(ABS(D941/VLOOKUP(2*$B941,$B942:D975,3,TRUE)),"--")</f>
        <v>--</v>
      </c>
      <c r="J941" s="43" t="str">
        <f>IFERROR(ABS(E941/VLOOKUP(2*$B941,$B942:E975,4,TRUE)),"--")</f>
        <v>--</v>
      </c>
      <c r="K941" s="43" t="str">
        <f>IFERROR(ABS(F941/VLOOKUP(2*$B941,$B942:F975,5,TRUE)),"--")</f>
        <v>--</v>
      </c>
      <c r="L941" s="43" t="str">
        <f>IFERROR(ABS(G941/VLOOKUP(2*$B941,$B942:G975,6,TRUE)),"--")</f>
        <v>--</v>
      </c>
      <c r="M941" s="38">
        <f>IF(AND(1+$Q$6&gt;H941,1-$Q$6&lt;H941,1+$Q$6&gt;I941,1-$Q$6&lt;I941,1+$Q$6&gt;J941,1-$Q$6&lt;J941,1+$Q$6&gt;K941,1-$Q$6&lt;K941,1+$Q$6&gt;L941,1-$Q$6&lt;L941),IF(SUM($M$2:M940)=0,1,0),0)</f>
        <v>0</v>
      </c>
      <c r="N941" s="38">
        <f>IF(AND(1+$Q$7&gt;H941,1-$Q$7&lt;H941,1+$Q$7&gt;I941,1-$Q$7&lt;I941,1+$Q$7&gt;J941,1-$Q$7&lt;J941,1+$Q$7&gt;K941,1-$Q$7&lt;K941,1+$Q$7&gt;L941,1-$Q$7&lt;L941),IF(SUM($N$2:N940)=0,1,0),0)</f>
        <v>0</v>
      </c>
      <c r="O941" s="34">
        <f t="shared" si="14"/>
        <v>0</v>
      </c>
    </row>
    <row r="942" spans="8:15" x14ac:dyDescent="0.25">
      <c r="H942" s="43" t="str">
        <f>IFERROR(ABS(C942/VLOOKUP(2*$B942,$B943:C976,2,TRUE)),"--")</f>
        <v>--</v>
      </c>
      <c r="I942" s="43" t="str">
        <f>IFERROR(ABS(D942/VLOOKUP(2*$B942,$B943:D976,3,TRUE)),"--")</f>
        <v>--</v>
      </c>
      <c r="J942" s="43" t="str">
        <f>IFERROR(ABS(E942/VLOOKUP(2*$B942,$B943:E976,4,TRUE)),"--")</f>
        <v>--</v>
      </c>
      <c r="K942" s="43" t="str">
        <f>IFERROR(ABS(F942/VLOOKUP(2*$B942,$B943:F976,5,TRUE)),"--")</f>
        <v>--</v>
      </c>
      <c r="L942" s="43" t="str">
        <f>IFERROR(ABS(G942/VLOOKUP(2*$B942,$B943:G976,6,TRUE)),"--")</f>
        <v>--</v>
      </c>
      <c r="M942" s="38">
        <f>IF(AND(1+$Q$6&gt;H942,1-$Q$6&lt;H942,1+$Q$6&gt;I942,1-$Q$6&lt;I942,1+$Q$6&gt;J942,1-$Q$6&lt;J942,1+$Q$6&gt;K942,1-$Q$6&lt;K942,1+$Q$6&gt;L942,1-$Q$6&lt;L942),IF(SUM($M$2:M941)=0,1,0),0)</f>
        <v>0</v>
      </c>
      <c r="N942" s="38">
        <f>IF(AND(1+$Q$7&gt;H942,1-$Q$7&lt;H942,1+$Q$7&gt;I942,1-$Q$7&lt;I942,1+$Q$7&gt;J942,1-$Q$7&lt;J942,1+$Q$7&gt;K942,1-$Q$7&lt;K942,1+$Q$7&gt;L942,1-$Q$7&lt;L942),IF(SUM($N$2:N941)=0,1,0),0)</f>
        <v>0</v>
      </c>
      <c r="O942" s="34">
        <f t="shared" si="14"/>
        <v>0</v>
      </c>
    </row>
    <row r="943" spans="8:15" x14ac:dyDescent="0.25">
      <c r="H943" s="43" t="str">
        <f>IFERROR(ABS(C943/VLOOKUP(2*$B943,$B944:C977,2,TRUE)),"--")</f>
        <v>--</v>
      </c>
      <c r="I943" s="43" t="str">
        <f>IFERROR(ABS(D943/VLOOKUP(2*$B943,$B944:D977,3,TRUE)),"--")</f>
        <v>--</v>
      </c>
      <c r="J943" s="43" t="str">
        <f>IFERROR(ABS(E943/VLOOKUP(2*$B943,$B944:E977,4,TRUE)),"--")</f>
        <v>--</v>
      </c>
      <c r="K943" s="43" t="str">
        <f>IFERROR(ABS(F943/VLOOKUP(2*$B943,$B944:F977,5,TRUE)),"--")</f>
        <v>--</v>
      </c>
      <c r="L943" s="43" t="str">
        <f>IFERROR(ABS(G943/VLOOKUP(2*$B943,$B944:G977,6,TRUE)),"--")</f>
        <v>--</v>
      </c>
      <c r="M943" s="38">
        <f>IF(AND(1+$Q$6&gt;H943,1-$Q$6&lt;H943,1+$Q$6&gt;I943,1-$Q$6&lt;I943,1+$Q$6&gt;J943,1-$Q$6&lt;J943,1+$Q$6&gt;K943,1-$Q$6&lt;K943,1+$Q$6&gt;L943,1-$Q$6&lt;L943),IF(SUM($M$2:M942)=0,1,0),0)</f>
        <v>0</v>
      </c>
      <c r="N943" s="38">
        <f>IF(AND(1+$Q$7&gt;H943,1-$Q$7&lt;H943,1+$Q$7&gt;I943,1-$Q$7&lt;I943,1+$Q$7&gt;J943,1-$Q$7&lt;J943,1+$Q$7&gt;K943,1-$Q$7&lt;K943,1+$Q$7&gt;L943,1-$Q$7&lt;L943),IF(SUM($N$2:N942)=0,1,0),0)</f>
        <v>0</v>
      </c>
      <c r="O943" s="34">
        <f t="shared" si="14"/>
        <v>0</v>
      </c>
    </row>
    <row r="944" spans="8:15" x14ac:dyDescent="0.25">
      <c r="H944" s="43" t="str">
        <f>IFERROR(ABS(C944/VLOOKUP(2*$B944,$B945:C978,2,TRUE)),"--")</f>
        <v>--</v>
      </c>
      <c r="I944" s="43" t="str">
        <f>IFERROR(ABS(D944/VLOOKUP(2*$B944,$B945:D978,3,TRUE)),"--")</f>
        <v>--</v>
      </c>
      <c r="J944" s="43" t="str">
        <f>IFERROR(ABS(E944/VLOOKUP(2*$B944,$B945:E978,4,TRUE)),"--")</f>
        <v>--</v>
      </c>
      <c r="K944" s="43" t="str">
        <f>IFERROR(ABS(F944/VLOOKUP(2*$B944,$B945:F978,5,TRUE)),"--")</f>
        <v>--</v>
      </c>
      <c r="L944" s="43" t="str">
        <f>IFERROR(ABS(G944/VLOOKUP(2*$B944,$B945:G978,6,TRUE)),"--")</f>
        <v>--</v>
      </c>
      <c r="M944" s="38">
        <f>IF(AND(1+$Q$6&gt;H944,1-$Q$6&lt;H944,1+$Q$6&gt;I944,1-$Q$6&lt;I944,1+$Q$6&gt;J944,1-$Q$6&lt;J944,1+$Q$6&gt;K944,1-$Q$6&lt;K944,1+$Q$6&gt;L944,1-$Q$6&lt;L944),IF(SUM($M$2:M943)=0,1,0),0)</f>
        <v>0</v>
      </c>
      <c r="N944" s="38">
        <f>IF(AND(1+$Q$7&gt;H944,1-$Q$7&lt;H944,1+$Q$7&gt;I944,1-$Q$7&lt;I944,1+$Q$7&gt;J944,1-$Q$7&lt;J944,1+$Q$7&gt;K944,1-$Q$7&lt;K944,1+$Q$7&gt;L944,1-$Q$7&lt;L944),IF(SUM($N$2:N943)=0,1,0),0)</f>
        <v>0</v>
      </c>
      <c r="O944" s="34">
        <f t="shared" si="14"/>
        <v>0</v>
      </c>
    </row>
    <row r="945" spans="8:15" x14ac:dyDescent="0.25">
      <c r="H945" s="43" t="str">
        <f>IFERROR(ABS(C945/VLOOKUP(2*$B945,$B946:C979,2,TRUE)),"--")</f>
        <v>--</v>
      </c>
      <c r="I945" s="43" t="str">
        <f>IFERROR(ABS(D945/VLOOKUP(2*$B945,$B946:D979,3,TRUE)),"--")</f>
        <v>--</v>
      </c>
      <c r="J945" s="43" t="str">
        <f>IFERROR(ABS(E945/VLOOKUP(2*$B945,$B946:E979,4,TRUE)),"--")</f>
        <v>--</v>
      </c>
      <c r="K945" s="43" t="str">
        <f>IFERROR(ABS(F945/VLOOKUP(2*$B945,$B946:F979,5,TRUE)),"--")</f>
        <v>--</v>
      </c>
      <c r="L945" s="43" t="str">
        <f>IFERROR(ABS(G945/VLOOKUP(2*$B945,$B946:G979,6,TRUE)),"--")</f>
        <v>--</v>
      </c>
      <c r="M945" s="38">
        <f>IF(AND(1+$Q$6&gt;H945,1-$Q$6&lt;H945,1+$Q$6&gt;I945,1-$Q$6&lt;I945,1+$Q$6&gt;J945,1-$Q$6&lt;J945,1+$Q$6&gt;K945,1-$Q$6&lt;K945,1+$Q$6&gt;L945,1-$Q$6&lt;L945),IF(SUM($M$2:M944)=0,1,0),0)</f>
        <v>0</v>
      </c>
      <c r="N945" s="38">
        <f>IF(AND(1+$Q$7&gt;H945,1-$Q$7&lt;H945,1+$Q$7&gt;I945,1-$Q$7&lt;I945,1+$Q$7&gt;J945,1-$Q$7&lt;J945,1+$Q$7&gt;K945,1-$Q$7&lt;K945,1+$Q$7&gt;L945,1-$Q$7&lt;L945),IF(SUM($N$2:N944)=0,1,0),0)</f>
        <v>0</v>
      </c>
      <c r="O945" s="34">
        <f t="shared" si="14"/>
        <v>0</v>
      </c>
    </row>
    <row r="946" spans="8:15" x14ac:dyDescent="0.25">
      <c r="H946" s="43" t="str">
        <f>IFERROR(ABS(C946/VLOOKUP(2*$B946,$B947:C980,2,TRUE)),"--")</f>
        <v>--</v>
      </c>
      <c r="I946" s="43" t="str">
        <f>IFERROR(ABS(D946/VLOOKUP(2*$B946,$B947:D980,3,TRUE)),"--")</f>
        <v>--</v>
      </c>
      <c r="J946" s="43" t="str">
        <f>IFERROR(ABS(E946/VLOOKUP(2*$B946,$B947:E980,4,TRUE)),"--")</f>
        <v>--</v>
      </c>
      <c r="K946" s="43" t="str">
        <f>IFERROR(ABS(F946/VLOOKUP(2*$B946,$B947:F980,5,TRUE)),"--")</f>
        <v>--</v>
      </c>
      <c r="L946" s="43" t="str">
        <f>IFERROR(ABS(G946/VLOOKUP(2*$B946,$B947:G980,6,TRUE)),"--")</f>
        <v>--</v>
      </c>
      <c r="M946" s="38">
        <f>IF(AND(1+$Q$6&gt;H946,1-$Q$6&lt;H946,1+$Q$6&gt;I946,1-$Q$6&lt;I946,1+$Q$6&gt;J946,1-$Q$6&lt;J946,1+$Q$6&gt;K946,1-$Q$6&lt;K946,1+$Q$6&gt;L946,1-$Q$6&lt;L946),IF(SUM($M$2:M945)=0,1,0),0)</f>
        <v>0</v>
      </c>
      <c r="N946" s="38">
        <f>IF(AND(1+$Q$7&gt;H946,1-$Q$7&lt;H946,1+$Q$7&gt;I946,1-$Q$7&lt;I946,1+$Q$7&gt;J946,1-$Q$7&lt;J946,1+$Q$7&gt;K946,1-$Q$7&lt;K946,1+$Q$7&gt;L946,1-$Q$7&lt;L946),IF(SUM($N$2:N945)=0,1,0),0)</f>
        <v>0</v>
      </c>
      <c r="O946" s="34">
        <f t="shared" si="14"/>
        <v>0</v>
      </c>
    </row>
    <row r="947" spans="8:15" x14ac:dyDescent="0.25">
      <c r="H947" s="43" t="str">
        <f>IFERROR(ABS(C947/VLOOKUP(2*$B947,$B948:C981,2,TRUE)),"--")</f>
        <v>--</v>
      </c>
      <c r="I947" s="43" t="str">
        <f>IFERROR(ABS(D947/VLOOKUP(2*$B947,$B948:D981,3,TRUE)),"--")</f>
        <v>--</v>
      </c>
      <c r="J947" s="43" t="str">
        <f>IFERROR(ABS(E947/VLOOKUP(2*$B947,$B948:E981,4,TRUE)),"--")</f>
        <v>--</v>
      </c>
      <c r="K947" s="43" t="str">
        <f>IFERROR(ABS(F947/VLOOKUP(2*$B947,$B948:F981,5,TRUE)),"--")</f>
        <v>--</v>
      </c>
      <c r="L947" s="43" t="str">
        <f>IFERROR(ABS(G947/VLOOKUP(2*$B947,$B948:G981,6,TRUE)),"--")</f>
        <v>--</v>
      </c>
      <c r="M947" s="38">
        <f>IF(AND(1+$Q$6&gt;H947,1-$Q$6&lt;H947,1+$Q$6&gt;I947,1-$Q$6&lt;I947,1+$Q$6&gt;J947,1-$Q$6&lt;J947,1+$Q$6&gt;K947,1-$Q$6&lt;K947,1+$Q$6&gt;L947,1-$Q$6&lt;L947),IF(SUM($M$2:M946)=0,1,0),0)</f>
        <v>0</v>
      </c>
      <c r="N947" s="38">
        <f>IF(AND(1+$Q$7&gt;H947,1-$Q$7&lt;H947,1+$Q$7&gt;I947,1-$Q$7&lt;I947,1+$Q$7&gt;J947,1-$Q$7&lt;J947,1+$Q$7&gt;K947,1-$Q$7&lt;K947,1+$Q$7&gt;L947,1-$Q$7&lt;L947),IF(SUM($N$2:N946)=0,1,0),0)</f>
        <v>0</v>
      </c>
      <c r="O947" s="34">
        <f t="shared" si="14"/>
        <v>0</v>
      </c>
    </row>
    <row r="948" spans="8:15" x14ac:dyDescent="0.25">
      <c r="H948" s="43" t="str">
        <f>IFERROR(ABS(C948/VLOOKUP(2*$B948,$B949:C982,2,TRUE)),"--")</f>
        <v>--</v>
      </c>
      <c r="I948" s="43" t="str">
        <f>IFERROR(ABS(D948/VLOOKUP(2*$B948,$B949:D982,3,TRUE)),"--")</f>
        <v>--</v>
      </c>
      <c r="J948" s="43" t="str">
        <f>IFERROR(ABS(E948/VLOOKUP(2*$B948,$B949:E982,4,TRUE)),"--")</f>
        <v>--</v>
      </c>
      <c r="K948" s="43" t="str">
        <f>IFERROR(ABS(F948/VLOOKUP(2*$B948,$B949:F982,5,TRUE)),"--")</f>
        <v>--</v>
      </c>
      <c r="L948" s="43" t="str">
        <f>IFERROR(ABS(G948/VLOOKUP(2*$B948,$B949:G982,6,TRUE)),"--")</f>
        <v>--</v>
      </c>
      <c r="M948" s="38">
        <f>IF(AND(1+$Q$6&gt;H948,1-$Q$6&lt;H948,1+$Q$6&gt;I948,1-$Q$6&lt;I948,1+$Q$6&gt;J948,1-$Q$6&lt;J948,1+$Q$6&gt;K948,1-$Q$6&lt;K948,1+$Q$6&gt;L948,1-$Q$6&lt;L948),IF(SUM($M$2:M947)=0,1,0),0)</f>
        <v>0</v>
      </c>
      <c r="N948" s="38">
        <f>IF(AND(1+$Q$7&gt;H948,1-$Q$7&lt;H948,1+$Q$7&gt;I948,1-$Q$7&lt;I948,1+$Q$7&gt;J948,1-$Q$7&lt;J948,1+$Q$7&gt;K948,1-$Q$7&lt;K948,1+$Q$7&gt;L948,1-$Q$7&lt;L948),IF(SUM($N$2:N947)=0,1,0),0)</f>
        <v>0</v>
      </c>
      <c r="O948" s="34">
        <f t="shared" si="14"/>
        <v>0</v>
      </c>
    </row>
    <row r="949" spans="8:15" x14ac:dyDescent="0.25">
      <c r="H949" s="43" t="str">
        <f>IFERROR(ABS(C949/VLOOKUP(2*$B949,$B950:C983,2,TRUE)),"--")</f>
        <v>--</v>
      </c>
      <c r="I949" s="43" t="str">
        <f>IFERROR(ABS(D949/VLOOKUP(2*$B949,$B950:D983,3,TRUE)),"--")</f>
        <v>--</v>
      </c>
      <c r="J949" s="43" t="str">
        <f>IFERROR(ABS(E949/VLOOKUP(2*$B949,$B950:E983,4,TRUE)),"--")</f>
        <v>--</v>
      </c>
      <c r="K949" s="43" t="str">
        <f>IFERROR(ABS(F949/VLOOKUP(2*$B949,$B950:F983,5,TRUE)),"--")</f>
        <v>--</v>
      </c>
      <c r="L949" s="43" t="str">
        <f>IFERROR(ABS(G949/VLOOKUP(2*$B949,$B950:G983,6,TRUE)),"--")</f>
        <v>--</v>
      </c>
      <c r="M949" s="38">
        <f>IF(AND(1+$Q$6&gt;H949,1-$Q$6&lt;H949,1+$Q$6&gt;I949,1-$Q$6&lt;I949,1+$Q$6&gt;J949,1-$Q$6&lt;J949,1+$Q$6&gt;K949,1-$Q$6&lt;K949,1+$Q$6&gt;L949,1-$Q$6&lt;L949),IF(SUM($M$2:M948)=0,1,0),0)</f>
        <v>0</v>
      </c>
      <c r="N949" s="38">
        <f>IF(AND(1+$Q$7&gt;H949,1-$Q$7&lt;H949,1+$Q$7&gt;I949,1-$Q$7&lt;I949,1+$Q$7&gt;J949,1-$Q$7&lt;J949,1+$Q$7&gt;K949,1-$Q$7&lt;K949,1+$Q$7&gt;L949,1-$Q$7&lt;L949),IF(SUM($N$2:N948)=0,1,0),0)</f>
        <v>0</v>
      </c>
      <c r="O949" s="34">
        <f t="shared" si="14"/>
        <v>0</v>
      </c>
    </row>
    <row r="950" spans="8:15" x14ac:dyDescent="0.25">
      <c r="H950" s="43" t="str">
        <f>IFERROR(ABS(C950/VLOOKUP(2*$B950,$B951:C984,2,TRUE)),"--")</f>
        <v>--</v>
      </c>
      <c r="I950" s="43" t="str">
        <f>IFERROR(ABS(D950/VLOOKUP(2*$B950,$B951:D984,3,TRUE)),"--")</f>
        <v>--</v>
      </c>
      <c r="J950" s="43" t="str">
        <f>IFERROR(ABS(E950/VLOOKUP(2*$B950,$B951:E984,4,TRUE)),"--")</f>
        <v>--</v>
      </c>
      <c r="K950" s="43" t="str">
        <f>IFERROR(ABS(F950/VLOOKUP(2*$B950,$B951:F984,5,TRUE)),"--")</f>
        <v>--</v>
      </c>
      <c r="L950" s="43" t="str">
        <f>IFERROR(ABS(G950/VLOOKUP(2*$B950,$B951:G984,6,TRUE)),"--")</f>
        <v>--</v>
      </c>
      <c r="M950" s="38">
        <f>IF(AND(1+$Q$6&gt;H950,1-$Q$6&lt;H950,1+$Q$6&gt;I950,1-$Q$6&lt;I950,1+$Q$6&gt;J950,1-$Q$6&lt;J950,1+$Q$6&gt;K950,1-$Q$6&lt;K950,1+$Q$6&gt;L950,1-$Q$6&lt;L950),IF(SUM($M$2:M949)=0,1,0),0)</f>
        <v>0</v>
      </c>
      <c r="N950" s="38">
        <f>IF(AND(1+$Q$7&gt;H950,1-$Q$7&lt;H950,1+$Q$7&gt;I950,1-$Q$7&lt;I950,1+$Q$7&gt;J950,1-$Q$7&lt;J950,1+$Q$7&gt;K950,1-$Q$7&lt;K950,1+$Q$7&gt;L950,1-$Q$7&lt;L950),IF(SUM($N$2:N949)=0,1,0),0)</f>
        <v>0</v>
      </c>
      <c r="O950" s="34">
        <f t="shared" si="14"/>
        <v>0</v>
      </c>
    </row>
    <row r="951" spans="8:15" x14ac:dyDescent="0.25">
      <c r="H951" s="43" t="str">
        <f>IFERROR(ABS(C951/VLOOKUP(2*$B951,$B952:C985,2,TRUE)),"--")</f>
        <v>--</v>
      </c>
      <c r="I951" s="43" t="str">
        <f>IFERROR(ABS(D951/VLOOKUP(2*$B951,$B952:D985,3,TRUE)),"--")</f>
        <v>--</v>
      </c>
      <c r="J951" s="43" t="str">
        <f>IFERROR(ABS(E951/VLOOKUP(2*$B951,$B952:E985,4,TRUE)),"--")</f>
        <v>--</v>
      </c>
      <c r="K951" s="43" t="str">
        <f>IFERROR(ABS(F951/VLOOKUP(2*$B951,$B952:F985,5,TRUE)),"--")</f>
        <v>--</v>
      </c>
      <c r="L951" s="43" t="str">
        <f>IFERROR(ABS(G951/VLOOKUP(2*$B951,$B952:G985,6,TRUE)),"--")</f>
        <v>--</v>
      </c>
      <c r="M951" s="38">
        <f>IF(AND(1+$Q$6&gt;H951,1-$Q$6&lt;H951,1+$Q$6&gt;I951,1-$Q$6&lt;I951,1+$Q$6&gt;J951,1-$Q$6&lt;J951,1+$Q$6&gt;K951,1-$Q$6&lt;K951,1+$Q$6&gt;L951,1-$Q$6&lt;L951),IF(SUM($M$2:M950)=0,1,0),0)</f>
        <v>0</v>
      </c>
      <c r="N951" s="38">
        <f>IF(AND(1+$Q$7&gt;H951,1-$Q$7&lt;H951,1+$Q$7&gt;I951,1-$Q$7&lt;I951,1+$Q$7&gt;J951,1-$Q$7&lt;J951,1+$Q$7&gt;K951,1-$Q$7&lt;K951,1+$Q$7&gt;L951,1-$Q$7&lt;L951),IF(SUM($N$2:N950)=0,1,0),0)</f>
        <v>0</v>
      </c>
      <c r="O951" s="34">
        <f t="shared" si="14"/>
        <v>0</v>
      </c>
    </row>
    <row r="952" spans="8:15" x14ac:dyDescent="0.25">
      <c r="H952" s="43" t="str">
        <f>IFERROR(ABS(C952/VLOOKUP(2*$B952,$B953:C986,2,TRUE)),"--")</f>
        <v>--</v>
      </c>
      <c r="I952" s="43" t="str">
        <f>IFERROR(ABS(D952/VLOOKUP(2*$B952,$B953:D986,3,TRUE)),"--")</f>
        <v>--</v>
      </c>
      <c r="J952" s="43" t="str">
        <f>IFERROR(ABS(E952/VLOOKUP(2*$B952,$B953:E986,4,TRUE)),"--")</f>
        <v>--</v>
      </c>
      <c r="K952" s="43" t="str">
        <f>IFERROR(ABS(F952/VLOOKUP(2*$B952,$B953:F986,5,TRUE)),"--")</f>
        <v>--</v>
      </c>
      <c r="L952" s="43" t="str">
        <f>IFERROR(ABS(G952/VLOOKUP(2*$B952,$B953:G986,6,TRUE)),"--")</f>
        <v>--</v>
      </c>
      <c r="M952" s="38">
        <f>IF(AND(1+$Q$6&gt;H952,1-$Q$6&lt;H952,1+$Q$6&gt;I952,1-$Q$6&lt;I952,1+$Q$6&gt;J952,1-$Q$6&lt;J952,1+$Q$6&gt;K952,1-$Q$6&lt;K952,1+$Q$6&gt;L952,1-$Q$6&lt;L952),IF(SUM($M$2:M951)=0,1,0),0)</f>
        <v>0</v>
      </c>
      <c r="N952" s="38">
        <f>IF(AND(1+$Q$7&gt;H952,1-$Q$7&lt;H952,1+$Q$7&gt;I952,1-$Q$7&lt;I952,1+$Q$7&gt;J952,1-$Q$7&lt;J952,1+$Q$7&gt;K952,1-$Q$7&lt;K952,1+$Q$7&gt;L952,1-$Q$7&lt;L952),IF(SUM($N$2:N951)=0,1,0),0)</f>
        <v>0</v>
      </c>
      <c r="O952" s="34">
        <f t="shared" si="14"/>
        <v>0</v>
      </c>
    </row>
    <row r="953" spans="8:15" x14ac:dyDescent="0.25">
      <c r="H953" s="43" t="str">
        <f>IFERROR(ABS(C953/VLOOKUP(2*$B953,$B954:C987,2,TRUE)),"--")</f>
        <v>--</v>
      </c>
      <c r="I953" s="43" t="str">
        <f>IFERROR(ABS(D953/VLOOKUP(2*$B953,$B954:D987,3,TRUE)),"--")</f>
        <v>--</v>
      </c>
      <c r="J953" s="43" t="str">
        <f>IFERROR(ABS(E953/VLOOKUP(2*$B953,$B954:E987,4,TRUE)),"--")</f>
        <v>--</v>
      </c>
      <c r="K953" s="43" t="str">
        <f>IFERROR(ABS(F953/VLOOKUP(2*$B953,$B954:F987,5,TRUE)),"--")</f>
        <v>--</v>
      </c>
      <c r="L953" s="43" t="str">
        <f>IFERROR(ABS(G953/VLOOKUP(2*$B953,$B954:G987,6,TRUE)),"--")</f>
        <v>--</v>
      </c>
      <c r="M953" s="38">
        <f>IF(AND(1+$Q$6&gt;H953,1-$Q$6&lt;H953,1+$Q$6&gt;I953,1-$Q$6&lt;I953,1+$Q$6&gt;J953,1-$Q$6&lt;J953,1+$Q$6&gt;K953,1-$Q$6&lt;K953,1+$Q$6&gt;L953,1-$Q$6&lt;L953),IF(SUM($M$2:M952)=0,1,0),0)</f>
        <v>0</v>
      </c>
      <c r="N953" s="38">
        <f>IF(AND(1+$Q$7&gt;H953,1-$Q$7&lt;H953,1+$Q$7&gt;I953,1-$Q$7&lt;I953,1+$Q$7&gt;J953,1-$Q$7&lt;J953,1+$Q$7&gt;K953,1-$Q$7&lt;K953,1+$Q$7&gt;L953,1-$Q$7&lt;L953),IF(SUM($N$2:N952)=0,1,0),0)</f>
        <v>0</v>
      </c>
      <c r="O953" s="34">
        <f t="shared" si="14"/>
        <v>0</v>
      </c>
    </row>
    <row r="954" spans="8:15" x14ac:dyDescent="0.25">
      <c r="H954" s="43" t="str">
        <f>IFERROR(ABS(C954/VLOOKUP(2*$B954,$B955:C988,2,TRUE)),"--")</f>
        <v>--</v>
      </c>
      <c r="I954" s="43" t="str">
        <f>IFERROR(ABS(D954/VLOOKUP(2*$B954,$B955:D988,3,TRUE)),"--")</f>
        <v>--</v>
      </c>
      <c r="J954" s="43" t="str">
        <f>IFERROR(ABS(E954/VLOOKUP(2*$B954,$B955:E988,4,TRUE)),"--")</f>
        <v>--</v>
      </c>
      <c r="K954" s="43" t="str">
        <f>IFERROR(ABS(F954/VLOOKUP(2*$B954,$B955:F988,5,TRUE)),"--")</f>
        <v>--</v>
      </c>
      <c r="L954" s="43" t="str">
        <f>IFERROR(ABS(G954/VLOOKUP(2*$B954,$B955:G988,6,TRUE)),"--")</f>
        <v>--</v>
      </c>
      <c r="M954" s="38">
        <f>IF(AND(1+$Q$6&gt;H954,1-$Q$6&lt;H954,1+$Q$6&gt;I954,1-$Q$6&lt;I954,1+$Q$6&gt;J954,1-$Q$6&lt;J954,1+$Q$6&gt;K954,1-$Q$6&lt;K954,1+$Q$6&gt;L954,1-$Q$6&lt;L954),IF(SUM($M$2:M953)=0,1,0),0)</f>
        <v>0</v>
      </c>
      <c r="N954" s="38">
        <f>IF(AND(1+$Q$7&gt;H954,1-$Q$7&lt;H954,1+$Q$7&gt;I954,1-$Q$7&lt;I954,1+$Q$7&gt;J954,1-$Q$7&lt;J954,1+$Q$7&gt;K954,1-$Q$7&lt;K954,1+$Q$7&gt;L954,1-$Q$7&lt;L954),IF(SUM($N$2:N953)=0,1,0),0)</f>
        <v>0</v>
      </c>
      <c r="O954" s="34">
        <f t="shared" si="14"/>
        <v>0</v>
      </c>
    </row>
    <row r="955" spans="8:15" x14ac:dyDescent="0.25">
      <c r="H955" s="43" t="str">
        <f>IFERROR(ABS(C955/VLOOKUP(2*$B955,$B956:C989,2,TRUE)),"--")</f>
        <v>--</v>
      </c>
      <c r="I955" s="43" t="str">
        <f>IFERROR(ABS(D955/VLOOKUP(2*$B955,$B956:D989,3,TRUE)),"--")</f>
        <v>--</v>
      </c>
      <c r="J955" s="43" t="str">
        <f>IFERROR(ABS(E955/VLOOKUP(2*$B955,$B956:E989,4,TRUE)),"--")</f>
        <v>--</v>
      </c>
      <c r="K955" s="43" t="str">
        <f>IFERROR(ABS(F955/VLOOKUP(2*$B955,$B956:F989,5,TRUE)),"--")</f>
        <v>--</v>
      </c>
      <c r="L955" s="43" t="str">
        <f>IFERROR(ABS(G955/VLOOKUP(2*$B955,$B956:G989,6,TRUE)),"--")</f>
        <v>--</v>
      </c>
      <c r="M955" s="38">
        <f>IF(AND(1+$Q$6&gt;H955,1-$Q$6&lt;H955,1+$Q$6&gt;I955,1-$Q$6&lt;I955,1+$Q$6&gt;J955,1-$Q$6&lt;J955,1+$Q$6&gt;K955,1-$Q$6&lt;K955,1+$Q$6&gt;L955,1-$Q$6&lt;L955),IF(SUM($M$2:M954)=0,1,0),0)</f>
        <v>0</v>
      </c>
      <c r="N955" s="38">
        <f>IF(AND(1+$Q$7&gt;H955,1-$Q$7&lt;H955,1+$Q$7&gt;I955,1-$Q$7&lt;I955,1+$Q$7&gt;J955,1-$Q$7&lt;J955,1+$Q$7&gt;K955,1-$Q$7&lt;K955,1+$Q$7&gt;L955,1-$Q$7&lt;L955),IF(SUM($N$2:N954)=0,1,0),0)</f>
        <v>0</v>
      </c>
      <c r="O955" s="34">
        <f t="shared" si="14"/>
        <v>0</v>
      </c>
    </row>
    <row r="956" spans="8:15" x14ac:dyDescent="0.25">
      <c r="H956" s="43" t="str">
        <f>IFERROR(ABS(C956/VLOOKUP(2*$B956,$B957:C990,2,TRUE)),"--")</f>
        <v>--</v>
      </c>
      <c r="I956" s="43" t="str">
        <f>IFERROR(ABS(D956/VLOOKUP(2*$B956,$B957:D990,3,TRUE)),"--")</f>
        <v>--</v>
      </c>
      <c r="J956" s="43" t="str">
        <f>IFERROR(ABS(E956/VLOOKUP(2*$B956,$B957:E990,4,TRUE)),"--")</f>
        <v>--</v>
      </c>
      <c r="K956" s="43" t="str">
        <f>IFERROR(ABS(F956/VLOOKUP(2*$B956,$B957:F990,5,TRUE)),"--")</f>
        <v>--</v>
      </c>
      <c r="L956" s="43" t="str">
        <f>IFERROR(ABS(G956/VLOOKUP(2*$B956,$B957:G990,6,TRUE)),"--")</f>
        <v>--</v>
      </c>
      <c r="M956" s="38">
        <f>IF(AND(1+$Q$6&gt;H956,1-$Q$6&lt;H956,1+$Q$6&gt;I956,1-$Q$6&lt;I956,1+$Q$6&gt;J956,1-$Q$6&lt;J956,1+$Q$6&gt;K956,1-$Q$6&lt;K956,1+$Q$6&gt;L956,1-$Q$6&lt;L956),IF(SUM($M$2:M955)=0,1,0),0)</f>
        <v>0</v>
      </c>
      <c r="N956" s="38">
        <f>IF(AND(1+$Q$7&gt;H956,1-$Q$7&lt;H956,1+$Q$7&gt;I956,1-$Q$7&lt;I956,1+$Q$7&gt;J956,1-$Q$7&lt;J956,1+$Q$7&gt;K956,1-$Q$7&lt;K956,1+$Q$7&gt;L956,1-$Q$7&lt;L956),IF(SUM($N$2:N955)=0,1,0),0)</f>
        <v>0</v>
      </c>
      <c r="O956" s="34">
        <f t="shared" si="14"/>
        <v>0</v>
      </c>
    </row>
    <row r="957" spans="8:15" x14ac:dyDescent="0.25">
      <c r="H957" s="43" t="str">
        <f>IFERROR(ABS(C957/VLOOKUP(2*$B957,$B958:C991,2,TRUE)),"--")</f>
        <v>--</v>
      </c>
      <c r="I957" s="43" t="str">
        <f>IFERROR(ABS(D957/VLOOKUP(2*$B957,$B958:D991,3,TRUE)),"--")</f>
        <v>--</v>
      </c>
      <c r="J957" s="43" t="str">
        <f>IFERROR(ABS(E957/VLOOKUP(2*$B957,$B958:E991,4,TRUE)),"--")</f>
        <v>--</v>
      </c>
      <c r="K957" s="43" t="str">
        <f>IFERROR(ABS(F957/VLOOKUP(2*$B957,$B958:F991,5,TRUE)),"--")</f>
        <v>--</v>
      </c>
      <c r="L957" s="43" t="str">
        <f>IFERROR(ABS(G957/VLOOKUP(2*$B957,$B958:G991,6,TRUE)),"--")</f>
        <v>--</v>
      </c>
      <c r="M957" s="38">
        <f>IF(AND(1+$Q$6&gt;H957,1-$Q$6&lt;H957,1+$Q$6&gt;I957,1-$Q$6&lt;I957,1+$Q$6&gt;J957,1-$Q$6&lt;J957,1+$Q$6&gt;K957,1-$Q$6&lt;K957,1+$Q$6&gt;L957,1-$Q$6&lt;L957),IF(SUM($M$2:M956)=0,1,0),0)</f>
        <v>0</v>
      </c>
      <c r="N957" s="38">
        <f>IF(AND(1+$Q$7&gt;H957,1-$Q$7&lt;H957,1+$Q$7&gt;I957,1-$Q$7&lt;I957,1+$Q$7&gt;J957,1-$Q$7&lt;J957,1+$Q$7&gt;K957,1-$Q$7&lt;K957,1+$Q$7&gt;L957,1-$Q$7&lt;L957),IF(SUM($N$2:N956)=0,1,0),0)</f>
        <v>0</v>
      </c>
      <c r="O957" s="34">
        <f t="shared" si="14"/>
        <v>0</v>
      </c>
    </row>
    <row r="958" spans="8:15" x14ac:dyDescent="0.25">
      <c r="H958" s="43" t="str">
        <f>IFERROR(ABS(C958/VLOOKUP(2*$B958,$B959:C992,2,TRUE)),"--")</f>
        <v>--</v>
      </c>
      <c r="I958" s="43" t="str">
        <f>IFERROR(ABS(D958/VLOOKUP(2*$B958,$B959:D992,3,TRUE)),"--")</f>
        <v>--</v>
      </c>
      <c r="J958" s="43" t="str">
        <f>IFERROR(ABS(E958/VLOOKUP(2*$B958,$B959:E992,4,TRUE)),"--")</f>
        <v>--</v>
      </c>
      <c r="K958" s="43" t="str">
        <f>IFERROR(ABS(F958/VLOOKUP(2*$B958,$B959:F992,5,TRUE)),"--")</f>
        <v>--</v>
      </c>
      <c r="L958" s="43" t="str">
        <f>IFERROR(ABS(G958/VLOOKUP(2*$B958,$B959:G992,6,TRUE)),"--")</f>
        <v>--</v>
      </c>
      <c r="M958" s="38">
        <f>IF(AND(1+$Q$6&gt;H958,1-$Q$6&lt;H958,1+$Q$6&gt;I958,1-$Q$6&lt;I958,1+$Q$6&gt;J958,1-$Q$6&lt;J958,1+$Q$6&gt;K958,1-$Q$6&lt;K958,1+$Q$6&gt;L958,1-$Q$6&lt;L958),IF(SUM($M$2:M957)=0,1,0),0)</f>
        <v>0</v>
      </c>
      <c r="N958" s="38">
        <f>IF(AND(1+$Q$7&gt;H958,1-$Q$7&lt;H958,1+$Q$7&gt;I958,1-$Q$7&lt;I958,1+$Q$7&gt;J958,1-$Q$7&lt;J958,1+$Q$7&gt;K958,1-$Q$7&lt;K958,1+$Q$7&gt;L958,1-$Q$7&lt;L958),IF(SUM($N$2:N957)=0,1,0),0)</f>
        <v>0</v>
      </c>
      <c r="O958" s="34">
        <f t="shared" si="14"/>
        <v>0</v>
      </c>
    </row>
    <row r="959" spans="8:15" x14ac:dyDescent="0.25">
      <c r="H959" s="43" t="str">
        <f>IFERROR(ABS(C959/VLOOKUP(2*$B959,$B960:C993,2,TRUE)),"--")</f>
        <v>--</v>
      </c>
      <c r="I959" s="43" t="str">
        <f>IFERROR(ABS(D959/VLOOKUP(2*$B959,$B960:D993,3,TRUE)),"--")</f>
        <v>--</v>
      </c>
      <c r="J959" s="43" t="str">
        <f>IFERROR(ABS(E959/VLOOKUP(2*$B959,$B960:E993,4,TRUE)),"--")</f>
        <v>--</v>
      </c>
      <c r="K959" s="43" t="str">
        <f>IFERROR(ABS(F959/VLOOKUP(2*$B959,$B960:F993,5,TRUE)),"--")</f>
        <v>--</v>
      </c>
      <c r="L959" s="43" t="str">
        <f>IFERROR(ABS(G959/VLOOKUP(2*$B959,$B960:G993,6,TRUE)),"--")</f>
        <v>--</v>
      </c>
      <c r="M959" s="38">
        <f>IF(AND(1+$Q$6&gt;H959,1-$Q$6&lt;H959,1+$Q$6&gt;I959,1-$Q$6&lt;I959,1+$Q$6&gt;J959,1-$Q$6&lt;J959,1+$Q$6&gt;K959,1-$Q$6&lt;K959,1+$Q$6&gt;L959,1-$Q$6&lt;L959),IF(SUM($M$2:M958)=0,1,0),0)</f>
        <v>0</v>
      </c>
      <c r="N959" s="38">
        <f>IF(AND(1+$Q$7&gt;H959,1-$Q$7&lt;H959,1+$Q$7&gt;I959,1-$Q$7&lt;I959,1+$Q$7&gt;J959,1-$Q$7&lt;J959,1+$Q$7&gt;K959,1-$Q$7&lt;K959,1+$Q$7&gt;L959,1-$Q$7&lt;L959),IF(SUM($N$2:N958)=0,1,0),0)</f>
        <v>0</v>
      </c>
      <c r="O959" s="34">
        <f t="shared" si="14"/>
        <v>0</v>
      </c>
    </row>
    <row r="960" spans="8:15" x14ac:dyDescent="0.25">
      <c r="H960" s="43" t="str">
        <f>IFERROR(ABS(C960/VLOOKUP(2*$B960,$B961:C994,2,TRUE)),"--")</f>
        <v>--</v>
      </c>
      <c r="I960" s="43" t="str">
        <f>IFERROR(ABS(D960/VLOOKUP(2*$B960,$B961:D994,3,TRUE)),"--")</f>
        <v>--</v>
      </c>
      <c r="J960" s="43" t="str">
        <f>IFERROR(ABS(E960/VLOOKUP(2*$B960,$B961:E994,4,TRUE)),"--")</f>
        <v>--</v>
      </c>
      <c r="K960" s="43" t="str">
        <f>IFERROR(ABS(F960/VLOOKUP(2*$B960,$B961:F994,5,TRUE)),"--")</f>
        <v>--</v>
      </c>
      <c r="L960" s="43" t="str">
        <f>IFERROR(ABS(G960/VLOOKUP(2*$B960,$B961:G994,6,TRUE)),"--")</f>
        <v>--</v>
      </c>
      <c r="M960" s="38">
        <f>IF(AND(1+$Q$6&gt;H960,1-$Q$6&lt;H960,1+$Q$6&gt;I960,1-$Q$6&lt;I960,1+$Q$6&gt;J960,1-$Q$6&lt;J960,1+$Q$6&gt;K960,1-$Q$6&lt;K960,1+$Q$6&gt;L960,1-$Q$6&lt;L960),IF(SUM($M$2:M959)=0,1,0),0)</f>
        <v>0</v>
      </c>
      <c r="N960" s="38">
        <f>IF(AND(1+$Q$7&gt;H960,1-$Q$7&lt;H960,1+$Q$7&gt;I960,1-$Q$7&lt;I960,1+$Q$7&gt;J960,1-$Q$7&lt;J960,1+$Q$7&gt;K960,1-$Q$7&lt;K960,1+$Q$7&gt;L960,1-$Q$7&lt;L960),IF(SUM($N$2:N959)=0,1,0),0)</f>
        <v>0</v>
      </c>
      <c r="O960" s="34">
        <f t="shared" si="14"/>
        <v>0</v>
      </c>
    </row>
    <row r="961" spans="8:15" x14ac:dyDescent="0.25">
      <c r="H961" s="43" t="str">
        <f>IFERROR(ABS(C961/VLOOKUP(2*$B961,$B962:C995,2,TRUE)),"--")</f>
        <v>--</v>
      </c>
      <c r="I961" s="43" t="str">
        <f>IFERROR(ABS(D961/VLOOKUP(2*$B961,$B962:D995,3,TRUE)),"--")</f>
        <v>--</v>
      </c>
      <c r="J961" s="43" t="str">
        <f>IFERROR(ABS(E961/VLOOKUP(2*$B961,$B962:E995,4,TRUE)),"--")</f>
        <v>--</v>
      </c>
      <c r="K961" s="43" t="str">
        <f>IFERROR(ABS(F961/VLOOKUP(2*$B961,$B962:F995,5,TRUE)),"--")</f>
        <v>--</v>
      </c>
      <c r="L961" s="43" t="str">
        <f>IFERROR(ABS(G961/VLOOKUP(2*$B961,$B962:G995,6,TRUE)),"--")</f>
        <v>--</v>
      </c>
      <c r="M961" s="38">
        <f>IF(AND(1+$Q$6&gt;H961,1-$Q$6&lt;H961,1+$Q$6&gt;I961,1-$Q$6&lt;I961,1+$Q$6&gt;J961,1-$Q$6&lt;J961,1+$Q$6&gt;K961,1-$Q$6&lt;K961,1+$Q$6&gt;L961,1-$Q$6&lt;L961),IF(SUM($M$2:M960)=0,1,0),0)</f>
        <v>0</v>
      </c>
      <c r="N961" s="38">
        <f>IF(AND(1+$Q$7&gt;H961,1-$Q$7&lt;H961,1+$Q$7&gt;I961,1-$Q$7&lt;I961,1+$Q$7&gt;J961,1-$Q$7&lt;J961,1+$Q$7&gt;K961,1-$Q$7&lt;K961,1+$Q$7&gt;L961,1-$Q$7&lt;L961),IF(SUM($N$2:N960)=0,1,0),0)</f>
        <v>0</v>
      </c>
      <c r="O961" s="34">
        <f t="shared" si="14"/>
        <v>0</v>
      </c>
    </row>
    <row r="962" spans="8:15" x14ac:dyDescent="0.25">
      <c r="H962" s="43" t="str">
        <f>IFERROR(ABS(C962/VLOOKUP(2*$B962,$B963:C996,2,TRUE)),"--")</f>
        <v>--</v>
      </c>
      <c r="I962" s="43" t="str">
        <f>IFERROR(ABS(D962/VLOOKUP(2*$B962,$B963:D996,3,TRUE)),"--")</f>
        <v>--</v>
      </c>
      <c r="J962" s="43" t="str">
        <f>IFERROR(ABS(E962/VLOOKUP(2*$B962,$B963:E996,4,TRUE)),"--")</f>
        <v>--</v>
      </c>
      <c r="K962" s="43" t="str">
        <f>IFERROR(ABS(F962/VLOOKUP(2*$B962,$B963:F996,5,TRUE)),"--")</f>
        <v>--</v>
      </c>
      <c r="L962" s="43" t="str">
        <f>IFERROR(ABS(G962/VLOOKUP(2*$B962,$B963:G996,6,TRUE)),"--")</f>
        <v>--</v>
      </c>
      <c r="M962" s="38">
        <f>IF(AND(1+$Q$6&gt;H962,1-$Q$6&lt;H962,1+$Q$6&gt;I962,1-$Q$6&lt;I962,1+$Q$6&gt;J962,1-$Q$6&lt;J962,1+$Q$6&gt;K962,1-$Q$6&lt;K962,1+$Q$6&gt;L962,1-$Q$6&lt;L962),IF(SUM($M$2:M961)=0,1,0),0)</f>
        <v>0</v>
      </c>
      <c r="N962" s="38">
        <f>IF(AND(1+$Q$7&gt;H962,1-$Q$7&lt;H962,1+$Q$7&gt;I962,1-$Q$7&lt;I962,1+$Q$7&gt;J962,1-$Q$7&lt;J962,1+$Q$7&gt;K962,1-$Q$7&lt;K962,1+$Q$7&gt;L962,1-$Q$7&lt;L962),IF(SUM($N$2:N961)=0,1,0),0)</f>
        <v>0</v>
      </c>
      <c r="O962" s="34">
        <f t="shared" si="14"/>
        <v>0</v>
      </c>
    </row>
    <row r="963" spans="8:15" x14ac:dyDescent="0.25">
      <c r="H963" s="43" t="str">
        <f>IFERROR(ABS(C963/VLOOKUP(2*$B963,$B964:C997,2,TRUE)),"--")</f>
        <v>--</v>
      </c>
      <c r="I963" s="43" t="str">
        <f>IFERROR(ABS(D963/VLOOKUP(2*$B963,$B964:D997,3,TRUE)),"--")</f>
        <v>--</v>
      </c>
      <c r="J963" s="43" t="str">
        <f>IFERROR(ABS(E963/VLOOKUP(2*$B963,$B964:E997,4,TRUE)),"--")</f>
        <v>--</v>
      </c>
      <c r="K963" s="43" t="str">
        <f>IFERROR(ABS(F963/VLOOKUP(2*$B963,$B964:F997,5,TRUE)),"--")</f>
        <v>--</v>
      </c>
      <c r="L963" s="43" t="str">
        <f>IFERROR(ABS(G963/VLOOKUP(2*$B963,$B964:G997,6,TRUE)),"--")</f>
        <v>--</v>
      </c>
      <c r="M963" s="38">
        <f>IF(AND(1+$Q$6&gt;H963,1-$Q$6&lt;H963,1+$Q$6&gt;I963,1-$Q$6&lt;I963,1+$Q$6&gt;J963,1-$Q$6&lt;J963,1+$Q$6&gt;K963,1-$Q$6&lt;K963,1+$Q$6&gt;L963,1-$Q$6&lt;L963),IF(SUM($M$2:M962)=0,1,0),0)</f>
        <v>0</v>
      </c>
      <c r="N963" s="38">
        <f>IF(AND(1+$Q$7&gt;H963,1-$Q$7&lt;H963,1+$Q$7&gt;I963,1-$Q$7&lt;I963,1+$Q$7&gt;J963,1-$Q$7&lt;J963,1+$Q$7&gt;K963,1-$Q$7&lt;K963,1+$Q$7&gt;L963,1-$Q$7&lt;L963),IF(SUM($N$2:N962)=0,1,0),0)</f>
        <v>0</v>
      </c>
      <c r="O963" s="34">
        <f t="shared" ref="O963:O1000" si="15">A963</f>
        <v>0</v>
      </c>
    </row>
    <row r="964" spans="8:15" x14ac:dyDescent="0.25">
      <c r="H964" s="43" t="str">
        <f>IFERROR(ABS(C964/VLOOKUP(2*$B964,$B965:C998,2,TRUE)),"--")</f>
        <v>--</v>
      </c>
      <c r="I964" s="43" t="str">
        <f>IFERROR(ABS(D964/VLOOKUP(2*$B964,$B965:D998,3,TRUE)),"--")</f>
        <v>--</v>
      </c>
      <c r="J964" s="43" t="str">
        <f>IFERROR(ABS(E964/VLOOKUP(2*$B964,$B965:E998,4,TRUE)),"--")</f>
        <v>--</v>
      </c>
      <c r="K964" s="43" t="str">
        <f>IFERROR(ABS(F964/VLOOKUP(2*$B964,$B965:F998,5,TRUE)),"--")</f>
        <v>--</v>
      </c>
      <c r="L964" s="43" t="str">
        <f>IFERROR(ABS(G964/VLOOKUP(2*$B964,$B965:G998,6,TRUE)),"--")</f>
        <v>--</v>
      </c>
      <c r="M964" s="38">
        <f>IF(AND(1+$Q$6&gt;H964,1-$Q$6&lt;H964,1+$Q$6&gt;I964,1-$Q$6&lt;I964,1+$Q$6&gt;J964,1-$Q$6&lt;J964,1+$Q$6&gt;K964,1-$Q$6&lt;K964,1+$Q$6&gt;L964,1-$Q$6&lt;L964),IF(SUM($M$2:M963)=0,1,0),0)</f>
        <v>0</v>
      </c>
      <c r="N964" s="38">
        <f>IF(AND(1+$Q$7&gt;H964,1-$Q$7&lt;H964,1+$Q$7&gt;I964,1-$Q$7&lt;I964,1+$Q$7&gt;J964,1-$Q$7&lt;J964,1+$Q$7&gt;K964,1-$Q$7&lt;K964,1+$Q$7&gt;L964,1-$Q$7&lt;L964),IF(SUM($N$2:N963)=0,1,0),0)</f>
        <v>0</v>
      </c>
      <c r="O964" s="34">
        <f t="shared" si="15"/>
        <v>0</v>
      </c>
    </row>
    <row r="965" spans="8:15" x14ac:dyDescent="0.25">
      <c r="H965" s="43" t="str">
        <f>IFERROR(ABS(C965/VLOOKUP(2*$B965,$B966:C999,2,TRUE)),"--")</f>
        <v>--</v>
      </c>
      <c r="I965" s="43" t="str">
        <f>IFERROR(ABS(D965/VLOOKUP(2*$B965,$B966:D999,3,TRUE)),"--")</f>
        <v>--</v>
      </c>
      <c r="J965" s="43" t="str">
        <f>IFERROR(ABS(E965/VLOOKUP(2*$B965,$B966:E999,4,TRUE)),"--")</f>
        <v>--</v>
      </c>
      <c r="K965" s="43" t="str">
        <f>IFERROR(ABS(F965/VLOOKUP(2*$B965,$B966:F999,5,TRUE)),"--")</f>
        <v>--</v>
      </c>
      <c r="L965" s="43" t="str">
        <f>IFERROR(ABS(G965/VLOOKUP(2*$B965,$B966:G999,6,TRUE)),"--")</f>
        <v>--</v>
      </c>
      <c r="M965" s="38">
        <f>IF(AND(1+$Q$6&gt;H965,1-$Q$6&lt;H965,1+$Q$6&gt;I965,1-$Q$6&lt;I965,1+$Q$6&gt;J965,1-$Q$6&lt;J965,1+$Q$6&gt;K965,1-$Q$6&lt;K965,1+$Q$6&gt;L965,1-$Q$6&lt;L965),IF(SUM($M$2:M964)=0,1,0),0)</f>
        <v>0</v>
      </c>
      <c r="N965" s="38">
        <f>IF(AND(1+$Q$7&gt;H965,1-$Q$7&lt;H965,1+$Q$7&gt;I965,1-$Q$7&lt;I965,1+$Q$7&gt;J965,1-$Q$7&lt;J965,1+$Q$7&gt;K965,1-$Q$7&lt;K965,1+$Q$7&gt;L965,1-$Q$7&lt;L965),IF(SUM($N$2:N964)=0,1,0),0)</f>
        <v>0</v>
      </c>
      <c r="O965" s="34">
        <f t="shared" si="15"/>
        <v>0</v>
      </c>
    </row>
    <row r="966" spans="8:15" x14ac:dyDescent="0.25">
      <c r="H966" s="43" t="str">
        <f>IFERROR(ABS(C966/VLOOKUP(2*$B966,$B967:C1000,2,TRUE)),"--")</f>
        <v>--</v>
      </c>
      <c r="I966" s="43" t="str">
        <f>IFERROR(ABS(D966/VLOOKUP(2*$B966,$B967:D1000,3,TRUE)),"--")</f>
        <v>--</v>
      </c>
      <c r="J966" s="43" t="str">
        <f>IFERROR(ABS(E966/VLOOKUP(2*$B966,$B967:E1000,4,TRUE)),"--")</f>
        <v>--</v>
      </c>
      <c r="K966" s="43" t="str">
        <f>IFERROR(ABS(F966/VLOOKUP(2*$B966,$B967:F1000,5,TRUE)),"--")</f>
        <v>--</v>
      </c>
      <c r="L966" s="43" t="str">
        <f>IFERROR(ABS(G966/VLOOKUP(2*$B966,$B967:G1000,6,TRUE)),"--")</f>
        <v>--</v>
      </c>
      <c r="M966" s="38">
        <f>IF(AND(1+$Q$6&gt;H966,1-$Q$6&lt;H966,1+$Q$6&gt;I966,1-$Q$6&lt;I966,1+$Q$6&gt;J966,1-$Q$6&lt;J966,1+$Q$6&gt;K966,1-$Q$6&lt;K966,1+$Q$6&gt;L966,1-$Q$6&lt;L966),IF(SUM($M$2:M965)=0,1,0),0)</f>
        <v>0</v>
      </c>
      <c r="N966" s="38">
        <f>IF(AND(1+$Q$7&gt;H966,1-$Q$7&lt;H966,1+$Q$7&gt;I966,1-$Q$7&lt;I966,1+$Q$7&gt;J966,1-$Q$7&lt;J966,1+$Q$7&gt;K966,1-$Q$7&lt;K966,1+$Q$7&gt;L966,1-$Q$7&lt;L966),IF(SUM($N$2:N965)=0,1,0),0)</f>
        <v>0</v>
      </c>
      <c r="O966" s="34">
        <f t="shared" si="15"/>
        <v>0</v>
      </c>
    </row>
    <row r="967" spans="8:15" x14ac:dyDescent="0.25">
      <c r="H967" s="43" t="str">
        <f>IFERROR(ABS(C967/VLOOKUP(2*$B967,$B968:C1001,2,TRUE)),"--")</f>
        <v>--</v>
      </c>
      <c r="I967" s="43" t="str">
        <f>IFERROR(ABS(D967/VLOOKUP(2*$B967,$B968:D1001,3,TRUE)),"--")</f>
        <v>--</v>
      </c>
      <c r="J967" s="43" t="str">
        <f>IFERROR(ABS(E967/VLOOKUP(2*$B967,$B968:E1001,4,TRUE)),"--")</f>
        <v>--</v>
      </c>
      <c r="K967" s="43" t="str">
        <f>IFERROR(ABS(F967/VLOOKUP(2*$B967,$B968:F1001,5,TRUE)),"--")</f>
        <v>--</v>
      </c>
      <c r="L967" s="43" t="str">
        <f>IFERROR(ABS(G967/VLOOKUP(2*$B967,$B968:G1001,6,TRUE)),"--")</f>
        <v>--</v>
      </c>
      <c r="M967" s="38">
        <f>IF(AND(1+$Q$6&gt;H967,1-$Q$6&lt;H967,1+$Q$6&gt;I967,1-$Q$6&lt;I967,1+$Q$6&gt;J967,1-$Q$6&lt;J967,1+$Q$6&gt;K967,1-$Q$6&lt;K967,1+$Q$6&gt;L967,1-$Q$6&lt;L967),IF(SUM($M$2:M966)=0,1,0),0)</f>
        <v>0</v>
      </c>
      <c r="N967" s="38">
        <f>IF(AND(1+$Q$7&gt;H967,1-$Q$7&lt;H967,1+$Q$7&gt;I967,1-$Q$7&lt;I967,1+$Q$7&gt;J967,1-$Q$7&lt;J967,1+$Q$7&gt;K967,1-$Q$7&lt;K967,1+$Q$7&gt;L967,1-$Q$7&lt;L967),IF(SUM($N$2:N966)=0,1,0),0)</f>
        <v>0</v>
      </c>
      <c r="O967" s="34">
        <f t="shared" si="15"/>
        <v>0</v>
      </c>
    </row>
    <row r="968" spans="8:15" x14ac:dyDescent="0.25">
      <c r="H968" s="43" t="str">
        <f>IFERROR(ABS(C968/VLOOKUP(2*$B968,$B969:C1002,2,TRUE)),"--")</f>
        <v>--</v>
      </c>
      <c r="I968" s="43" t="str">
        <f>IFERROR(ABS(D968/VLOOKUP(2*$B968,$B969:D1002,3,TRUE)),"--")</f>
        <v>--</v>
      </c>
      <c r="J968" s="43" t="str">
        <f>IFERROR(ABS(E968/VLOOKUP(2*$B968,$B969:E1002,4,TRUE)),"--")</f>
        <v>--</v>
      </c>
      <c r="K968" s="43" t="str">
        <f>IFERROR(ABS(F968/VLOOKUP(2*$B968,$B969:F1002,5,TRUE)),"--")</f>
        <v>--</v>
      </c>
      <c r="L968" s="43" t="str">
        <f>IFERROR(ABS(G968/VLOOKUP(2*$B968,$B969:G1002,6,TRUE)),"--")</f>
        <v>--</v>
      </c>
      <c r="M968" s="38">
        <f>IF(AND(1+$Q$6&gt;H968,1-$Q$6&lt;H968,1+$Q$6&gt;I968,1-$Q$6&lt;I968,1+$Q$6&gt;J968,1-$Q$6&lt;J968,1+$Q$6&gt;K968,1-$Q$6&lt;K968,1+$Q$6&gt;L968,1-$Q$6&lt;L968),IF(SUM($M$2:M967)=0,1,0),0)</f>
        <v>0</v>
      </c>
      <c r="N968" s="38">
        <f>IF(AND(1+$Q$7&gt;H968,1-$Q$7&lt;H968,1+$Q$7&gt;I968,1-$Q$7&lt;I968,1+$Q$7&gt;J968,1-$Q$7&lt;J968,1+$Q$7&gt;K968,1-$Q$7&lt;K968,1+$Q$7&gt;L968,1-$Q$7&lt;L968),IF(SUM($N$2:N967)=0,1,0),0)</f>
        <v>0</v>
      </c>
      <c r="O968" s="34">
        <f t="shared" si="15"/>
        <v>0</v>
      </c>
    </row>
    <row r="969" spans="8:15" x14ac:dyDescent="0.25">
      <c r="H969" s="43" t="str">
        <f>IFERROR(ABS(C969/VLOOKUP(2*$B969,$B970:C1003,2,TRUE)),"--")</f>
        <v>--</v>
      </c>
      <c r="I969" s="43" t="str">
        <f>IFERROR(ABS(D969/VLOOKUP(2*$B969,$B970:D1003,3,TRUE)),"--")</f>
        <v>--</v>
      </c>
      <c r="J969" s="43" t="str">
        <f>IFERROR(ABS(E969/VLOOKUP(2*$B969,$B970:E1003,4,TRUE)),"--")</f>
        <v>--</v>
      </c>
      <c r="K969" s="43" t="str">
        <f>IFERROR(ABS(F969/VLOOKUP(2*$B969,$B970:F1003,5,TRUE)),"--")</f>
        <v>--</v>
      </c>
      <c r="L969" s="43" t="str">
        <f>IFERROR(ABS(G969/VLOOKUP(2*$B969,$B970:G1003,6,TRUE)),"--")</f>
        <v>--</v>
      </c>
      <c r="M969" s="38">
        <f>IF(AND(1+$Q$6&gt;H969,1-$Q$6&lt;H969,1+$Q$6&gt;I969,1-$Q$6&lt;I969,1+$Q$6&gt;J969,1-$Q$6&lt;J969,1+$Q$6&gt;K969,1-$Q$6&lt;K969,1+$Q$6&gt;L969,1-$Q$6&lt;L969),IF(SUM($M$2:M968)=0,1,0),0)</f>
        <v>0</v>
      </c>
      <c r="N969" s="38">
        <f>IF(AND(1+$Q$7&gt;H969,1-$Q$7&lt;H969,1+$Q$7&gt;I969,1-$Q$7&lt;I969,1+$Q$7&gt;J969,1-$Q$7&lt;J969,1+$Q$7&gt;K969,1-$Q$7&lt;K969,1+$Q$7&gt;L969,1-$Q$7&lt;L969),IF(SUM($N$2:N968)=0,1,0),0)</f>
        <v>0</v>
      </c>
      <c r="O969" s="34">
        <f t="shared" si="15"/>
        <v>0</v>
      </c>
    </row>
    <row r="970" spans="8:15" x14ac:dyDescent="0.25">
      <c r="H970" s="43" t="str">
        <f>IFERROR(ABS(C970/VLOOKUP(2*$B970,$B971:C1004,2,TRUE)),"--")</f>
        <v>--</v>
      </c>
      <c r="I970" s="43" t="str">
        <f>IFERROR(ABS(D970/VLOOKUP(2*$B970,$B971:D1004,3,TRUE)),"--")</f>
        <v>--</v>
      </c>
      <c r="J970" s="43" t="str">
        <f>IFERROR(ABS(E970/VLOOKUP(2*$B970,$B971:E1004,4,TRUE)),"--")</f>
        <v>--</v>
      </c>
      <c r="K970" s="43" t="str">
        <f>IFERROR(ABS(F970/VLOOKUP(2*$B970,$B971:F1004,5,TRUE)),"--")</f>
        <v>--</v>
      </c>
      <c r="L970" s="43" t="str">
        <f>IFERROR(ABS(G970/VLOOKUP(2*$B970,$B971:G1004,6,TRUE)),"--")</f>
        <v>--</v>
      </c>
      <c r="M970" s="38">
        <f>IF(AND(1+$Q$6&gt;H970,1-$Q$6&lt;H970,1+$Q$6&gt;I970,1-$Q$6&lt;I970,1+$Q$6&gt;J970,1-$Q$6&lt;J970,1+$Q$6&gt;K970,1-$Q$6&lt;K970,1+$Q$6&gt;L970,1-$Q$6&lt;L970),IF(SUM($M$2:M969)=0,1,0),0)</f>
        <v>0</v>
      </c>
      <c r="N970" s="38">
        <f>IF(AND(1+$Q$7&gt;H970,1-$Q$7&lt;H970,1+$Q$7&gt;I970,1-$Q$7&lt;I970,1+$Q$7&gt;J970,1-$Q$7&lt;J970,1+$Q$7&gt;K970,1-$Q$7&lt;K970,1+$Q$7&gt;L970,1-$Q$7&lt;L970),IF(SUM($N$2:N969)=0,1,0),0)</f>
        <v>0</v>
      </c>
      <c r="O970" s="34">
        <f t="shared" si="15"/>
        <v>0</v>
      </c>
    </row>
    <row r="971" spans="8:15" x14ac:dyDescent="0.25">
      <c r="H971" s="43" t="str">
        <f>IFERROR(ABS(C971/VLOOKUP(2*$B971,$B972:C1005,2,TRUE)),"--")</f>
        <v>--</v>
      </c>
      <c r="I971" s="43" t="str">
        <f>IFERROR(ABS(D971/VLOOKUP(2*$B971,$B972:D1005,3,TRUE)),"--")</f>
        <v>--</v>
      </c>
      <c r="J971" s="43" t="str">
        <f>IFERROR(ABS(E971/VLOOKUP(2*$B971,$B972:E1005,4,TRUE)),"--")</f>
        <v>--</v>
      </c>
      <c r="K971" s="43" t="str">
        <f>IFERROR(ABS(F971/VLOOKUP(2*$B971,$B972:F1005,5,TRUE)),"--")</f>
        <v>--</v>
      </c>
      <c r="L971" s="43" t="str">
        <f>IFERROR(ABS(G971/VLOOKUP(2*$B971,$B972:G1005,6,TRUE)),"--")</f>
        <v>--</v>
      </c>
      <c r="M971" s="38">
        <f>IF(AND(1+$Q$6&gt;H971,1-$Q$6&lt;H971,1+$Q$6&gt;I971,1-$Q$6&lt;I971,1+$Q$6&gt;J971,1-$Q$6&lt;J971,1+$Q$6&gt;K971,1-$Q$6&lt;K971,1+$Q$6&gt;L971,1-$Q$6&lt;L971),IF(SUM($M$2:M970)=0,1,0),0)</f>
        <v>0</v>
      </c>
      <c r="N971" s="38">
        <f>IF(AND(1+$Q$7&gt;H971,1-$Q$7&lt;H971,1+$Q$7&gt;I971,1-$Q$7&lt;I971,1+$Q$7&gt;J971,1-$Q$7&lt;J971,1+$Q$7&gt;K971,1-$Q$7&lt;K971,1+$Q$7&gt;L971,1-$Q$7&lt;L971),IF(SUM($N$2:N970)=0,1,0),0)</f>
        <v>0</v>
      </c>
      <c r="O971" s="34">
        <f t="shared" si="15"/>
        <v>0</v>
      </c>
    </row>
    <row r="972" spans="8:15" x14ac:dyDescent="0.25">
      <c r="H972" s="43" t="str">
        <f>IFERROR(ABS(C972/VLOOKUP(2*$B972,$B973:C1006,2,TRUE)),"--")</f>
        <v>--</v>
      </c>
      <c r="I972" s="43" t="str">
        <f>IFERROR(ABS(D972/VLOOKUP(2*$B972,$B973:D1006,3,TRUE)),"--")</f>
        <v>--</v>
      </c>
      <c r="J972" s="43" t="str">
        <f>IFERROR(ABS(E972/VLOOKUP(2*$B972,$B973:E1006,4,TRUE)),"--")</f>
        <v>--</v>
      </c>
      <c r="K972" s="43" t="str">
        <f>IFERROR(ABS(F972/VLOOKUP(2*$B972,$B973:F1006,5,TRUE)),"--")</f>
        <v>--</v>
      </c>
      <c r="L972" s="43" t="str">
        <f>IFERROR(ABS(G972/VLOOKUP(2*$B972,$B973:G1006,6,TRUE)),"--")</f>
        <v>--</v>
      </c>
      <c r="M972" s="38">
        <f>IF(AND(1+$Q$6&gt;H972,1-$Q$6&lt;H972,1+$Q$6&gt;I972,1-$Q$6&lt;I972,1+$Q$6&gt;J972,1-$Q$6&lt;J972,1+$Q$6&gt;K972,1-$Q$6&lt;K972,1+$Q$6&gt;L972,1-$Q$6&lt;L972),IF(SUM($M$2:M971)=0,1,0),0)</f>
        <v>0</v>
      </c>
      <c r="N972" s="38">
        <f>IF(AND(1+$Q$7&gt;H972,1-$Q$7&lt;H972,1+$Q$7&gt;I972,1-$Q$7&lt;I972,1+$Q$7&gt;J972,1-$Q$7&lt;J972,1+$Q$7&gt;K972,1-$Q$7&lt;K972,1+$Q$7&gt;L972,1-$Q$7&lt;L972),IF(SUM($N$2:N971)=0,1,0),0)</f>
        <v>0</v>
      </c>
      <c r="O972" s="34">
        <f t="shared" si="15"/>
        <v>0</v>
      </c>
    </row>
    <row r="973" spans="8:15" x14ac:dyDescent="0.25">
      <c r="H973" s="43" t="str">
        <f>IFERROR(ABS(C973/VLOOKUP(2*$B973,$B974:C1007,2,TRUE)),"--")</f>
        <v>--</v>
      </c>
      <c r="I973" s="43" t="str">
        <f>IFERROR(ABS(D973/VLOOKUP(2*$B973,$B974:D1007,3,TRUE)),"--")</f>
        <v>--</v>
      </c>
      <c r="J973" s="43" t="str">
        <f>IFERROR(ABS(E973/VLOOKUP(2*$B973,$B974:E1007,4,TRUE)),"--")</f>
        <v>--</v>
      </c>
      <c r="K973" s="43" t="str">
        <f>IFERROR(ABS(F973/VLOOKUP(2*$B973,$B974:F1007,5,TRUE)),"--")</f>
        <v>--</v>
      </c>
      <c r="L973" s="43" t="str">
        <f>IFERROR(ABS(G973/VLOOKUP(2*$B973,$B974:G1007,6,TRUE)),"--")</f>
        <v>--</v>
      </c>
      <c r="M973" s="38">
        <f>IF(AND(1+$Q$6&gt;H973,1-$Q$6&lt;H973,1+$Q$6&gt;I973,1-$Q$6&lt;I973,1+$Q$6&gt;J973,1-$Q$6&lt;J973,1+$Q$6&gt;K973,1-$Q$6&lt;K973,1+$Q$6&gt;L973,1-$Q$6&lt;L973),IF(SUM($M$2:M972)=0,1,0),0)</f>
        <v>0</v>
      </c>
      <c r="N973" s="38">
        <f>IF(AND(1+$Q$7&gt;H973,1-$Q$7&lt;H973,1+$Q$7&gt;I973,1-$Q$7&lt;I973,1+$Q$7&gt;J973,1-$Q$7&lt;J973,1+$Q$7&gt;K973,1-$Q$7&lt;K973,1+$Q$7&gt;L973,1-$Q$7&lt;L973),IF(SUM($N$2:N972)=0,1,0),0)</f>
        <v>0</v>
      </c>
      <c r="O973" s="34">
        <f t="shared" si="15"/>
        <v>0</v>
      </c>
    </row>
    <row r="974" spans="8:15" x14ac:dyDescent="0.25">
      <c r="H974" s="43" t="str">
        <f>IFERROR(ABS(C974/VLOOKUP(2*$B974,$B975:C1008,2,TRUE)),"--")</f>
        <v>--</v>
      </c>
      <c r="I974" s="43" t="str">
        <f>IFERROR(ABS(D974/VLOOKUP(2*$B974,$B975:D1008,3,TRUE)),"--")</f>
        <v>--</v>
      </c>
      <c r="J974" s="43" t="str">
        <f>IFERROR(ABS(E974/VLOOKUP(2*$B974,$B975:E1008,4,TRUE)),"--")</f>
        <v>--</v>
      </c>
      <c r="K974" s="43" t="str">
        <f>IFERROR(ABS(F974/VLOOKUP(2*$B974,$B975:F1008,5,TRUE)),"--")</f>
        <v>--</v>
      </c>
      <c r="L974" s="43" t="str">
        <f>IFERROR(ABS(G974/VLOOKUP(2*$B974,$B975:G1008,6,TRUE)),"--")</f>
        <v>--</v>
      </c>
      <c r="M974" s="38">
        <f>IF(AND(1+$Q$6&gt;H974,1-$Q$6&lt;H974,1+$Q$6&gt;I974,1-$Q$6&lt;I974,1+$Q$6&gt;J974,1-$Q$6&lt;J974,1+$Q$6&gt;K974,1-$Q$6&lt;K974,1+$Q$6&gt;L974,1-$Q$6&lt;L974),IF(SUM($M$2:M973)=0,1,0),0)</f>
        <v>0</v>
      </c>
      <c r="N974" s="38">
        <f>IF(AND(1+$Q$7&gt;H974,1-$Q$7&lt;H974,1+$Q$7&gt;I974,1-$Q$7&lt;I974,1+$Q$7&gt;J974,1-$Q$7&lt;J974,1+$Q$7&gt;K974,1-$Q$7&lt;K974,1+$Q$7&gt;L974,1-$Q$7&lt;L974),IF(SUM($N$2:N973)=0,1,0),0)</f>
        <v>0</v>
      </c>
      <c r="O974" s="34">
        <f t="shared" si="15"/>
        <v>0</v>
      </c>
    </row>
    <row r="975" spans="8:15" x14ac:dyDescent="0.25">
      <c r="H975" s="43" t="str">
        <f>IFERROR(ABS(C975/VLOOKUP(2*$B975,$B976:C1009,2,TRUE)),"--")</f>
        <v>--</v>
      </c>
      <c r="I975" s="43" t="str">
        <f>IFERROR(ABS(D975/VLOOKUP(2*$B975,$B976:D1009,3,TRUE)),"--")</f>
        <v>--</v>
      </c>
      <c r="J975" s="43" t="str">
        <f>IFERROR(ABS(E975/VLOOKUP(2*$B975,$B976:E1009,4,TRUE)),"--")</f>
        <v>--</v>
      </c>
      <c r="K975" s="43" t="str">
        <f>IFERROR(ABS(F975/VLOOKUP(2*$B975,$B976:F1009,5,TRUE)),"--")</f>
        <v>--</v>
      </c>
      <c r="L975" s="43" t="str">
        <f>IFERROR(ABS(G975/VLOOKUP(2*$B975,$B976:G1009,6,TRUE)),"--")</f>
        <v>--</v>
      </c>
      <c r="M975" s="38">
        <f>IF(AND(1+$Q$6&gt;H975,1-$Q$6&lt;H975,1+$Q$6&gt;I975,1-$Q$6&lt;I975,1+$Q$6&gt;J975,1-$Q$6&lt;J975,1+$Q$6&gt;K975,1-$Q$6&lt;K975,1+$Q$6&gt;L975,1-$Q$6&lt;L975),IF(SUM($M$2:M974)=0,1,0),0)</f>
        <v>0</v>
      </c>
      <c r="N975" s="38">
        <f>IF(AND(1+$Q$7&gt;H975,1-$Q$7&lt;H975,1+$Q$7&gt;I975,1-$Q$7&lt;I975,1+$Q$7&gt;J975,1-$Q$7&lt;J975,1+$Q$7&gt;K975,1-$Q$7&lt;K975,1+$Q$7&gt;L975,1-$Q$7&lt;L975),IF(SUM($N$2:N974)=0,1,0),0)</f>
        <v>0</v>
      </c>
      <c r="O975" s="34">
        <f t="shared" si="15"/>
        <v>0</v>
      </c>
    </row>
    <row r="976" spans="8:15" x14ac:dyDescent="0.25">
      <c r="H976" s="43" t="str">
        <f>IFERROR(ABS(C976/VLOOKUP(2*$B976,$B977:C1010,2,TRUE)),"--")</f>
        <v>--</v>
      </c>
      <c r="I976" s="43" t="str">
        <f>IFERROR(ABS(D976/VLOOKUP(2*$B976,$B977:D1010,3,TRUE)),"--")</f>
        <v>--</v>
      </c>
      <c r="J976" s="43" t="str">
        <f>IFERROR(ABS(E976/VLOOKUP(2*$B976,$B977:E1010,4,TRUE)),"--")</f>
        <v>--</v>
      </c>
      <c r="K976" s="43" t="str">
        <f>IFERROR(ABS(F976/VLOOKUP(2*$B976,$B977:F1010,5,TRUE)),"--")</f>
        <v>--</v>
      </c>
      <c r="L976" s="43" t="str">
        <f>IFERROR(ABS(G976/VLOOKUP(2*$B976,$B977:G1010,6,TRUE)),"--")</f>
        <v>--</v>
      </c>
      <c r="M976" s="38">
        <f>IF(AND(1+$Q$6&gt;H976,1-$Q$6&lt;H976,1+$Q$6&gt;I976,1-$Q$6&lt;I976,1+$Q$6&gt;J976,1-$Q$6&lt;J976,1+$Q$6&gt;K976,1-$Q$6&lt;K976,1+$Q$6&gt;L976,1-$Q$6&lt;L976),IF(SUM($M$2:M975)=0,1,0),0)</f>
        <v>0</v>
      </c>
      <c r="N976" s="38">
        <f>IF(AND(1+$Q$7&gt;H976,1-$Q$7&lt;H976,1+$Q$7&gt;I976,1-$Q$7&lt;I976,1+$Q$7&gt;J976,1-$Q$7&lt;J976,1+$Q$7&gt;K976,1-$Q$7&lt;K976,1+$Q$7&gt;L976,1-$Q$7&lt;L976),IF(SUM($N$2:N975)=0,1,0),0)</f>
        <v>0</v>
      </c>
      <c r="O976" s="34">
        <f t="shared" si="15"/>
        <v>0</v>
      </c>
    </row>
    <row r="977" spans="8:15" x14ac:dyDescent="0.25">
      <c r="H977" s="43" t="str">
        <f>IFERROR(ABS(C977/VLOOKUP(2*$B977,$B978:C1011,2,TRUE)),"--")</f>
        <v>--</v>
      </c>
      <c r="I977" s="43" t="str">
        <f>IFERROR(ABS(D977/VLOOKUP(2*$B977,$B978:D1011,3,TRUE)),"--")</f>
        <v>--</v>
      </c>
      <c r="J977" s="43" t="str">
        <f>IFERROR(ABS(E977/VLOOKUP(2*$B977,$B978:E1011,4,TRUE)),"--")</f>
        <v>--</v>
      </c>
      <c r="K977" s="43" t="str">
        <f>IFERROR(ABS(F977/VLOOKUP(2*$B977,$B978:F1011,5,TRUE)),"--")</f>
        <v>--</v>
      </c>
      <c r="L977" s="43" t="str">
        <f>IFERROR(ABS(G977/VLOOKUP(2*$B977,$B978:G1011,6,TRUE)),"--")</f>
        <v>--</v>
      </c>
      <c r="M977" s="38">
        <f>IF(AND(1+$Q$6&gt;H977,1-$Q$6&lt;H977,1+$Q$6&gt;I977,1-$Q$6&lt;I977,1+$Q$6&gt;J977,1-$Q$6&lt;J977,1+$Q$6&gt;K977,1-$Q$6&lt;K977,1+$Q$6&gt;L977,1-$Q$6&lt;L977),IF(SUM($M$2:M976)=0,1,0),0)</f>
        <v>0</v>
      </c>
      <c r="N977" s="38">
        <f>IF(AND(1+$Q$7&gt;H977,1-$Q$7&lt;H977,1+$Q$7&gt;I977,1-$Q$7&lt;I977,1+$Q$7&gt;J977,1-$Q$7&lt;J977,1+$Q$7&gt;K977,1-$Q$7&lt;K977,1+$Q$7&gt;L977,1-$Q$7&lt;L977),IF(SUM($N$2:N976)=0,1,0),0)</f>
        <v>0</v>
      </c>
      <c r="O977" s="34">
        <f t="shared" si="15"/>
        <v>0</v>
      </c>
    </row>
    <row r="978" spans="8:15" x14ac:dyDescent="0.25">
      <c r="H978" s="43" t="str">
        <f>IFERROR(ABS(C978/VLOOKUP(2*$B978,$B979:C1012,2,TRUE)),"--")</f>
        <v>--</v>
      </c>
      <c r="I978" s="43" t="str">
        <f>IFERROR(ABS(D978/VLOOKUP(2*$B978,$B979:D1012,3,TRUE)),"--")</f>
        <v>--</v>
      </c>
      <c r="J978" s="43" t="str">
        <f>IFERROR(ABS(E978/VLOOKUP(2*$B978,$B979:E1012,4,TRUE)),"--")</f>
        <v>--</v>
      </c>
      <c r="K978" s="43" t="str">
        <f>IFERROR(ABS(F978/VLOOKUP(2*$B978,$B979:F1012,5,TRUE)),"--")</f>
        <v>--</v>
      </c>
      <c r="L978" s="43" t="str">
        <f>IFERROR(ABS(G978/VLOOKUP(2*$B978,$B979:G1012,6,TRUE)),"--")</f>
        <v>--</v>
      </c>
      <c r="M978" s="38">
        <f>IF(AND(1+$Q$6&gt;H978,1-$Q$6&lt;H978,1+$Q$6&gt;I978,1-$Q$6&lt;I978,1+$Q$6&gt;J978,1-$Q$6&lt;J978,1+$Q$6&gt;K978,1-$Q$6&lt;K978,1+$Q$6&gt;L978,1-$Q$6&lt;L978),IF(SUM($M$2:M977)=0,1,0),0)</f>
        <v>0</v>
      </c>
      <c r="N978" s="38">
        <f>IF(AND(1+$Q$7&gt;H978,1-$Q$7&lt;H978,1+$Q$7&gt;I978,1-$Q$7&lt;I978,1+$Q$7&gt;J978,1-$Q$7&lt;J978,1+$Q$7&gt;K978,1-$Q$7&lt;K978,1+$Q$7&gt;L978,1-$Q$7&lt;L978),IF(SUM($N$2:N977)=0,1,0),0)</f>
        <v>0</v>
      </c>
      <c r="O978" s="34">
        <f t="shared" si="15"/>
        <v>0</v>
      </c>
    </row>
    <row r="979" spans="8:15" x14ac:dyDescent="0.25">
      <c r="H979" s="43" t="str">
        <f>IFERROR(ABS(C979/VLOOKUP(2*$B979,$B980:C1013,2,TRUE)),"--")</f>
        <v>--</v>
      </c>
      <c r="I979" s="43" t="str">
        <f>IFERROR(ABS(D979/VLOOKUP(2*$B979,$B980:D1013,3,TRUE)),"--")</f>
        <v>--</v>
      </c>
      <c r="J979" s="43" t="str">
        <f>IFERROR(ABS(E979/VLOOKUP(2*$B979,$B980:E1013,4,TRUE)),"--")</f>
        <v>--</v>
      </c>
      <c r="K979" s="43" t="str">
        <f>IFERROR(ABS(F979/VLOOKUP(2*$B979,$B980:F1013,5,TRUE)),"--")</f>
        <v>--</v>
      </c>
      <c r="L979" s="43" t="str">
        <f>IFERROR(ABS(G979/VLOOKUP(2*$B979,$B980:G1013,6,TRUE)),"--")</f>
        <v>--</v>
      </c>
      <c r="M979" s="38">
        <f>IF(AND(1+$Q$6&gt;H979,1-$Q$6&lt;H979,1+$Q$6&gt;I979,1-$Q$6&lt;I979,1+$Q$6&gt;J979,1-$Q$6&lt;J979,1+$Q$6&gt;K979,1-$Q$6&lt;K979,1+$Q$6&gt;L979,1-$Q$6&lt;L979),IF(SUM($M$2:M978)=0,1,0),0)</f>
        <v>0</v>
      </c>
      <c r="N979" s="38">
        <f>IF(AND(1+$Q$7&gt;H979,1-$Q$7&lt;H979,1+$Q$7&gt;I979,1-$Q$7&lt;I979,1+$Q$7&gt;J979,1-$Q$7&lt;J979,1+$Q$7&gt;K979,1-$Q$7&lt;K979,1+$Q$7&gt;L979,1-$Q$7&lt;L979),IF(SUM($N$2:N978)=0,1,0),0)</f>
        <v>0</v>
      </c>
      <c r="O979" s="34">
        <f t="shared" si="15"/>
        <v>0</v>
      </c>
    </row>
    <row r="980" spans="8:15" x14ac:dyDescent="0.25">
      <c r="H980" s="43" t="str">
        <f>IFERROR(ABS(C980/VLOOKUP(2*$B980,$B981:C1014,2,TRUE)),"--")</f>
        <v>--</v>
      </c>
      <c r="I980" s="43" t="str">
        <f>IFERROR(ABS(D980/VLOOKUP(2*$B980,$B981:D1014,3,TRUE)),"--")</f>
        <v>--</v>
      </c>
      <c r="J980" s="43" t="str">
        <f>IFERROR(ABS(E980/VLOOKUP(2*$B980,$B981:E1014,4,TRUE)),"--")</f>
        <v>--</v>
      </c>
      <c r="K980" s="43" t="str">
        <f>IFERROR(ABS(F980/VLOOKUP(2*$B980,$B981:F1014,5,TRUE)),"--")</f>
        <v>--</v>
      </c>
      <c r="L980" s="43" t="str">
        <f>IFERROR(ABS(G980/VLOOKUP(2*$B980,$B981:G1014,6,TRUE)),"--")</f>
        <v>--</v>
      </c>
      <c r="M980" s="38">
        <f>IF(AND(1+$Q$6&gt;H980,1-$Q$6&lt;H980,1+$Q$6&gt;I980,1-$Q$6&lt;I980,1+$Q$6&gt;J980,1-$Q$6&lt;J980,1+$Q$6&gt;K980,1-$Q$6&lt;K980,1+$Q$6&gt;L980,1-$Q$6&lt;L980),IF(SUM($M$2:M979)=0,1,0),0)</f>
        <v>0</v>
      </c>
      <c r="N980" s="38">
        <f>IF(AND(1+$Q$7&gt;H980,1-$Q$7&lt;H980,1+$Q$7&gt;I980,1-$Q$7&lt;I980,1+$Q$7&gt;J980,1-$Q$7&lt;J980,1+$Q$7&gt;K980,1-$Q$7&lt;K980,1+$Q$7&gt;L980,1-$Q$7&lt;L980),IF(SUM($N$2:N979)=0,1,0),0)</f>
        <v>0</v>
      </c>
      <c r="O980" s="34">
        <f t="shared" si="15"/>
        <v>0</v>
      </c>
    </row>
    <row r="981" spans="8:15" x14ac:dyDescent="0.25">
      <c r="H981" s="43" t="str">
        <f>IFERROR(ABS(C981/VLOOKUP(2*$B981,$B982:C1015,2,TRUE)),"--")</f>
        <v>--</v>
      </c>
      <c r="I981" s="43" t="str">
        <f>IFERROR(ABS(D981/VLOOKUP(2*$B981,$B982:D1015,3,TRUE)),"--")</f>
        <v>--</v>
      </c>
      <c r="J981" s="43" t="str">
        <f>IFERROR(ABS(E981/VLOOKUP(2*$B981,$B982:E1015,4,TRUE)),"--")</f>
        <v>--</v>
      </c>
      <c r="K981" s="43" t="str">
        <f>IFERROR(ABS(F981/VLOOKUP(2*$B981,$B982:F1015,5,TRUE)),"--")</f>
        <v>--</v>
      </c>
      <c r="L981" s="43" t="str">
        <f>IFERROR(ABS(G981/VLOOKUP(2*$B981,$B982:G1015,6,TRUE)),"--")</f>
        <v>--</v>
      </c>
      <c r="M981" s="38">
        <f>IF(AND(1+$Q$6&gt;H981,1-$Q$6&lt;H981,1+$Q$6&gt;I981,1-$Q$6&lt;I981,1+$Q$6&gt;J981,1-$Q$6&lt;J981,1+$Q$6&gt;K981,1-$Q$6&lt;K981,1+$Q$6&gt;L981,1-$Q$6&lt;L981),IF(SUM($M$2:M980)=0,1,0),0)</f>
        <v>0</v>
      </c>
      <c r="N981" s="38">
        <f>IF(AND(1+$Q$7&gt;H981,1-$Q$7&lt;H981,1+$Q$7&gt;I981,1-$Q$7&lt;I981,1+$Q$7&gt;J981,1-$Q$7&lt;J981,1+$Q$7&gt;K981,1-$Q$7&lt;K981,1+$Q$7&gt;L981,1-$Q$7&lt;L981),IF(SUM($N$2:N980)=0,1,0),0)</f>
        <v>0</v>
      </c>
      <c r="O981" s="34">
        <f t="shared" si="15"/>
        <v>0</v>
      </c>
    </row>
    <row r="982" spans="8:15" x14ac:dyDescent="0.25">
      <c r="H982" s="43" t="str">
        <f>IFERROR(ABS(C982/VLOOKUP(2*$B982,$B983:C1016,2,TRUE)),"--")</f>
        <v>--</v>
      </c>
      <c r="I982" s="43" t="str">
        <f>IFERROR(ABS(D982/VLOOKUP(2*$B982,$B983:D1016,3,TRUE)),"--")</f>
        <v>--</v>
      </c>
      <c r="J982" s="43" t="str">
        <f>IFERROR(ABS(E982/VLOOKUP(2*$B982,$B983:E1016,4,TRUE)),"--")</f>
        <v>--</v>
      </c>
      <c r="K982" s="43" t="str">
        <f>IFERROR(ABS(F982/VLOOKUP(2*$B982,$B983:F1016,5,TRUE)),"--")</f>
        <v>--</v>
      </c>
      <c r="L982" s="43" t="str">
        <f>IFERROR(ABS(G982/VLOOKUP(2*$B982,$B983:G1016,6,TRUE)),"--")</f>
        <v>--</v>
      </c>
      <c r="M982" s="38">
        <f>IF(AND(1+$Q$6&gt;H982,1-$Q$6&lt;H982,1+$Q$6&gt;I982,1-$Q$6&lt;I982,1+$Q$6&gt;J982,1-$Q$6&lt;J982,1+$Q$6&gt;K982,1-$Q$6&lt;K982,1+$Q$6&gt;L982,1-$Q$6&lt;L982),IF(SUM($M$2:M981)=0,1,0),0)</f>
        <v>0</v>
      </c>
      <c r="N982" s="38">
        <f>IF(AND(1+$Q$7&gt;H982,1-$Q$7&lt;H982,1+$Q$7&gt;I982,1-$Q$7&lt;I982,1+$Q$7&gt;J982,1-$Q$7&lt;J982,1+$Q$7&gt;K982,1-$Q$7&lt;K982,1+$Q$7&gt;L982,1-$Q$7&lt;L982),IF(SUM($N$2:N981)=0,1,0),0)</f>
        <v>0</v>
      </c>
      <c r="O982" s="34">
        <f t="shared" si="15"/>
        <v>0</v>
      </c>
    </row>
    <row r="983" spans="8:15" x14ac:dyDescent="0.25">
      <c r="H983" s="43" t="str">
        <f>IFERROR(ABS(C983/VLOOKUP(2*$B983,$B984:C1017,2,TRUE)),"--")</f>
        <v>--</v>
      </c>
      <c r="I983" s="43" t="str">
        <f>IFERROR(ABS(D983/VLOOKUP(2*$B983,$B984:D1017,3,TRUE)),"--")</f>
        <v>--</v>
      </c>
      <c r="J983" s="43" t="str">
        <f>IFERROR(ABS(E983/VLOOKUP(2*$B983,$B984:E1017,4,TRUE)),"--")</f>
        <v>--</v>
      </c>
      <c r="K983" s="43" t="str">
        <f>IFERROR(ABS(F983/VLOOKUP(2*$B983,$B984:F1017,5,TRUE)),"--")</f>
        <v>--</v>
      </c>
      <c r="L983" s="43" t="str">
        <f>IFERROR(ABS(G983/VLOOKUP(2*$B983,$B984:G1017,6,TRUE)),"--")</f>
        <v>--</v>
      </c>
      <c r="M983" s="38">
        <f>IF(AND(1+$Q$6&gt;H983,1-$Q$6&lt;H983,1+$Q$6&gt;I983,1-$Q$6&lt;I983,1+$Q$6&gt;J983,1-$Q$6&lt;J983,1+$Q$6&gt;K983,1-$Q$6&lt;K983,1+$Q$6&gt;L983,1-$Q$6&lt;L983),IF(SUM($M$2:M982)=0,1,0),0)</f>
        <v>0</v>
      </c>
      <c r="N983" s="38">
        <f>IF(AND(1+$Q$7&gt;H983,1-$Q$7&lt;H983,1+$Q$7&gt;I983,1-$Q$7&lt;I983,1+$Q$7&gt;J983,1-$Q$7&lt;J983,1+$Q$7&gt;K983,1-$Q$7&lt;K983,1+$Q$7&gt;L983,1-$Q$7&lt;L983),IF(SUM($N$2:N982)=0,1,0),0)</f>
        <v>0</v>
      </c>
      <c r="O983" s="34">
        <f t="shared" si="15"/>
        <v>0</v>
      </c>
    </row>
    <row r="984" spans="8:15" x14ac:dyDescent="0.25">
      <c r="H984" s="43" t="str">
        <f>IFERROR(ABS(C984/VLOOKUP(2*$B984,$B985:C1018,2,TRUE)),"--")</f>
        <v>--</v>
      </c>
      <c r="I984" s="43" t="str">
        <f>IFERROR(ABS(D984/VLOOKUP(2*$B984,$B985:D1018,3,TRUE)),"--")</f>
        <v>--</v>
      </c>
      <c r="J984" s="43" t="str">
        <f>IFERROR(ABS(E984/VLOOKUP(2*$B984,$B985:E1018,4,TRUE)),"--")</f>
        <v>--</v>
      </c>
      <c r="K984" s="43" t="str">
        <f>IFERROR(ABS(F984/VLOOKUP(2*$B984,$B985:F1018,5,TRUE)),"--")</f>
        <v>--</v>
      </c>
      <c r="L984" s="43" t="str">
        <f>IFERROR(ABS(G984/VLOOKUP(2*$B984,$B985:G1018,6,TRUE)),"--")</f>
        <v>--</v>
      </c>
      <c r="M984" s="38">
        <f>IF(AND(1+$Q$6&gt;H984,1-$Q$6&lt;H984,1+$Q$6&gt;I984,1-$Q$6&lt;I984,1+$Q$6&gt;J984,1-$Q$6&lt;J984,1+$Q$6&gt;K984,1-$Q$6&lt;K984,1+$Q$6&gt;L984,1-$Q$6&lt;L984),IF(SUM($M$2:M983)=0,1,0),0)</f>
        <v>0</v>
      </c>
      <c r="N984" s="38">
        <f>IF(AND(1+$Q$7&gt;H984,1-$Q$7&lt;H984,1+$Q$7&gt;I984,1-$Q$7&lt;I984,1+$Q$7&gt;J984,1-$Q$7&lt;J984,1+$Q$7&gt;K984,1-$Q$7&lt;K984,1+$Q$7&gt;L984,1-$Q$7&lt;L984),IF(SUM($N$2:N983)=0,1,0),0)</f>
        <v>0</v>
      </c>
      <c r="O984" s="34">
        <f t="shared" si="15"/>
        <v>0</v>
      </c>
    </row>
    <row r="985" spans="8:15" x14ac:dyDescent="0.25">
      <c r="H985" s="43" t="str">
        <f>IFERROR(ABS(C985/VLOOKUP(2*$B985,$B986:C1019,2,TRUE)),"--")</f>
        <v>--</v>
      </c>
      <c r="I985" s="43" t="str">
        <f>IFERROR(ABS(D985/VLOOKUP(2*$B985,$B986:D1019,3,TRUE)),"--")</f>
        <v>--</v>
      </c>
      <c r="J985" s="43" t="str">
        <f>IFERROR(ABS(E985/VLOOKUP(2*$B985,$B986:E1019,4,TRUE)),"--")</f>
        <v>--</v>
      </c>
      <c r="K985" s="43" t="str">
        <f>IFERROR(ABS(F985/VLOOKUP(2*$B985,$B986:F1019,5,TRUE)),"--")</f>
        <v>--</v>
      </c>
      <c r="L985" s="43" t="str">
        <f>IFERROR(ABS(G985/VLOOKUP(2*$B985,$B986:G1019,6,TRUE)),"--")</f>
        <v>--</v>
      </c>
      <c r="M985" s="38">
        <f>IF(AND(1+$Q$6&gt;H985,1-$Q$6&lt;H985,1+$Q$6&gt;I985,1-$Q$6&lt;I985,1+$Q$6&gt;J985,1-$Q$6&lt;J985,1+$Q$6&gt;K985,1-$Q$6&lt;K985,1+$Q$6&gt;L985,1-$Q$6&lt;L985),IF(SUM($M$2:M984)=0,1,0),0)</f>
        <v>0</v>
      </c>
      <c r="N985" s="38">
        <f>IF(AND(1+$Q$7&gt;H985,1-$Q$7&lt;H985,1+$Q$7&gt;I985,1-$Q$7&lt;I985,1+$Q$7&gt;J985,1-$Q$7&lt;J985,1+$Q$7&gt;K985,1-$Q$7&lt;K985,1+$Q$7&gt;L985,1-$Q$7&lt;L985),IF(SUM($N$2:N984)=0,1,0),0)</f>
        <v>0</v>
      </c>
      <c r="O985" s="34">
        <f t="shared" si="15"/>
        <v>0</v>
      </c>
    </row>
    <row r="986" spans="8:15" x14ac:dyDescent="0.25">
      <c r="H986" s="43" t="str">
        <f>IFERROR(ABS(C986/VLOOKUP(2*$B986,$B987:C1020,2,TRUE)),"--")</f>
        <v>--</v>
      </c>
      <c r="I986" s="43" t="str">
        <f>IFERROR(ABS(D986/VLOOKUP(2*$B986,$B987:D1020,3,TRUE)),"--")</f>
        <v>--</v>
      </c>
      <c r="J986" s="43" t="str">
        <f>IFERROR(ABS(E986/VLOOKUP(2*$B986,$B987:E1020,4,TRUE)),"--")</f>
        <v>--</v>
      </c>
      <c r="K986" s="43" t="str">
        <f>IFERROR(ABS(F986/VLOOKUP(2*$B986,$B987:F1020,5,TRUE)),"--")</f>
        <v>--</v>
      </c>
      <c r="L986" s="43" t="str">
        <f>IFERROR(ABS(G986/VLOOKUP(2*$B986,$B987:G1020,6,TRUE)),"--")</f>
        <v>--</v>
      </c>
      <c r="M986" s="38">
        <f>IF(AND(1+$Q$6&gt;H986,1-$Q$6&lt;H986,1+$Q$6&gt;I986,1-$Q$6&lt;I986,1+$Q$6&gt;J986,1-$Q$6&lt;J986,1+$Q$6&gt;K986,1-$Q$6&lt;K986,1+$Q$6&gt;L986,1-$Q$6&lt;L986),IF(SUM($M$2:M985)=0,1,0),0)</f>
        <v>0</v>
      </c>
      <c r="N986" s="38">
        <f>IF(AND(1+$Q$7&gt;H986,1-$Q$7&lt;H986,1+$Q$7&gt;I986,1-$Q$7&lt;I986,1+$Q$7&gt;J986,1-$Q$7&lt;J986,1+$Q$7&gt;K986,1-$Q$7&lt;K986,1+$Q$7&gt;L986,1-$Q$7&lt;L986),IF(SUM($N$2:N985)=0,1,0),0)</f>
        <v>0</v>
      </c>
      <c r="O986" s="34">
        <f t="shared" si="15"/>
        <v>0</v>
      </c>
    </row>
    <row r="987" spans="8:15" x14ac:dyDescent="0.25">
      <c r="H987" s="43" t="str">
        <f>IFERROR(ABS(C987/VLOOKUP(2*$B987,$B988:C1021,2,TRUE)),"--")</f>
        <v>--</v>
      </c>
      <c r="I987" s="43" t="str">
        <f>IFERROR(ABS(D987/VLOOKUP(2*$B987,$B988:D1021,3,TRUE)),"--")</f>
        <v>--</v>
      </c>
      <c r="J987" s="43" t="str">
        <f>IFERROR(ABS(E987/VLOOKUP(2*$B987,$B988:E1021,4,TRUE)),"--")</f>
        <v>--</v>
      </c>
      <c r="K987" s="43" t="str">
        <f>IFERROR(ABS(F987/VLOOKUP(2*$B987,$B988:F1021,5,TRUE)),"--")</f>
        <v>--</v>
      </c>
      <c r="L987" s="43" t="str">
        <f>IFERROR(ABS(G987/VLOOKUP(2*$B987,$B988:G1021,6,TRUE)),"--")</f>
        <v>--</v>
      </c>
      <c r="M987" s="38">
        <f>IF(AND(1+$Q$6&gt;H987,1-$Q$6&lt;H987,1+$Q$6&gt;I987,1-$Q$6&lt;I987,1+$Q$6&gt;J987,1-$Q$6&lt;J987,1+$Q$6&gt;K987,1-$Q$6&lt;K987,1+$Q$6&gt;L987,1-$Q$6&lt;L987),IF(SUM($M$2:M986)=0,1,0),0)</f>
        <v>0</v>
      </c>
      <c r="N987" s="38">
        <f>IF(AND(1+$Q$7&gt;H987,1-$Q$7&lt;H987,1+$Q$7&gt;I987,1-$Q$7&lt;I987,1+$Q$7&gt;J987,1-$Q$7&lt;J987,1+$Q$7&gt;K987,1-$Q$7&lt;K987,1+$Q$7&gt;L987,1-$Q$7&lt;L987),IF(SUM($N$2:N986)=0,1,0),0)</f>
        <v>0</v>
      </c>
      <c r="O987" s="34">
        <f t="shared" si="15"/>
        <v>0</v>
      </c>
    </row>
    <row r="988" spans="8:15" x14ac:dyDescent="0.25">
      <c r="H988" s="43" t="str">
        <f>IFERROR(ABS(C988/VLOOKUP(2*$B988,$B989:C1022,2,TRUE)),"--")</f>
        <v>--</v>
      </c>
      <c r="I988" s="43" t="str">
        <f>IFERROR(ABS(D988/VLOOKUP(2*$B988,$B989:D1022,3,TRUE)),"--")</f>
        <v>--</v>
      </c>
      <c r="J988" s="43" t="str">
        <f>IFERROR(ABS(E988/VLOOKUP(2*$B988,$B989:E1022,4,TRUE)),"--")</f>
        <v>--</v>
      </c>
      <c r="K988" s="43" t="str">
        <f>IFERROR(ABS(F988/VLOOKUP(2*$B988,$B989:F1022,5,TRUE)),"--")</f>
        <v>--</v>
      </c>
      <c r="L988" s="43" t="str">
        <f>IFERROR(ABS(G988/VLOOKUP(2*$B988,$B989:G1022,6,TRUE)),"--")</f>
        <v>--</v>
      </c>
      <c r="M988" s="38">
        <f>IF(AND(1+$Q$6&gt;H988,1-$Q$6&lt;H988,1+$Q$6&gt;I988,1-$Q$6&lt;I988,1+$Q$6&gt;J988,1-$Q$6&lt;J988,1+$Q$6&gt;K988,1-$Q$6&lt;K988,1+$Q$6&gt;L988,1-$Q$6&lt;L988),IF(SUM($M$2:M987)=0,1,0),0)</f>
        <v>0</v>
      </c>
      <c r="N988" s="38">
        <f>IF(AND(1+$Q$7&gt;H988,1-$Q$7&lt;H988,1+$Q$7&gt;I988,1-$Q$7&lt;I988,1+$Q$7&gt;J988,1-$Q$7&lt;J988,1+$Q$7&gt;K988,1-$Q$7&lt;K988,1+$Q$7&gt;L988,1-$Q$7&lt;L988),IF(SUM($N$2:N987)=0,1,0),0)</f>
        <v>0</v>
      </c>
      <c r="O988" s="34">
        <f t="shared" si="15"/>
        <v>0</v>
      </c>
    </row>
    <row r="989" spans="8:15" x14ac:dyDescent="0.25">
      <c r="H989" s="43" t="str">
        <f>IFERROR(ABS(C989/VLOOKUP(2*$B989,$B990:C1023,2,TRUE)),"--")</f>
        <v>--</v>
      </c>
      <c r="I989" s="43" t="str">
        <f>IFERROR(ABS(D989/VLOOKUP(2*$B989,$B990:D1023,3,TRUE)),"--")</f>
        <v>--</v>
      </c>
      <c r="J989" s="43" t="str">
        <f>IFERROR(ABS(E989/VLOOKUP(2*$B989,$B990:E1023,4,TRUE)),"--")</f>
        <v>--</v>
      </c>
      <c r="K989" s="43" t="str">
        <f>IFERROR(ABS(F989/VLOOKUP(2*$B989,$B990:F1023,5,TRUE)),"--")</f>
        <v>--</v>
      </c>
      <c r="L989" s="43" t="str">
        <f>IFERROR(ABS(G989/VLOOKUP(2*$B989,$B990:G1023,6,TRUE)),"--")</f>
        <v>--</v>
      </c>
      <c r="M989" s="38">
        <f>IF(AND(1+$Q$6&gt;H989,1-$Q$6&lt;H989,1+$Q$6&gt;I989,1-$Q$6&lt;I989,1+$Q$6&gt;J989,1-$Q$6&lt;J989,1+$Q$6&gt;K989,1-$Q$6&lt;K989,1+$Q$6&gt;L989,1-$Q$6&lt;L989),IF(SUM($M$2:M988)=0,1,0),0)</f>
        <v>0</v>
      </c>
      <c r="N989" s="38">
        <f>IF(AND(1+$Q$7&gt;H989,1-$Q$7&lt;H989,1+$Q$7&gt;I989,1-$Q$7&lt;I989,1+$Q$7&gt;J989,1-$Q$7&lt;J989,1+$Q$7&gt;K989,1-$Q$7&lt;K989,1+$Q$7&gt;L989,1-$Q$7&lt;L989),IF(SUM($N$2:N988)=0,1,0),0)</f>
        <v>0</v>
      </c>
      <c r="O989" s="34">
        <f t="shared" si="15"/>
        <v>0</v>
      </c>
    </row>
    <row r="990" spans="8:15" x14ac:dyDescent="0.25">
      <c r="H990" s="43" t="str">
        <f>IFERROR(ABS(C990/VLOOKUP(2*$B990,$B991:C1024,2,TRUE)),"--")</f>
        <v>--</v>
      </c>
      <c r="I990" s="43" t="str">
        <f>IFERROR(ABS(D990/VLOOKUP(2*$B990,$B991:D1024,3,TRUE)),"--")</f>
        <v>--</v>
      </c>
      <c r="J990" s="43" t="str">
        <f>IFERROR(ABS(E990/VLOOKUP(2*$B990,$B991:E1024,4,TRUE)),"--")</f>
        <v>--</v>
      </c>
      <c r="K990" s="43" t="str">
        <f>IFERROR(ABS(F990/VLOOKUP(2*$B990,$B991:F1024,5,TRUE)),"--")</f>
        <v>--</v>
      </c>
      <c r="L990" s="43" t="str">
        <f>IFERROR(ABS(G990/VLOOKUP(2*$B990,$B991:G1024,6,TRUE)),"--")</f>
        <v>--</v>
      </c>
      <c r="M990" s="38">
        <f>IF(AND(1+$Q$6&gt;H990,1-$Q$6&lt;H990,1+$Q$6&gt;I990,1-$Q$6&lt;I990,1+$Q$6&gt;J990,1-$Q$6&lt;J990,1+$Q$6&gt;K990,1-$Q$6&lt;K990,1+$Q$6&gt;L990,1-$Q$6&lt;L990),IF(SUM($M$2:M989)=0,1,0),0)</f>
        <v>0</v>
      </c>
      <c r="N990" s="38">
        <f>IF(AND(1+$Q$7&gt;H990,1-$Q$7&lt;H990,1+$Q$7&gt;I990,1-$Q$7&lt;I990,1+$Q$7&gt;J990,1-$Q$7&lt;J990,1+$Q$7&gt;K990,1-$Q$7&lt;K990,1+$Q$7&gt;L990,1-$Q$7&lt;L990),IF(SUM($N$2:N989)=0,1,0),0)</f>
        <v>0</v>
      </c>
      <c r="O990" s="34">
        <f t="shared" si="15"/>
        <v>0</v>
      </c>
    </row>
    <row r="991" spans="8:15" x14ac:dyDescent="0.25">
      <c r="H991" s="43" t="str">
        <f>IFERROR(ABS(C991/VLOOKUP(2*$B991,$B992:C1025,2,TRUE)),"--")</f>
        <v>--</v>
      </c>
      <c r="I991" s="43" t="str">
        <f>IFERROR(ABS(D991/VLOOKUP(2*$B991,$B992:D1025,3,TRUE)),"--")</f>
        <v>--</v>
      </c>
      <c r="J991" s="43" t="str">
        <f>IFERROR(ABS(E991/VLOOKUP(2*$B991,$B992:E1025,4,TRUE)),"--")</f>
        <v>--</v>
      </c>
      <c r="K991" s="43" t="str">
        <f>IFERROR(ABS(F991/VLOOKUP(2*$B991,$B992:F1025,5,TRUE)),"--")</f>
        <v>--</v>
      </c>
      <c r="L991" s="43" t="str">
        <f>IFERROR(ABS(G991/VLOOKUP(2*$B991,$B992:G1025,6,TRUE)),"--")</f>
        <v>--</v>
      </c>
      <c r="M991" s="38">
        <f>IF(AND(1+$Q$6&gt;H991,1-$Q$6&lt;H991,1+$Q$6&gt;I991,1-$Q$6&lt;I991,1+$Q$6&gt;J991,1-$Q$6&lt;J991,1+$Q$6&gt;K991,1-$Q$6&lt;K991,1+$Q$6&gt;L991,1-$Q$6&lt;L991),IF(SUM($M$2:M990)=0,1,0),0)</f>
        <v>0</v>
      </c>
      <c r="N991" s="38">
        <f>IF(AND(1+$Q$7&gt;H991,1-$Q$7&lt;H991,1+$Q$7&gt;I991,1-$Q$7&lt;I991,1+$Q$7&gt;J991,1-$Q$7&lt;J991,1+$Q$7&gt;K991,1-$Q$7&lt;K991,1+$Q$7&gt;L991,1-$Q$7&lt;L991),IF(SUM($N$2:N990)=0,1,0),0)</f>
        <v>0</v>
      </c>
      <c r="O991" s="34">
        <f t="shared" si="15"/>
        <v>0</v>
      </c>
    </row>
    <row r="992" spans="8:15" x14ac:dyDescent="0.25">
      <c r="H992" s="43" t="str">
        <f>IFERROR(ABS(C992/VLOOKUP(2*$B992,$B993:C1026,2,TRUE)),"--")</f>
        <v>--</v>
      </c>
      <c r="I992" s="43" t="str">
        <f>IFERROR(ABS(D992/VLOOKUP(2*$B992,$B993:D1026,3,TRUE)),"--")</f>
        <v>--</v>
      </c>
      <c r="J992" s="43" t="str">
        <f>IFERROR(ABS(E992/VLOOKUP(2*$B992,$B993:E1026,4,TRUE)),"--")</f>
        <v>--</v>
      </c>
      <c r="K992" s="43" t="str">
        <f>IFERROR(ABS(F992/VLOOKUP(2*$B992,$B993:F1026,5,TRUE)),"--")</f>
        <v>--</v>
      </c>
      <c r="L992" s="43" t="str">
        <f>IFERROR(ABS(G992/VLOOKUP(2*$B992,$B993:G1026,6,TRUE)),"--")</f>
        <v>--</v>
      </c>
      <c r="M992" s="38">
        <f>IF(AND(1+$Q$6&gt;H992,1-$Q$6&lt;H992,1+$Q$6&gt;I992,1-$Q$6&lt;I992,1+$Q$6&gt;J992,1-$Q$6&lt;J992,1+$Q$6&gt;K992,1-$Q$6&lt;K992,1+$Q$6&gt;L992,1-$Q$6&lt;L992),IF(SUM($M$2:M991)=0,1,0),0)</f>
        <v>0</v>
      </c>
      <c r="N992" s="38">
        <f>IF(AND(1+$Q$7&gt;H992,1-$Q$7&lt;H992,1+$Q$7&gt;I992,1-$Q$7&lt;I992,1+$Q$7&gt;J992,1-$Q$7&lt;J992,1+$Q$7&gt;K992,1-$Q$7&lt;K992,1+$Q$7&gt;L992,1-$Q$7&lt;L992),IF(SUM($N$2:N991)=0,1,0),0)</f>
        <v>0</v>
      </c>
      <c r="O992" s="34">
        <f t="shared" si="15"/>
        <v>0</v>
      </c>
    </row>
    <row r="993" spans="8:15" x14ac:dyDescent="0.25">
      <c r="H993" s="43" t="str">
        <f>IFERROR(ABS(C993/VLOOKUP(2*$B993,$B994:C1027,2,TRUE)),"--")</f>
        <v>--</v>
      </c>
      <c r="I993" s="43" t="str">
        <f>IFERROR(ABS(D993/VLOOKUP(2*$B993,$B994:D1027,3,TRUE)),"--")</f>
        <v>--</v>
      </c>
      <c r="J993" s="43" t="str">
        <f>IFERROR(ABS(E993/VLOOKUP(2*$B993,$B994:E1027,4,TRUE)),"--")</f>
        <v>--</v>
      </c>
      <c r="K993" s="43" t="str">
        <f>IFERROR(ABS(F993/VLOOKUP(2*$B993,$B994:F1027,5,TRUE)),"--")</f>
        <v>--</v>
      </c>
      <c r="L993" s="43" t="str">
        <f>IFERROR(ABS(G993/VLOOKUP(2*$B993,$B994:G1027,6,TRUE)),"--")</f>
        <v>--</v>
      </c>
      <c r="M993" s="38">
        <f>IF(AND(1+$Q$6&gt;H993,1-$Q$6&lt;H993,1+$Q$6&gt;I993,1-$Q$6&lt;I993,1+$Q$6&gt;J993,1-$Q$6&lt;J993,1+$Q$6&gt;K993,1-$Q$6&lt;K993,1+$Q$6&gt;L993,1-$Q$6&lt;L993),IF(SUM($M$2:M992)=0,1,0),0)</f>
        <v>0</v>
      </c>
      <c r="N993" s="38">
        <f>IF(AND(1+$Q$7&gt;H993,1-$Q$7&lt;H993,1+$Q$7&gt;I993,1-$Q$7&lt;I993,1+$Q$7&gt;J993,1-$Q$7&lt;J993,1+$Q$7&gt;K993,1-$Q$7&lt;K993,1+$Q$7&gt;L993,1-$Q$7&lt;L993),IF(SUM($N$2:N992)=0,1,0),0)</f>
        <v>0</v>
      </c>
      <c r="O993" s="34">
        <f t="shared" si="15"/>
        <v>0</v>
      </c>
    </row>
    <row r="994" spans="8:15" x14ac:dyDescent="0.25">
      <c r="H994" s="43" t="str">
        <f>IFERROR(ABS(C994/VLOOKUP(2*$B994,$B995:C1028,2,TRUE)),"--")</f>
        <v>--</v>
      </c>
      <c r="I994" s="43" t="str">
        <f>IFERROR(ABS(D994/VLOOKUP(2*$B994,$B995:D1028,3,TRUE)),"--")</f>
        <v>--</v>
      </c>
      <c r="J994" s="43" t="str">
        <f>IFERROR(ABS(E994/VLOOKUP(2*$B994,$B995:E1028,4,TRUE)),"--")</f>
        <v>--</v>
      </c>
      <c r="K994" s="43" t="str">
        <f>IFERROR(ABS(F994/VLOOKUP(2*$B994,$B995:F1028,5,TRUE)),"--")</f>
        <v>--</v>
      </c>
      <c r="L994" s="43" t="str">
        <f>IFERROR(ABS(G994/VLOOKUP(2*$B994,$B995:G1028,6,TRUE)),"--")</f>
        <v>--</v>
      </c>
      <c r="M994" s="38">
        <f>IF(AND(1+$Q$6&gt;H994,1-$Q$6&lt;H994,1+$Q$6&gt;I994,1-$Q$6&lt;I994,1+$Q$6&gt;J994,1-$Q$6&lt;J994,1+$Q$6&gt;K994,1-$Q$6&lt;K994,1+$Q$6&gt;L994,1-$Q$6&lt;L994),IF(SUM($M$2:M993)=0,1,0),0)</f>
        <v>0</v>
      </c>
      <c r="N994" s="38">
        <f>IF(AND(1+$Q$7&gt;H994,1-$Q$7&lt;H994,1+$Q$7&gt;I994,1-$Q$7&lt;I994,1+$Q$7&gt;J994,1-$Q$7&lt;J994,1+$Q$7&gt;K994,1-$Q$7&lt;K994,1+$Q$7&gt;L994,1-$Q$7&lt;L994),IF(SUM($N$2:N993)=0,1,0),0)</f>
        <v>0</v>
      </c>
      <c r="O994" s="34">
        <f t="shared" si="15"/>
        <v>0</v>
      </c>
    </row>
    <row r="995" spans="8:15" x14ac:dyDescent="0.25">
      <c r="H995" s="43" t="str">
        <f>IFERROR(ABS(C995/VLOOKUP(2*$B995,$B996:C1029,2,TRUE)),"--")</f>
        <v>--</v>
      </c>
      <c r="I995" s="43" t="str">
        <f>IFERROR(ABS(D995/VLOOKUP(2*$B995,$B996:D1029,3,TRUE)),"--")</f>
        <v>--</v>
      </c>
      <c r="J995" s="43" t="str">
        <f>IFERROR(ABS(E995/VLOOKUP(2*$B995,$B996:E1029,4,TRUE)),"--")</f>
        <v>--</v>
      </c>
      <c r="K995" s="43" t="str">
        <f>IFERROR(ABS(F995/VLOOKUP(2*$B995,$B996:F1029,5,TRUE)),"--")</f>
        <v>--</v>
      </c>
      <c r="L995" s="43" t="str">
        <f>IFERROR(ABS(G995/VLOOKUP(2*$B995,$B996:G1029,6,TRUE)),"--")</f>
        <v>--</v>
      </c>
      <c r="M995" s="38">
        <f>IF(AND(1+$Q$6&gt;H995,1-$Q$6&lt;H995,1+$Q$6&gt;I995,1-$Q$6&lt;I995,1+$Q$6&gt;J995,1-$Q$6&lt;J995,1+$Q$6&gt;K995,1-$Q$6&lt;K995,1+$Q$6&gt;L995,1-$Q$6&lt;L995),IF(SUM($M$2:M994)=0,1,0),0)</f>
        <v>0</v>
      </c>
      <c r="N995" s="38">
        <f>IF(AND(1+$Q$7&gt;H995,1-$Q$7&lt;H995,1+$Q$7&gt;I995,1-$Q$7&lt;I995,1+$Q$7&gt;J995,1-$Q$7&lt;J995,1+$Q$7&gt;K995,1-$Q$7&lt;K995,1+$Q$7&gt;L995,1-$Q$7&lt;L995),IF(SUM($N$2:N994)=0,1,0),0)</f>
        <v>0</v>
      </c>
      <c r="O995" s="34">
        <f t="shared" si="15"/>
        <v>0</v>
      </c>
    </row>
    <row r="996" spans="8:15" x14ac:dyDescent="0.25">
      <c r="H996" s="43" t="str">
        <f>IFERROR(ABS(C996/VLOOKUP(2*$B996,$B997:C1030,2,TRUE)),"--")</f>
        <v>--</v>
      </c>
      <c r="I996" s="43" t="str">
        <f>IFERROR(ABS(D996/VLOOKUP(2*$B996,$B997:D1030,3,TRUE)),"--")</f>
        <v>--</v>
      </c>
      <c r="J996" s="43" t="str">
        <f>IFERROR(ABS(E996/VLOOKUP(2*$B996,$B997:E1030,4,TRUE)),"--")</f>
        <v>--</v>
      </c>
      <c r="K996" s="43" t="str">
        <f>IFERROR(ABS(F996/VLOOKUP(2*$B996,$B997:F1030,5,TRUE)),"--")</f>
        <v>--</v>
      </c>
      <c r="L996" s="43" t="str">
        <f>IFERROR(ABS(G996/VLOOKUP(2*$B996,$B997:G1030,6,TRUE)),"--")</f>
        <v>--</v>
      </c>
      <c r="M996" s="38">
        <f>IF(AND(1+$Q$6&gt;H996,1-$Q$6&lt;H996,1+$Q$6&gt;I996,1-$Q$6&lt;I996,1+$Q$6&gt;J996,1-$Q$6&lt;J996,1+$Q$6&gt;K996,1-$Q$6&lt;K996,1+$Q$6&gt;L996,1-$Q$6&lt;L996),IF(SUM($M$2:M995)=0,1,0),0)</f>
        <v>0</v>
      </c>
      <c r="N996" s="38">
        <f>IF(AND(1+$Q$7&gt;H996,1-$Q$7&lt;H996,1+$Q$7&gt;I996,1-$Q$7&lt;I996,1+$Q$7&gt;J996,1-$Q$7&lt;J996,1+$Q$7&gt;K996,1-$Q$7&lt;K996,1+$Q$7&gt;L996,1-$Q$7&lt;L996),IF(SUM($N$2:N995)=0,1,0),0)</f>
        <v>0</v>
      </c>
      <c r="O996" s="34">
        <f t="shared" si="15"/>
        <v>0</v>
      </c>
    </row>
    <row r="997" spans="8:15" x14ac:dyDescent="0.25">
      <c r="H997" s="43" t="str">
        <f>IFERROR(ABS(C997/VLOOKUP(2*$B997,$B998:C1031,2,TRUE)),"--")</f>
        <v>--</v>
      </c>
      <c r="I997" s="43" t="str">
        <f>IFERROR(ABS(D997/VLOOKUP(2*$B997,$B998:D1031,3,TRUE)),"--")</f>
        <v>--</v>
      </c>
      <c r="J997" s="43" t="str">
        <f>IFERROR(ABS(E997/VLOOKUP(2*$B997,$B998:E1031,4,TRUE)),"--")</f>
        <v>--</v>
      </c>
      <c r="K997" s="43" t="str">
        <f>IFERROR(ABS(F997/VLOOKUP(2*$B997,$B998:F1031,5,TRUE)),"--")</f>
        <v>--</v>
      </c>
      <c r="L997" s="43" t="str">
        <f>IFERROR(ABS(G997/VLOOKUP(2*$B997,$B998:G1031,6,TRUE)),"--")</f>
        <v>--</v>
      </c>
      <c r="M997" s="38">
        <f>IF(AND(1+$Q$6&gt;H997,1-$Q$6&lt;H997,1+$Q$6&gt;I997,1-$Q$6&lt;I997,1+$Q$6&gt;J997,1-$Q$6&lt;J997,1+$Q$6&gt;K997,1-$Q$6&lt;K997,1+$Q$6&gt;L997,1-$Q$6&lt;L997),IF(SUM($M$2:M996)=0,1,0),0)</f>
        <v>0</v>
      </c>
      <c r="N997" s="38">
        <f>IF(AND(1+$Q$7&gt;H997,1-$Q$7&lt;H997,1+$Q$7&gt;I997,1-$Q$7&lt;I997,1+$Q$7&gt;J997,1-$Q$7&lt;J997,1+$Q$7&gt;K997,1-$Q$7&lt;K997,1+$Q$7&gt;L997,1-$Q$7&lt;L997),IF(SUM($N$2:N996)=0,1,0),0)</f>
        <v>0</v>
      </c>
      <c r="O997" s="34">
        <f t="shared" si="15"/>
        <v>0</v>
      </c>
    </row>
    <row r="998" spans="8:15" x14ac:dyDescent="0.25">
      <c r="H998" s="43" t="str">
        <f>IFERROR(ABS(C998/VLOOKUP(2*$B998,$B999:C1032,2,TRUE)),"--")</f>
        <v>--</v>
      </c>
      <c r="I998" s="43" t="str">
        <f>IFERROR(ABS(D998/VLOOKUP(2*$B998,$B999:D1032,3,TRUE)),"--")</f>
        <v>--</v>
      </c>
      <c r="J998" s="43" t="str">
        <f>IFERROR(ABS(E998/VLOOKUP(2*$B998,$B999:E1032,4,TRUE)),"--")</f>
        <v>--</v>
      </c>
      <c r="K998" s="43" t="str">
        <f>IFERROR(ABS(F998/VLOOKUP(2*$B998,$B999:F1032,5,TRUE)),"--")</f>
        <v>--</v>
      </c>
      <c r="L998" s="43" t="str">
        <f>IFERROR(ABS(G998/VLOOKUP(2*$B998,$B999:G1032,6,TRUE)),"--")</f>
        <v>--</v>
      </c>
      <c r="M998" s="38">
        <f>IF(AND(1+$Q$6&gt;H998,1-$Q$6&lt;H998,1+$Q$6&gt;I998,1-$Q$6&lt;I998,1+$Q$6&gt;J998,1-$Q$6&lt;J998,1+$Q$6&gt;K998,1-$Q$6&lt;K998,1+$Q$6&gt;L998,1-$Q$6&lt;L998),IF(SUM($M$2:M997)=0,1,0),0)</f>
        <v>0</v>
      </c>
      <c r="N998" s="38">
        <f>IF(AND(1+$Q$7&gt;H998,1-$Q$7&lt;H998,1+$Q$7&gt;I998,1-$Q$7&lt;I998,1+$Q$7&gt;J998,1-$Q$7&lt;J998,1+$Q$7&gt;K998,1-$Q$7&lt;K998,1+$Q$7&gt;L998,1-$Q$7&lt;L998),IF(SUM($N$2:N997)=0,1,0),0)</f>
        <v>0</v>
      </c>
      <c r="O998" s="34">
        <f t="shared" si="15"/>
        <v>0</v>
      </c>
    </row>
    <row r="999" spans="8:15" x14ac:dyDescent="0.25">
      <c r="H999" s="43" t="str">
        <f>IFERROR(ABS(C999/VLOOKUP(2*$B999,$B1000:C1033,2,TRUE)),"--")</f>
        <v>--</v>
      </c>
      <c r="I999" s="43" t="str">
        <f>IFERROR(ABS(D999/VLOOKUP(2*$B999,$B1000:D1033,3,TRUE)),"--")</f>
        <v>--</v>
      </c>
      <c r="J999" s="43" t="str">
        <f>IFERROR(ABS(E999/VLOOKUP(2*$B999,$B1000:E1033,4,TRUE)),"--")</f>
        <v>--</v>
      </c>
      <c r="K999" s="43" t="str">
        <f>IFERROR(ABS(F999/VLOOKUP(2*$B999,$B1000:F1033,5,TRUE)),"--")</f>
        <v>--</v>
      </c>
      <c r="L999" s="43" t="str">
        <f>IFERROR(ABS(G999/VLOOKUP(2*$B999,$B1000:G1033,6,TRUE)),"--")</f>
        <v>--</v>
      </c>
      <c r="M999" s="38">
        <f>IF(AND(1+$Q$6&gt;H999,1-$Q$6&lt;H999,1+$Q$6&gt;I999,1-$Q$6&lt;I999,1+$Q$6&gt;J999,1-$Q$6&lt;J999,1+$Q$6&gt;K999,1-$Q$6&lt;K999,1+$Q$6&gt;L999,1-$Q$6&lt;L999),IF(SUM($M$2:M998)=0,1,0),0)</f>
        <v>0</v>
      </c>
      <c r="N999" s="38">
        <f>IF(AND(1+$Q$7&gt;H999,1-$Q$7&lt;H999,1+$Q$7&gt;I999,1-$Q$7&lt;I999,1+$Q$7&gt;J999,1-$Q$7&lt;J999,1+$Q$7&gt;K999,1-$Q$7&lt;K999,1+$Q$7&gt;L999,1-$Q$7&lt;L999),IF(SUM($N$2:N998)=0,1,0),0)</f>
        <v>0</v>
      </c>
      <c r="O999" s="34">
        <f t="shared" si="15"/>
        <v>0</v>
      </c>
    </row>
    <row r="1000" spans="8:15" x14ac:dyDescent="0.25">
      <c r="H1000" s="43" t="str">
        <f>IFERROR(ABS(C1000/VLOOKUP(2*$B1000,$B1001:C1034,2,TRUE)),"--")</f>
        <v>--</v>
      </c>
      <c r="I1000" s="43" t="str">
        <f>IFERROR(ABS(D1000/VLOOKUP(2*$B1000,$B1001:D1034,3,TRUE)),"--")</f>
        <v>--</v>
      </c>
      <c r="J1000" s="43" t="str">
        <f>IFERROR(ABS(E1000/VLOOKUP(2*$B1000,$B1001:E1034,4,TRUE)),"--")</f>
        <v>--</v>
      </c>
      <c r="K1000" s="43" t="str">
        <f>IFERROR(ABS(F1000/VLOOKUP(2*$B1000,$B1001:F1034,5,TRUE)),"--")</f>
        <v>--</v>
      </c>
      <c r="L1000" s="43" t="str">
        <f>IFERROR(ABS(G1000/VLOOKUP(2*$B1000,$B1001:G1034,6,TRUE)),"--")</f>
        <v>--</v>
      </c>
      <c r="M1000" s="38">
        <f>IF(AND(1+$Q$6&gt;H1000,1-$Q$6&lt;H1000,1+$Q$6&gt;I1000,1-$Q$6&lt;I1000,1+$Q$6&gt;J1000,1-$Q$6&lt;J1000,1+$Q$6&gt;K1000,1-$Q$6&lt;K1000,1+$Q$6&gt;L1000,1-$Q$6&lt;L1000),IF(SUM($M$2:M999)=0,1,0),0)</f>
        <v>0</v>
      </c>
      <c r="N1000" s="38">
        <f>IF(AND(1+$Q$7&gt;H1000,1-$Q$7&lt;H1000,1+$Q$7&gt;I1000,1-$Q$7&lt;I1000,1+$Q$7&gt;J1000,1-$Q$7&lt;J1000,1+$Q$7&gt;K1000,1-$Q$7&lt;K1000,1+$Q$7&gt;L1000,1-$Q$7&lt;L1000),IF(SUM($N$2:N999)=0,1,0),0)</f>
        <v>0</v>
      </c>
      <c r="O1000" s="34">
        <f t="shared" si="15"/>
        <v>0</v>
      </c>
    </row>
  </sheetData>
  <autoFilter ref="A1:G36">
    <sortState ref="A2:G1000">
      <sortCondition ref="B1:B36"/>
    </sortState>
  </autoFilter>
  <sortState ref="R10:R21">
    <sortCondition ref="R10"/>
  </sortState>
  <mergeCells count="8">
    <mergeCell ref="R15:U15"/>
    <mergeCell ref="R16:T17"/>
    <mergeCell ref="Q6:S6"/>
    <mergeCell ref="Q7:S7"/>
    <mergeCell ref="U1:V1"/>
    <mergeCell ref="U4:V4"/>
    <mergeCell ref="P3:S3"/>
    <mergeCell ref="P5:S5"/>
  </mergeCells>
  <conditionalFormatting sqref="H2:L1000">
    <cfRule type="cellIs" dxfId="1" priority="1" operator="equal">
      <formula>INDEX(H2:H52,MATCH(1,$N2:$N1000,0))</formula>
    </cfRule>
    <cfRule type="cellIs" dxfId="0" priority="3" stopIfTrue="1" operator="equal">
      <formula>INDEX(H2:H52,MATCH(1,$M2:$M1000,0))</formula>
    </cfRule>
  </conditionalFormatting>
  <pageMargins left="0.511811024" right="0.511811024" top="0.78740157499999996" bottom="0.78740157499999996" header="0.31496062000000002" footer="0.31496062000000002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7</vt:i4>
      </vt:variant>
      <vt:variant>
        <vt:lpstr>Intervalos nomeados</vt:lpstr>
      </vt:variant>
      <vt:variant>
        <vt:i4>8</vt:i4>
      </vt:variant>
    </vt:vector>
  </HeadingPairs>
  <TitlesOfParts>
    <vt:vector size="15" baseType="lpstr">
      <vt:lpstr>Resumo</vt:lpstr>
      <vt:lpstr>MAX MX</vt:lpstr>
      <vt:lpstr>MIN MX</vt:lpstr>
      <vt:lpstr>MAX MY</vt:lpstr>
      <vt:lpstr>MIN MY</vt:lpstr>
      <vt:lpstr>MAX UY</vt:lpstr>
      <vt:lpstr>RESULTADOS</vt:lpstr>
      <vt:lpstr>Resumo!TotalResults</vt:lpstr>
      <vt:lpstr>RESULTADOS!TotalResults_1</vt:lpstr>
      <vt:lpstr>Resumo!TotalResults_1</vt:lpstr>
      <vt:lpstr>RESULTADOS!TotalResults_2</vt:lpstr>
      <vt:lpstr>Resumo!TotalResults_2</vt:lpstr>
      <vt:lpstr>RESULTADOS!TotalResults_3</vt:lpstr>
      <vt:lpstr>Resumo!TotalResults_3</vt:lpstr>
      <vt:lpstr>Resumo!TotalResults_5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UserStone</dc:creator>
  <cp:lastModifiedBy>MrStone</cp:lastModifiedBy>
  <dcterms:created xsi:type="dcterms:W3CDTF">2013-08-27T12:06:27Z</dcterms:created>
  <dcterms:modified xsi:type="dcterms:W3CDTF">2018-08-27T18:54:11Z</dcterms:modified>
</cp:coreProperties>
</file>